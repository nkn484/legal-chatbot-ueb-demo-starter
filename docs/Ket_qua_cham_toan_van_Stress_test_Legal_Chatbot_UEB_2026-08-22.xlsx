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670adf34f54f1f" /></Relationships>
</file>

<file path=xl/workbook.xml><?xml version="1.0" encoding="utf-8"?>
<x:workbook xmlns:x="http://schemas.openxmlformats.org/spreadsheetml/2006/main">
  <x:sheets>
    <x:sheet xmlns:r="http://schemas.openxmlformats.org/officeDocument/2006/relationships" name="Kết quả 10 câu" sheetId="1" r:id="R5b3bfbe7cb4441ec"/>
    <x:sheet xmlns:r="http://schemas.openxmlformats.org/officeDocument/2006/relationships" name="Tổng hợp" sheetId="2" r:id="R78c11b35ee3b420c"/>
    <x:sheet xmlns:r="http://schemas.openxmlformats.org/officeDocument/2006/relationships" name="Chấm điểm" sheetId="3" r:id="Rec3a9c1c393541b7"/>
    <x:sheet xmlns:r="http://schemas.openxmlformats.org/officeDocument/2006/relationships" name="Rubric" sheetId="4" r:id="R805ba0eb0aba4e5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4">
    <x:font>
      <x:sz val="11"/>
      <x:color theme="1"/>
      <x:name val="Calibri"/>
    </x:font>
    <x:font>
      <x:b/>
      <x:color rgb="FFFFFFFF"/>
    </x:font>
    <x:font>
      <x:b/>
      <x:sz val="14"/>
      <x:color rgb="FFFFFFFF"/>
      <x:name val="Calibri"/>
    </x:font>
    <x:font>
      <x:b/>
      <x:sz val="11"/>
      <x:color rgb="FFFFFFFF"/>
      <x:name val="Calibri"/>
    </x:font>
  </x:fonts>
  <x:fills count="5">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4472C4"/>
      </x:patternFill>
    </x:fill>
  </x:fills>
  <x:borders count="18">
    <x:border/>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1">
    <x:xf numFmtId="0" fontId="0" fillId="0" borderId="0"/>
  </x:cellStyleXfs>
  <x:cellXfs count="65">
    <x:xf numFmtId="0" fontId="0" fillId="0" borderId="0" xfId="0"/>
    <x:xf numFmtId="0" fontId="1" fillId="2" borderId="0" xfId="0" applyAlignment="1">
      <x:alignment horizontal="center" vertical="center"/>
    </x:xf>
    <x:xf numFmtId="0" fontId="0" fillId="0" borderId="0" xfId="0"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horizontal="center" vertical="center"/>
    </x:xf>
    <x:xf numFmtId="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0" fillId="0" borderId="3" xfId="0" applyNumberFormat="1" applyFont="1" applyFill="1" applyBorder="1" applyAlignment="1">
      <x:alignment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4" borderId="5" xfId="0" applyNumberFormat="1" applyFont="1" applyFill="1" applyBorder="1" applyAlignment="1">
      <x:alignment horizontal="center" vertical="top" wrapText="1"/>
    </x:xf>
    <x:xf numFmtId="0" fontId="3" fillId="4" borderId="6" xfId="0" applyNumberFormat="1" applyFont="1" applyFill="1" applyBorder="1" applyAlignment="1">
      <x:alignment horizontal="center"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3" fillId="4" borderId="10" xfId="0" applyNumberFormat="1" applyFont="1" applyFill="1" applyBorder="1" applyAlignment="1">
      <x:alignment horizontal="center" vertical="top" wrapText="1"/>
    </x:xf>
    <x:xf numFmtId="0" fontId="3" fillId="4" borderId="11"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3" fillId="4" borderId="12" xfId="0" applyNumberFormat="1" applyFont="1" applyFill="1" applyBorder="1" applyAlignment="1">
      <x:alignment horizontal="center"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4" borderId="13" xfId="0" applyNumberFormat="1" applyFont="1" applyFill="1" applyBorder="1" applyAlignment="1">
      <x:alignment horizontal="center" vertical="top" wrapText="1"/>
    </x:xf>
    <x:xf numFmtId="0" fontId="3" fillId="4" borderId="14" xfId="0" applyNumberFormat="1" applyFont="1" applyFill="1" applyBorder="1" applyAlignment="1">
      <x:alignment horizontal="center"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0" xfId="0" applyNumberFormat="1" applyFont="1" applyFill="1" applyBorder="1"/>
    <x:xf numFmtId="0" fontId="1" fillId="2" borderId="0" xfId="0" applyNumberFormat="1" applyFont="1" applyFill="1" applyBorder="1" applyAlignment="1">
      <x:alignment horizontal="center" vertical="center"/>
    </x:xf>
  </x:cellXfs>
  <x:cellStyles count="1">
    <x:cellStyle name="Normal" xfId="0"/>
  </x:cellStyles>
  <x:dxfs count="5">
    <x:dxf>
      <x:font>
        <x:b/>
        <x:color rgb="FF9C0006"/>
      </x:font>
      <x:fill>
        <x:patternFill>
          <x:bgColor rgb="FFF4CCCC"/>
        </x:patternFill>
      </x:fill>
    </x:dxf>
    <x:dxf>
      <x:font>
        <x:b/>
        <x:color rgb="FF274E13"/>
      </x:font>
      <x:fill>
        <x:patternFill>
          <x:bgColor rgb="FFD9EAD3"/>
        </x:patternFill>
      </x:fill>
    </x:dxf>
    <x:dxf>
      <x:font>
        <x:b/>
      </x:font>
      <x:fill>
        <x:patternFill>
          <x:bgColor rgb="FFF4CCCC"/>
        </x:patternFill>
      </x:fill>
    </x:dxf>
    <x:dxf>
      <x:fill>
        <x:patternFill>
          <x:bgColor rgb="FFFCE5CD"/>
        </x:patternFill>
      </x:fill>
    </x:dxf>
    <x:dxf>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e07f4b5351049df" /><Relationship Type="http://schemas.openxmlformats.org/officeDocument/2006/relationships/theme" Target="/xl/theme/theme1.xml" Id="Rb33015f322b948f5" /><Relationship Type="http://schemas.openxmlformats.org/officeDocument/2006/relationships/sharedStrings" Target="/xl/sharedStrings.xml" Id="R16d893f22385445c" /><Relationship Type="http://schemas.openxmlformats.org/officeDocument/2006/relationships/worksheet" Target="/xl/worksheets/sheet1.xml" Id="R5b3bfbe7cb4441ec" /><Relationship Type="http://schemas.openxmlformats.org/officeDocument/2006/relationships/worksheet" Target="/xl/worksheets/sheet2.xml" Id="R78c11b35ee3b420c" /><Relationship Type="http://schemas.openxmlformats.org/officeDocument/2006/relationships/worksheet" Target="/xl/worksheets/sheet3.xml" Id="Rec3a9c1c393541b7" /><Relationship Type="http://schemas.openxmlformats.org/officeDocument/2006/relationships/worksheet" Target="/xl/worksheets/sheet4.xml" Id="R805ba0eb0aba4e55" /></Relationships>
</file>

<file path=xl/drawings/_rels/drawing1.xml.rels>&#65279;<?xml version="1.0" encoding="utf-8"?><Relationships xmlns="http://schemas.openxmlformats.org/package/2006/relationships"><Relationship Type="http://schemas.openxmlformats.org/officeDocument/2006/relationships/chart" Target="/xl/drawings/charts/chart1.xml" Id="R97fa602461ef4ae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Điểm 10 câu stress test</a:t>
            </a:r>
          </a:p>
        </c:rich>
      </c:tx>
    </c:title>
    <c:plotArea>
      <c:barChart>
        <c:barDir val="col"/>
        <c:varyColors val="0"/>
        <c:ser>
          <c:idx val="0"/>
          <c:order val="0"/>
          <c:tx>
            <c:v>Điểm /10</c:v>
          </c:tx>
          <c:cat>
            <c:strRef>
              <c:f>'Chấm điểm'!$A$4:$A$13</c:f>
              <c:strCache>
                <c:ptCount val="0"/>
              </c:strCache>
            </c:strRef>
          </c:cat>
          <c:val>
            <c:numRef>
              <c:f>'Chấm điểm'!$B$4:$B$13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14</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fa602461ef4aed"/>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70338ca9cd9469f" /></Relationships>
</file>

<file path=xl/worksheets/sheet1.xml><?xml version="1.0" encoding="utf-8"?>
<x:worksheet xmlns:x="http://schemas.openxmlformats.org/spreadsheetml/2006/main">
  <x:sheetFormatPr baseColWidth="8" defaultRowHeight="15"/>
  <x:cols>
    <x:col min="1" max="1" width="55" customWidth="1"/>
    <x:col min="2" max="2" width="75" customWidth="1"/>
    <x:col min="3" max="3" width="100" customWidth="1"/>
  </x:cols>
  <x:sheetData>
    <x:row r="1">
      <x:c r="A1" s="1" t="inlineStr">
        <x:is>
          <x:t xml:space="preserve">Câu hỏi</x:t>
        </x:is>
      </x:c>
      <x:c r="B1" s="1" t="inlineStr">
        <x:is>
          <x:t xml:space="preserve">Văn bản lấy</x:t>
        </x:is>
      </x:c>
      <x:c r="C1" s="1" t="inlineStr">
        <x:is>
          <x:t xml:space="preserve">Nội dung chat trả lời</x:t>
        </x:is>
      </x:c>
    </x:row>
    <x:row r="2" ht="120" customHeight="1">
      <x:c r="A2" s="2" t="inlineStr">
        <x:is>
          <x:t xml:space="preserve">Sinh viên UEB muốn học vượt và học lại để cải thiện điểm thì phải đáp ứng những điều kiện nào?</x:t>
        </x:is>
      </x:c>
      <x:c r="B2" s="2" t="inlineStr">
        <x:is>
          <x:t xml:space="preserve">1. [UEB] — 2840/QĐ-ĐHKT — Ban hành Quy định tổ chức và quản lý Chương trình đào tạo Cử nhân Quản trị kinh doanh liên kết đào tạo giữa Trường Đại học Kinh tế - ĐHQGHN và Đại học St. Francis, Hoa Kỳ
2. [VNU] — 5115/QĐ-ĐHQGHN — Quyết định về việc ban hành Quy chế đào tạo đại học của ĐHQGHN
3. [VBQPPL] — 08/2021/TT-BGDĐT — Thông tư số 08/2021/TT-BGDĐT về việc ban hành Quy chế đào tạo trình độ đại học do Bộ Giáo dục và Đào tạo về việc ban hành</x:t>
        </x:is>
      </x:c>
      <x:c r="C2" s="2" t="inlineStr">
        <x:is>
          <x:t xml:space="preserve">Dạ, theo thông tin được cung cấp:
- Về học vượt: chưa có dữ liệu nêu điều kiện cụ thể nên em chưa thể xác định.
- Về học lại để cải thiện điểm: sinh viên có học phần đạt điểm D hoặc D+ được đăng ký học lại học phần đó; nếu là học phần tự chọn có điều kiện, sinh viên có thể đổi sang học phần khác cùng khối kiến thức. Khi đăng ký học cải thiện được chấp nhận, điểm cũ bị hủy và được thay bằng điểm của lần học cải thiện.
- Với chương trình có học phần do Đại học St. Francis đảm nhiệm: sinh viên phải học lại nếu đạt dưới C ở các học phần Business Core, học phần chuyên ngành của Đại học St. Francis hoặc học phần do UEB giảng dạy; hoặc dưới D ở học phần General Knowledge. Nếu GPA các học phần do Đại học St. Francis đảm nhiệm dưới 2.0, sinh viên cần học lại các học phần điểm D để nâng GPA lên tối thiểu 2.0.</x:t>
        </x:is>
      </x:c>
    </x:row>
    <x:row r="3" ht="120" customHeight="1">
      <x:c r="A3" s="2" t="inlineStr">
        <x:is>
          <x:t xml:space="preserve">UEB thu thập, sử dụng và chia sẻ dữ liệu người học thì phải tuân thủ những quy định nào?</x:t>
        </x:is>
      </x:c>
      <x:c r="B3" s="2" t="inlineStr">
        <x:is>
          <x:t xml:space="preserve">1. [UEB] — 812/QĐ-ĐHKT — Quyết định về việc ban hành Quy định về tạo lập, quản lý, sử dụng và bảo mật thông tin, dữ liệu tại Trường Đại học Kinh tế - Đại học Quốc gia Hà Nội
2. [UEB] — 2246/QĐ-ĐHKT — Quyết định về việc ban hành Quy định về việc thi trực tuyến trên phần mềm sử dụng thiết bị giám sát thi tại Trường Đại học Kinh tế - ĐHQGHN
3. [UEB] — 1694/QĐ-ĐHKT — Quy định về quản lý và bảo mật thông tin, hồ sơ, dữ liệu tại Trường Đại học Kinh tế-ĐHQGHN</x:t>
        </x:is>
      </x:c>
      <x:c r="C3" s="2" t="inlineStr">
        <x:is>
          <x:t xml:space="preserve">Dạ, theo thông tin được cung cấp, khi sử dụng và chia sẻ dữ liệu người học, UEB phải tuân thủ các yêu cầu sau:
- Xem thông tin cá nhân của người học là thông tin nhạy cảm, phải được bảo vệ nghiêm ngặt và chỉ sử dụng đúng phạm vi, mục đích đã được phê duyệt.
- Việc chia sẻ dữ liệu nội bộ chỉ được thực hiện để phối hợp giải quyết công việc hành chính, theo đúng quy trình nghiệp vụ và phạm vi nhiệm vụ được phân công.
- Không chia sẻ thông tin nhạy cảm ra ngoài Trường hoặc cho bên thứ ba nếu chưa có chấp thuận rõ ràng.
- Không cung cấp dữ liệu cá nhân như số điện thoại, email, địa chỉ, kết quả học tập… cho tổ chức, cá nhân hoặc doanh nghiệp bên ngoài nếu chưa có sự đồng ý bằng văn bản của chính người học; ngoại lệ là trường hợp khẩn cấp liên quan đến tính mạng, sức khỏe hoặc theo yêu cầu tố tụng pháp luật.
- Khi cung cấp dữ liệu cho cơ quan quản lý cấp trên hoặc cơ quan nhà nước có thẩm quyền, phải có văn bản yêu cầu chính thức và được Hiệu trưởng hoặc người được phân công, ủy quyền phê duyệt bằng văn bản hoặc chỉ đạo trực tiếp theo thẩm quyền.
- Hoạt động chia sẻ phải được thực hiện bằng văn bản chính thức, được cấp lãnh đạo có thẩm quyền phê duyệt, đồng thời tuân thủ pháp luật và chính sách bảo mật của Trường.
- Nhà trường phải giám sát, kiểm tra việc sử dụng dữ liệu; hành vi vi phạm sẽ bị xử lý theo quy định của Trường và pháp luật hiện hành.
Phần bằng chứng được cung cấp chưa nêu cụ thể quy định về khâu thu thập dữ liệu người học, nên em không có đủ căn cứ để khẳng định thêm về nội dung này.</x:t>
        </x:is>
      </x:c>
    </x:row>
    <x:row r="4" ht="120" customHeight="1">
      <x:c r="A4" s="2" t="inlineStr">
        <x:is>
          <x:t xml:space="preserve">Cuối năm, viên chức UEB được đánh giá và xếp loại theo những tiêu chí và quy trình nào?</x:t>
        </x:is>
      </x:c>
      <x:c r="B4" s="2" t="inlineStr">
        <x:is>
          <x:t xml:space="preserve">1. [VBQPPL] — 43-HD/BTCTW — Hướng dẫn 43-HD/BTCTW về việc hướng dẫn một số nội dung về kiểm điểm và đánh giá, xếp loại chất lượng đối với tập thể, cá nhân trong hệ thống chính trị
2. [UEB] — 4588/ĐHKT-TCNS — Về việc hướng dẫn triển khai đánh giá, xếp loại chất lượng viên chức và người lao động
3. [UEB] — 3577/QĐ-ĐHKT — các đơn vị thuộc, trực thuộc trường năm 2025
4. Quyết định về việc ban hành quy chế đánh giá, xếp loại chất lượng các đơn vị thuộc, trực thuộc Trường ĐHKT-ĐHQGHN.</x:t>
        </x:is>
      </x:c>
      <x:c r="C4" s="2" t="inlineStr">
        <x:is>
          <x:t xml:space="preserve">Dạ, theo thông tin được cung cấp, cuối năm viên chức UEB được đánh giá, xếp loại như sau:
1. Tiêu chí đánh giá
- Kết quả thực hiện các chỉ tiêu, nhiệm vụ được cấp có thẩm quyền giao, kể cả nhiệm vụ bổ sung và đột xuất.
- Những tồn tại, hạn chế, vướng mắc phát sinh trong quá trình thực hiện nhiệm vụ.
- Kết quả đánh giá cá nhân phải gắn với kết quả công tác của đơn vị nơi viên chức làm việc.
- Việc chấp hành nội quy, quy chế của Trường; chế độ báo cáo định kỳ, đột xuất; chủ trương của Đảng và pháp luật của Nhà nước.
- Mức độ chủ động tham gia hoạt động chung, thực hiện cải cách hành chính, giữ gìn đoàn kết nội bộ và không bị kỷ luật.
- Viên chức phải cung cấp minh chứng khách quan, trung thực cho kết quả tự đánh giá.
Đối với kết quả của đơn vị, tài liệu còn nêu các điều kiện như tổng điểm theo Bộ tiêu chí hằng năm, tỷ lệ hoàn thành nhiệm vụ bổ sung và đột xuất, tỷ lệ viên chức hoàn thành nhiệm vụ trở lên, kết quả của các tổ chức đoàn thể, tình trạng kỷ luật và việc bị phê bình, nhắc nhở hoặc có đơn thư phản ánh.
2. Quy trình đánh giá, xếp loại
- Viên chức căn cứ nhiệm vụ được giao để lập báo cáo tự đánh giá kết quả công tác, nêu hạn chế và tự đề xuất mức xếp loại.
- Tổ chức cuộc họp để các thành phần tham dự nhận xét, góp ý vào bản tự đánh giá và mức xếp loại đề xuất.
- Trưởng đơn vị nơi viên chức công tác đưa ra ý kiến nhận xét, đánh giá.
- Phòng Công tác Đảng - Đoàn thể &amp; Thanh tra tổng hợp, rà soát dữ liệu và thực hiện thủ tục đánh giá, xếp loại theo Bộ tiêu chí và quy trình đã ban hành; đồng thời giám sát hoạt động đánh giá.
- Phòng Tổ chức Nhân sự tham mưu xây dựng Bộ tiêu chí, làm đầu mối ban hành quy trình, quy định và các quyết định xếp loại.
- Kết quả đánh giá, xếp loại viên chức được công khai theo quy định.
3. Hồ sơ đánh giá
- Báo cáo tự đánh giá kết quả công tác.
- Biên bản cuộc họp ghi ý kiến nhận xét, đánh giá của người tham dự.
- Ý kiến nhận xét, đánh giá của Trưởng đơn vị.
- Bảng tổng hợp kết quả đánh giá, xếp loại chất lượng viên chức, người lao động.</x:t>
        </x:is>
      </x:c>
    </x:row>
    <x:row r="5" ht="120" customHeight="1">
      <x:c r="A5" s="2" t="inlineStr">
        <x:is>
          <x:t xml:space="preserve">UEB xác định và quản lý tài liệu thuộc bí mật nhà nước trong lĩnh vực giáo dục như thế nào?</x:t>
        </x:is>
      </x:c>
      <x:c r="B5" s="2" t="inlineStr">
        <x:is>
          <x:t xml:space="preserve">1. [UEB] — 4822/QĐ-ĐHKT — Quyết định về việc ban hành Nội quy Bảo vệ bí mật nhà nước của Trường Đại học Kinh tế
2. [VNU] — 2868/QĐ-ĐHQGHN — Về việc ban hành Quy định về quản lý chương trình, nhiệm vụ khoa học, công nghệ và đổi mới sáng tạo cấp Đại học Quốc gia Hà Nội
3. [VNU] — 4868/QĐ-ĐHQGHN — Quyết định về việc ban hành Quy định về bảo vệ bí mật Nhà nước tại ĐHQGHN</x:t>
        </x:is>
      </x:c>
      <x:c r="C5" s="2" t="inlineStr">
        <x:is>
          <x:t xml:space="preserve">Dạ, UEB xác định và quản lý tài liệu thuộc bí mật nhà nước như sau:
- Tài liệu được xem là bí mật nhà nước khi đã được ấn định và đóng dấu ở một trong các mức Mật, Tối mật hoặc Tuyệt mật, bao gồm tài liệu, vật chứa bí mật do nơi khác gửi đến Trường và do Trường gửi cho cơ quan, tổ chức, đơn vị hoặc cá nhân.
- Danh mục bí mật nhà nước được xác định theo các văn bản pháp luật trong lĩnh vực đào tạo, quy định của ĐHQGHN và các lĩnh vực liên quan.
- Các nhóm tài liệu Trường quản lý gồm: văn bản, tài liệu, vật chứa có độ mật do cơ quan Trung ương, ĐHQGHN hoặc địa phương gửi đến; tài liệu quy hoạch cán bộ, hồ sơ nhân sự lãnh đạo, viên chức và người lao động; hồ sơ bảo vệ chính trị nội bộ; hồ sơ đang thanh tra, kiểm tra và báo cáo kết quả thanh tra chưa công bố; số liệu thống kê, kế toán, thu chi chưa được phép công bố.
- Khi soạn thảo, người được giao thực hiện phải đề xuất mức độ mật với thủ trưởng trực tiếp; người duyệt ký quyết định mức độ mật, việc đóng dấu và phạm vi lưu hành.
- Đối với băng, đĩa ghi âm, ghi hình, phim hoặc ảnh chứa bí mật nhà nước, phải có văn bản ghi rõ tên vật lưu kèm và đóng dấu mức độ mật trên văn bản đó.
- Việc soạn thảo, đánh máy, in và sao chụp phải được thực hiện tại nơi bảo đảm an toàn, bí mật. Trường hợp đặc biệt chỉ được sử dụng thiết bị đã được kiểm tra và đáp ứng điều kiện an toàn, bảo mật; không dùng máy tính hoặc máy chuyên dùng kết nối Internet, cũng không dùng USB, thẻ nhớ để lưu giữ, đánh máy, in hoặc sao tài liệu mật.
- Với chương trình, nhiệm vụ thuộc phạm vi bí mật nhà nước, việc quản lý, cập nhật và khai thác thông tin phải tuân theo pháp luật về bảo vệ bí mật nhà nước và các quy định liên quan.</x:t>
        </x:is>
      </x:c>
    </x:row>
    <x:row r="6" ht="120" customHeight="1">
      <x:c r="A6" s="2" t="inlineStr">
        <x:is>
          <x:t xml:space="preserve">Một nhiệm vụ nghiên cứu và phát triển công nghệ chiến lược do UEB thực hiện ở cấp ĐHQGHN phải tuân thủ những quy định nào về quản lý và tài chính?</x:t>
        </x:is>
      </x:c>
      <x:c r="B6" s="2" t="inlineStr">
        <x:is>
          <x:t xml:space="preserve">1. [VNU] — 782/QĐ-ĐHQGHN — Quyết định về việc ban hành Quy định về Tổ chức và hoạt động của Trung tâm Hỗ trợ sinh viên
2. [VNU] — 3416/QĐ-ĐHQGHN — Quyết định về việc ban hành Quy định quản lý tài sản trí tuệ ở Đại học Quốc gia Hà Nội
3. [VNU] — 3089/QĐ-ĐHQGHN — Quyết định về việc ban hành Quy định về chế độ làm việc đối với nghiên cứu viên tại Đại học Quốc gia Hà Nội</x:t>
        </x:is>
      </x:c>
      <x:c r="C6" s="2" t="inlineStr">
        <x:is>
          <x:t xml:space="preserve">Dạ, bằng chứng được cung cấp chưa nêu quy định cụ thể dành cho nhiệm vụ nghiên cứu và phát triển công nghệ chiến lược do UEB thực hiện ở cấp ĐHQGHN. Bằng chứng chỉ cho thấy hoạt động liên quan phải chấp hành các quy định của pháp luật và ĐHQGHN; Ban Khoa học - Công nghệ phụ trách tham mưu, hướng dẫn và giám sát về chuyên môn, còn Ban Kế hoạch - Tài chính tổng hợp đề xuất, tham mưu cân đối nguồn tài chính, định mức và phương thức hỗ trợ. Vì vậy, em chưa đủ căn cứ để xác định đầy đủ các quy định quản lý, quy trình tài chính, nguồn kinh phí, định mức chi và thủ tục quyết toán áp dụng riêng cho nhiệm vụ này, thầy/cô.</x:t>
        </x:is>
      </x:c>
    </x:row>
    <x:row r="7" ht="120" customHeight="1">
      <x:c r="A7" s="2" t="inlineStr">
        <x:is>
          <x:t xml:space="preserve">UEB mua sắm một tài sản mới rồi đưa vào quản lý và kiểm kê thì thẩm quyền và quy trình thực hiện như thế nào?</x:t>
        </x:is>
      </x:c>
      <x:c r="B7" s="2" t="inlineStr">
        <x:is>
          <x:t xml:space="preserve">1. [UEB] — 4606/UQ-ĐHKT — Giấy ủy quyền (PGS Lê Trung Thành ủy quyền Phạm Minh Tuấn)
2. [UEB] — 16/NQ-HĐTĐHKT — Nghị quyết về việc ban hành Quy chế Tài chính của Trường ĐHKT - ĐHQGHN
3. [UEB] — 821/QĐ-ĐHKT — Quyết định về việc ban hành Quy định về công tác quản lý tài sản</x:t>
        </x:is>
      </x:c>
      <x:c r="C7" s="2" t="inlineStr">
        <x:is>
          <x:t xml:space="preserve">Dạ, theo thông tin được cung cấp, thẩm quyền và quy trình thực hiện như sau:
1. Thẩm quyền
- Hiệu trưởng phê duyệt các thủ tục đầu tư, mua sắm tài sản và các thủ tục đấu thầu, lựa chọn nhà thầu thuộc thẩm quyền của Trường.
- Phòng Hành chính - Tổ chức thừa lệnh Hiệu trưởng quản lý chung tài sản, thiết bị toàn Trường; đồng thời trực tiếp quản lý tài sản dùng chung hoặc đặt tại lớp học, giảng đường, hành lang, nơi công cộng mà không thuộc đơn vị khác.
- Thủ trưởng đơn vị chịu trách nhiệm quản lý tài sản, thiết bị được giao sau khi mua sắm, tiếp nhận biếu tặng hoặc điều chuyển.
- Riêng tài sản thuộc Đề án UEB Shop, người được Hiệu trưởng ủy quyền có thể thực hiện các công việc trong phạm vi ủy quyền và phải chịu trách nhiệm trước Hiệu trưởng, trước pháp luật.
2. Quy trình chính
- Lập và phê duyệt kế hoạch mua sắm, bảo đảm tài sản đúng mục đích sử dụng, có độ bền cao, hiện đại, đồng bộ, tần suất sử dụng lớn và có khả năng mở rộng, nâng cấp.
- Phê duyệt kế hoạch lựa chọn nhà thầu và thực hiện thủ tục lựa chọn nhà thầu, thương thảo hợp đồng theo quy định của pháp luật và của Trường.
- Ký kết, thực hiện hợp đồng mua bán; ký phụ lục hoặc văn bản điều chỉnh, bổ sung nếu có.
- Tiếp nhận và nghiệm thu tài sản; lập, ký biên bản nghiệm thu.
- Thanh lý hợp đồng và hoàn thiện, ký duyệt hồ sơ thanh toán.
- Làm thủ tục ghi nhận, nhập và bàn giao tài sản cho Phòng Hành chính - Tổ chức hoặc đơn vị được giao trực tiếp quản lý.
- Sau khi bàn giao, thủ trưởng đơn vị chịu trách nhiệm quản lý, sử dụng tài sản; Phòng Hành chính - Tổ chức thực hiện quản lý chung toàn Trường.
Phần bằng chứng được cung cấp chưa nêu cụ thể biểu mẫu, thời hạn, thành phần hội đồng hoặc các bước kiểm kê chi tiết. Vì vậy, em chỉ có thể xác định rằng tài sản sau mua sắm phải được nhập, bàn giao vào hệ thống quản lý tài sản của Trường và thuộc trách nhiệm quản lý chung của Phòng Hành chính - Tổ chức, còn đơn vị nhận tài sản chịu trách nhiệm quản lý trực tiếp.</x:t>
        </x:is>
      </x:c>
    </x:row>
    <x:row r="8" ht="120" customHeight="1">
      <x:c r="A8" s="2" t="inlineStr">
        <x:is>
          <x:t xml:space="preserve">Nghiên cứu sinh tại UEB phải tuân thủ những quy định nào trong quá trình đào tạo tiến sĩ?</x:t>
        </x:is>
      </x:c>
      <x:c r="B8" s="2" t="inlineStr">
        <x:is>
          <x:t xml:space="preserve">1. [VNU] — 4555/QĐ-ĐHQGHN — Quyết định về việc ban hành Quy chế đào tạo tiến sĩ tại Đại học Quốc gia Hà Nội
2. [VNU] — 3638/QĐ-ĐHQGHN — Quyết định về việc ban hành Quy chế đào tạo tiến sĩ tại ĐHQGHN
3. [UEB] — 1144/QĐ-ĐHKT — Quyết định về việc ban hành Quy định quản lý và sử dụng quyển UEB Visa tại Trường Đại học Kinh tế - ĐHQGHN</x:t>
        </x:is>
      </x:c>
      <x:c r="C8" s="2" t="inlineStr">
        <x:is>
          <x:t xml:space="preserve">Dạ, theo thông tin được cung cấp, nghiên cứu sinh tại UEB phải tuân thủ các quy định sau trong quá trình đào tạo tiến sĩ:
- Thời gian đào tạo chuẩn được tính từ khi có quyết định công nhận nghiên cứu sinh đến khi luận án được Hội đồng đánh giá thông qua: 3 năm đối với người có bằng thạc sĩ và 4 năm đối với người chưa có bằng thạc sĩ.
- Khi có lý do chính đáng, nghiên cứu sinh được kéo dài thời gian đào tạo tối đa 2 năm (24 tháng) và phải đóng phí theo quy định của đơn vị đào tạo.
- Nếu hết thời gian đào tạo, kể cả thời gian gia hạn, mà chưa hoàn thành chương trình thì nghiên cứu sinh sẽ bị buộc thôi học.
- Hoạt động giảng dạy trình độ tiến sĩ được thực hiện theo thời gian áp dụng cho hệ đại học chính quy của đơn vị đào tạo, với sự phục vụ của thư viện và các đơn vị liên quan.
- Các học phần bổ sung và học phần ở trình độ tiến sĩ phải được tổ chức tại cơ sở đào tạo nơi nghiên cứu sinh đang theo học.
- Nghiên cứu sinh có kết quả nghiên cứu xuất sắc và đã hoàn thành các học phần trong chương trình có thể được xem xét tổ chức bảo vệ luận án theo quy định.</x:t>
        </x:is>
      </x:c>
    </x:row>
    <x:row r="9" ht="120" customHeight="1">
      <x:c r="A9" s="2" t="inlineStr">
        <x:is>
          <x:t xml:space="preserve">Học viên thạc sĩ tại UEB phải tuân thủ những quy định nào trong quá trình đào tạo?</x:t>
        </x:is>
      </x:c>
      <x:c r="B9" s="2" t="inlineStr">
        <x:is>
          <x:t xml:space="preserve">1. [UEB] — 686/QĐ-ĐHKT — Quyết định về việc ban hành Quy định chức năng, nhiệm vụ của các đơn vị thuộc Trường Đại học Kinh tế - ĐHQGHN
2. [UEB] — 2566/QĐ-ĐHKT — Quyết định về việc ban hành Quy định chức năng, nhiệm vụ của các đơn vị thuộc Trường Đại học Kinh tế - Đại học Quốc gia Hà Nội
3. [UEB] — 2566/QĐ-ĐHKT — Quyết định về việc ban hành Quy định chức năng, nhiệm vụ của các đơn vị thuộc Trường Đại học Kinh tế - Đại học Quốc gia Hà Nội</x:t>
        </x:is>
      </x:c>
      <x:c r="C9" s="2" t="inlineStr">
        <x:is>
          <x:t xml:space="preserve">Dạ, thông tin được cung cấp chưa nêu các quy định mà học viên thạc sĩ tại UEB phải tuân thủ trong quá trình đào tạo. Nội dung hiện có chỉ đề cập việc hỗ trợ người học về thủ tục hành chính, học tập, nghiên cứu khoa học, học bổng, đời sống và hoạt động ngoại khóa nên em chưa đủ căn cứ để trả lời cụ thể.</x:t>
        </x:is>
      </x:c>
    </x:row>
    <x:row r="10" ht="120" customHeight="1">
      <x:c r="A10" s="2" t="inlineStr">
        <x:is>
          <x:t xml:space="preserve">Hồ sơ và văn bản điện tử tại UEB phải được lập, quản lý và lưu trữ như thế nào?</x:t>
        </x:is>
      </x:c>
      <x:c r="B10" s="2" t="inlineStr">
        <x:is>
          <x:t xml:space="preserve">1. [UEB] — 1768/QĐ-ĐHKT — Quyết định về việc ban hành Quy định công tác văn thư, lưu trữ tại Trường Đại học Kinh Tế - Đại học Quốc Gia Hà Nội
2. [UEB] — 1694/QĐ-ĐHKT — Quy định về quản lý và bảo mật thông tin, hồ sơ, dữ liệu tại Trường Đại học Kinh tế-ĐHQGHN
3. [VNU] — 4868/QĐ-ĐHQGHN — Quyết định về việc ban hành Quy định về bảo vệ bí mật Nhà nước tại ĐHQGHN</x:t>
        </x:is>
      </x:c>
      <x:c r="C10" s="2" t="inlineStr">
        <x:is>
          <x:t xml:space="preserve">Dạ, hồ sơ và văn bản điện tử tại UEB phải được lập, quản lý và lưu trữ như sau:
- Văn bản điện tử phải được tạo lập hoặc số hóa từ văn bản giấy dưới dạng thông điệp dữ liệu, đồng thời bảo đảm đúng thể thức, kỹ thuật và định dạng theo quy định.
- Việc soạn thảo, ban hành, quản lý văn bản, lập hồ sơ và nộp lưu hồ sơ, tài liệu vào Lưu trữ cơ quan được thực hiện trên Hệ thống quản lý tài liệu điện tử của Trường.
- Công tác lưu trữ phải bao gồm việc thu thập, chỉnh lý, xác định giá trị, bảo quản, thống kê và tổ chức khai thác, sử dụng tài liệu hình thành trong hoạt động của Trường và các đơn vị.
- Dữ liệu điện tử phải được sao lưu định kỳ lên hệ thống lưu trữ của Trường; việc bảo quản phải đáp ứng yêu cầu về phòng cháy, chữa cháy và chống ẩm mốc.
- Thời hạn bảo quản tài liệu chuyên môn, nghiệp vụ thực hiện theo quy định của Bộ Giáo dục và Đào tạo và quy chuẩn lưu trữ quốc gia.
- Các đơn vị chuyên môn căn cứ lĩnh vực phụ trách để quản lý hồ sơ, tài liệu và dữ liệu tại kho lưu trữ vật lý, đồng thời lưu trên hệ thống số hóa theo từng nhóm chuyên biệt.
- Với hồ sơ, tài liệu mật, việc soạn thảo, in, sao chụp phải thực hiện tại nơi bảo đảm an toàn, bí mật; trường hợp đặc biệt chỉ sử dụng thiết bị đã được kiểm tra và đủ điều kiện bảo mật, không kết nối Internet và không dùng USB, thẻ nhớ để lưu giữ, đánh máy, in hoặc sao tài liệu mật.</x:t>
        </x:is>
      </x:c>
    </x:row>
    <x:row r="11" ht="120" customHeight="1">
      <x:c r="A11" s="2" t="inlineStr">
        <x:is>
          <x:t xml:space="preserve">Sinh viên UEB bị cảnh báo học tập hoặc xem xét buộc thôi học thì căn cứ và quy trình áp dụng như thế nào?</x:t>
        </x:is>
      </x:c>
      <x:c r="B11" s="2" t="inlineStr">
        <x:is>
          <x:t xml:space="preserve">1. [VNU] — 32/QĐ-ĐHQGHN — Quyết định về việc ban hành Quy chế Công tác sinh viên tại Đại học Quốc gia Hà Nội
2. [VBQPPL] — 08/2021/TT-BGDĐT — Thông tư số 08/2021/TT-BGDĐT về việc ban hành Quy chế đào tạo trình độ đại học do Bộ Giáo dục và Đào tạo về việc ban hành
3. [VNU] — 3626/QĐ-ĐHQGHN — Quyết định về việc ban hành Quy chế đào tạo đại học tại ĐHQGHN</x:t>
        </x:is>
      </x:c>
      <x:c r="C11" s="2" t="inlineStr">
        <x:is>
          <x:t xml:space="preserve">Dạ, căn cứ để cảnh báo học tập hoặc xem xét buộc thôi học được áp dụng như sau:
1. Cảnh báo kết quả học tập
- Điểm trung bình chung học kỳ dưới 0,80 đối với học kỳ đầu khóa học hoặc dưới 1,00 đối với các học kỳ tiếp theo; hoặc
- Tổng số tín chỉ của các học phần bị điểm F còn tồn đọng từ đầu khóa đến thời điểm xét vượt quá 24 tín chỉ; hoặc tổng số tín chỉ không đạt trong học kỳ vượt quá 50% khối lượng đã đăng ký trong học kỳ.
- Tùy đặc điểm của đơn vị đào tạo, Thủ trưởng đơn vị lựa chọn áp dụng một hoặc hai trong ba điều kiện cảnh báo được quy định và xác định số lần cảnh báo học vụ, nhưng không quá 2 lần liên tiếp.
2. Buộc thôi học
Sau mỗi học kỳ, sinh viên bị buộc thôi học nếu:
- Số lần cảnh báo kết quả học tập vượt quá giới hạn do Thủ trưởng đơn vị đào tạo quy định; hoặc
- Vượt quá thời gian tối đa được phép học.
Đối với phương thức xét theo năm học, sinh viên còn có thể bị buộc thôi học khi:
- Điểm trung bình năm học dưới 0,8;
- Điểm trung bình tích lũy dưới 1,2 sau 2 năm học, dưới 1,4 sau 3 năm học hoặc dưới 1,6 từ sau 4 năm học trở đi;
- Thời gian học tập vượt quá giới hạn quy định.
3. Quy trình áp dụng
- Kết quả học tập được xét sau mỗi học kỳ hoặc theo năm học, tùy phương thức đào tạo.
- Đơn vị đào tạo quy định cụ thể điều kiện được lựa chọn, giới hạn số lần cảnh báo, quy trình và thủ tục cảnh báo hoặc buộc thôi học.
- Hình thức áp dụng phải được thông báo tới sinh viên.
- Quy định của cơ sở đào tạo cũng xác định việc bảo lưu kết quả học tập đã tích lũy nếu sinh viên bị buộc thôi học.
- Sinh viên không thuộc diện cảnh báo hoặc buộc thôi học có thể được xếp học cùng khóa sau để cải thiện kết quả học tập.</x:t>
        </x:is>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4" hidden="0" customWidth="1"/>
    <x:col min="4" max="4" width="14" hidden="0" customWidth="1"/>
    <x:col min="5" max="5" width="10" hidden="0" customWidth="1"/>
    <x:col min="6" max="6" width="34" hidden="0" customWidth="1"/>
    <x:col min="7" max="7" width="32" hidden="0" customWidth="1"/>
    <x:col min="8" max="8" width="45" hidden="0" customWidth="1"/>
  </x:cols>
  <x:sheetData>
    <x:row r="1" ht="28" customHeight="1">
      <x:c r="A1" s="13" t="str">
        <x:v>KẾT QUẢ KIỂM TRA TOÀN VĂN — STRESS TEST LEGAL CHATBOT UEB (10 CÂU)</x:v>
      </x:c>
      <x:c r="B1" s="13"/>
      <x:c r="C1" s="13"/>
      <x:c r="D1" s="13"/>
      <x:c r="E1" s="13"/>
      <x:c r="F1" s="13"/>
      <x:c r="G1" s="13"/>
      <x:c r="H1" s="13"/>
    </x:row>
    <x:row r="3">
      <x:c r="A3" s="41" t="str">
        <x:v>Chỉ số</x:v>
      </x:c>
      <x:c r="B3" s="42" t="str">
        <x:v>Kết quả</x:v>
      </x:c>
      <x:c r="C3" s="43"/>
      <x:c r="D3" s="42" t="str">
        <x:v>Ưu tiên</x:v>
      </x:c>
      <x:c r="E3" s="42" t="str">
        <x:v>Số câu</x:v>
      </x:c>
      <x:c r="F3" s="42" t="str">
        <x:v>Ý nghĩa</x:v>
      </x:c>
      <x:c r="G3" s="42" t="str">
        <x:v>Failure nổi bật</x:v>
      </x:c>
      <x:c r="H3" s="44" t="str">
        <x:v>Hành động ưu tiên</x:v>
      </x:c>
    </x:row>
    <x:row r="4">
      <x:c r="A4" s="45" t="str">
        <x:v>Số câu</x:v>
      </x:c>
      <x:c r="B4" s="35" t="n">
        <x:v>10</x:v>
      </x:c>
      <x:c r="C4" s="35"/>
      <x:c r="D4" s="35" t="str">
        <x:v>CRITICAL</x:v>
      </x:c>
      <x:c r="E4" s="35" t="n">
        <x:v>5</x:v>
      </x:c>
      <x:c r="F4" s="35" t="str">
        <x:v>Failure làm mất văn bản trực tiếp hoặc áp dụng sai hierarchy/version.</x:v>
      </x:c>
      <x:c r="G4" s="35" t="str">
        <x:v>Q1, Q5, Q6, Q8, Q10</x:v>
      </x:c>
      <x:c r="H4" s="46" t="str">
        <x:v>Sửa retrieval planner + legal hierarchy + version/status + evidence repair.</x:v>
      </x:c>
    </x:row>
    <x:row r="5">
      <x:c r="A5" s="45" t="str">
        <x:v>Điểm trung bình</x:v>
      </x:c>
      <x:c r="B5" s="36" t="n">
        <x:f>AVERAGE('Chấm điểm'!B4:B13)</x:f>
        <x:v>5.49</x:v>
      </x:c>
      <x:c r="C5" s="35"/>
      <x:c r="D5" s="35" t="str">
        <x:v>HIGH</x:v>
      </x:c>
      <x:c r="E5" s="35" t="n">
        <x:v>4</x:v>
      </x:c>
      <x:c r="F5" s="35" t="str">
        <x:v>Trả lời có phần đúng nhưng thiếu/nghịch đối tượng hoặc nguồn trọng tâm.</x:v>
      </x:c>
      <x:c r="G5" s="35" t="str">
        <x:v>Q2, Q3, Q4, Q7</x:v>
      </x:c>
      <x:c r="H5" s="46" t="str">
        <x:v>Sửa query decomposition, subject scope, amendment linking, source coverage.</x:v>
      </x:c>
    </x:row>
    <x:row r="6">
      <x:c r="A6" s="45" t="str">
        <x:v>PASS (&gt;=7.0)</x:v>
      </x:c>
      <x:c r="B6" s="35" t="n">
        <x:f>COUNTIF('Chấm điểm'!C4:C13,"PASS")</x:f>
        <x:v>4</x:v>
      </x:c>
      <x:c r="C6" s="35"/>
      <x:c r="D6" s="35" t="str">
        <x:v>MEDIUM</x:v>
      </x:c>
      <x:c r="E6" s="35" t="n">
        <x:v>1</x:v>
      </x:c>
      <x:c r="F6" s="35" t="str">
        <x:v>Baseline tốt, chủ yếu thiếu multi-source completeness.</x:v>
      </x:c>
      <x:c r="G6" s="35" t="str">
        <x:v>Q9</x:v>
      </x:c>
      <x:c r="H6" s="46" t="str">
        <x:v>Giữ baseline, tăng coverage có kiểm soát.</x:v>
      </x:c>
    </x:row>
    <x:row r="7">
      <x:c r="A7" s="45" t="str">
        <x:v>FAIL (&lt;7.0)</x:v>
      </x:c>
      <x:c r="B7" s="35" t="n">
        <x:f>COUNTIF('Chấm điểm'!C4:C13,"FAIL")</x:f>
        <x:v>6</x:v>
      </x:c>
      <x:c r="C7" s="35"/>
      <x:c r="D7" s="35" t="str">
        <x:v>OVERALL</x:v>
      </x:c>
      <x:c r="E7" s="35" t="n">
        <x:v>10</x:v>
      </x:c>
      <x:c r="F7" s="35" t="str">
        <x:v>ANSWER_GROUNDED không đồng nghĩa đúng/đủ pháp lý.</x:v>
      </x:c>
      <x:c r="G7" s="35" t="str">
        <x:v>Hard retrieval miss + false insufficient evidence + hierarchy/version</x:v>
      </x:c>
      <x:c r="H7" s="46" t="str">
        <x:v>Đánh giá theo evidence quality, không chỉ trạng thái grounded.</x:v>
      </x:c>
    </x:row>
    <x:row r="8">
      <x:c r="A8" s="45" t="str">
        <x:v>Tỷ lệ PASS</x:v>
      </x:c>
      <x:c r="B8" s="37" t="n">
        <x:f>B6/B4</x:f>
        <x:v>0.4</x:v>
      </x:c>
      <x:c r="C8" s="35"/>
      <x:c r="D8" s="35"/>
      <x:c r="E8" s="35"/>
      <x:c r="F8" s="35"/>
      <x:c r="G8" s="35"/>
      <x:c r="H8" s="46"/>
    </x:row>
    <x:row r="9">
      <x:c r="A9" s="45"/>
      <x:c r="B9" s="35"/>
      <x:c r="C9" s="35"/>
      <x:c r="D9" s="35"/>
      <x:c r="E9" s="35"/>
      <x:c r="F9" s="35"/>
      <x:c r="G9" s="35"/>
      <x:c r="H9" s="46"/>
    </x:row>
    <x:row r="10">
      <x:c r="A10" s="47" t="str">
        <x:v>Kết luận</x:v>
      </x:c>
      <x:c r="B10" s="34"/>
      <x:c r="C10" s="34"/>
      <x:c r="D10" s="34"/>
      <x:c r="E10" s="34"/>
      <x:c r="F10" s="34"/>
      <x:c r="G10" s="34"/>
      <x:c r="H10" s="48"/>
    </x:row>
    <x:row r="11" ht="38" customHeight="1">
      <x:c r="A11" s="45" t="str">
        <x:v>Kết luận kiểm tra: Pipeline đã tạo được ANSWER_GROUNDED cho 10/10, nhưng khi đối chiếu toàn văn, chất lượng pháp lý chưa đạt benchmark. Các failure lớn nhất nằm ở document selection, query decomposition, legal hierarchy (VBQPPL → VNU → UEB), version/status và cơ chế kết luận 'insufficient evidence'. Theo điểm từng câu ở sheet Chấm điểm, điểm trung bình tính toán là 5,49/10 và 4/10 câu đạt ngưỡng &gt;=7,0.</x:v>
      </x:c>
      <x:c r="B11" s="35"/>
      <x:c r="C11" s="35"/>
      <x:c r="D11" s="35"/>
      <x:c r="E11" s="35"/>
      <x:c r="F11" s="35"/>
      <x:c r="G11" s="35"/>
      <x:c r="H11" s="46"/>
    </x:row>
    <x:row r="12" ht="38" customHeight="1">
      <x:c r="A12" s="45"/>
      <x:c r="B12" s="35"/>
      <x:c r="C12" s="35"/>
      <x:c r="D12" s="35"/>
      <x:c r="E12" s="35"/>
      <x:c r="F12" s="35"/>
      <x:c r="G12" s="35"/>
      <x:c r="H12" s="46"/>
    </x:row>
    <x:row r="13" ht="38" customHeight="1">
      <x:c r="A13" s="49"/>
      <x:c r="B13" s="50"/>
      <x:c r="C13" s="50"/>
      <x:c r="D13" s="50"/>
      <x:c r="E13" s="50"/>
      <x:c r="F13" s="50"/>
      <x:c r="G13" s="50"/>
      <x:c r="H13" s="51"/>
    </x:row>
  </x:sheetData>
  <x:mergeCells>
    <x:mergeCell ref="A1:H1"/>
    <x:mergeCell ref="A11:H13"/>
  </x:mergeCells>
  <x:pageMargins left="0.7" right="0.7" top="0.75" bottom="0.75" header="0.3" footer="0.3"/>
  <x:drawing xmlns:r="http://schemas.openxmlformats.org/officeDocument/2006/relationships" r:id="Rf70338ca9cd9469f"/>
</x:worksheet>
</file>

<file path=xl/worksheets/sheet3.xml><?xml version="1.0" encoding="utf-8"?>
<x:worksheet xmlns:x="http://schemas.openxmlformats.org/spreadsheetml/2006/main">
  <x:sheetFormatPr defaultRowHeight="15"/>
  <x:cols>
    <x:col min="1" max="1" width="8" hidden="0" customWidth="1"/>
    <x:col min="2" max="2" width="10" hidden="0" customWidth="1"/>
    <x:col min="3" max="3" width="11" hidden="0" customWidth="1"/>
    <x:col min="4" max="4" width="32" hidden="0" customWidth="1"/>
    <x:col min="5" max="5" width="34" hidden="0" customWidth="1"/>
    <x:col min="6" max="6" width="50" hidden="0" customWidth="1"/>
    <x:col min="7" max="7" width="48" hidden="0" customWidth="1"/>
    <x:col min="8" max="8" width="52" hidden="0" customWidth="1"/>
    <x:col min="9" max="9" width="12" hidden="0" customWidth="1"/>
  </x:cols>
  <x:sheetData>
    <x:row r="1" ht="28" customHeight="1">
      <x:c r="A1" s="13" t="str">
        <x:v>CHẤM ĐIỂM 10 CÂU — ĐỐI CHIẾU TOÀN VĂN</x:v>
      </x:c>
      <x:c r="B1" s="13"/>
      <x:c r="C1" s="13"/>
      <x:c r="D1" s="13"/>
      <x:c r="E1" s="13"/>
      <x:c r="F1" s="13"/>
      <x:c r="G1" s="13"/>
      <x:c r="H1" s="13"/>
      <x:c r="I1" s="13"/>
    </x:row>
    <x:row r="3" ht="34" customHeight="1">
      <x:c r="A3" s="41" t="str">
        <x:v>ID</x:v>
      </x:c>
      <x:c r="B3" s="42" t="str">
        <x:v>Điểm /10</x:v>
      </x:c>
      <x:c r="C3" s="42" t="str">
        <x:v>PASS/FAIL</x:v>
      </x:c>
      <x:c r="D3" s="42" t="str">
        <x:v>Chủ đề</x:v>
      </x:c>
      <x:c r="E3" s="42" t="str">
        <x:v>Failure class</x:v>
      </x:c>
      <x:c r="F3" s="42" t="str">
        <x:v>Nhận xét toàn văn</x:v>
      </x:c>
      <x:c r="G3" s="42" t="str">
        <x:v>Văn bản đúng/kỳ vọng</x:v>
      </x:c>
      <x:c r="H3" s="42" t="str">
        <x:v>Hướng sửa</x:v>
      </x:c>
      <x:c r="I3" s="44" t="str">
        <x:v>Ưu tiên</x:v>
      </x:c>
    </x:row>
    <x:row r="4" ht="72" customHeight="1">
      <x:c r="A4" s="45" t="str">
        <x:v>Q01</x:v>
      </x:c>
      <x:c r="B4" s="35" t="n">
        <x:v>5.2</x:v>
      </x:c>
      <x:c r="C4" s="35" t="str">
        <x:v>FAIL</x:v>
      </x:c>
      <x:c r="D4" s="35" t="str">
        <x:v>Đào tạo đại học: học vượt / học cải thiện</x:v>
      </x:c>
      <x:c r="E4" s="35" t="str">
        <x:v>VERSION_STATUS + COMPLETENESS + LEGAL_HIERARCHY</x:v>
      </x:c>
      <x:c r="F4" s="35" t="str">
        <x:v>Dùng nguồn cũ/không trọng tâm; bỏ điều kiện học vượt và quy định UEB hiện hành.</x:v>
      </x:c>
      <x:c r="G4" s="35" t="str">
        <x:v>08/2021/TT-BGDĐT; 3626/QĐ-ĐHQGHN; 2725/QĐ-ĐHKT</x:v>
      </x:c>
      <x:c r="H4" s="35" t="str">
        <x:v>Ưu tiên văn bản hiện hành; resolve Bộ → ĐHQGHN → UEB; không kết luận thiếu evidence khi UEB đã có quy định cụ thể.</x:v>
      </x:c>
      <x:c r="I4" s="46" t="str">
        <x:v>CRITICAL</x:v>
      </x:c>
    </x:row>
    <x:row r="5" ht="72" customHeight="1">
      <x:c r="A5" s="45" t="str">
        <x:v>Q02</x:v>
      </x:c>
      <x:c r="B5" s="35" t="n">
        <x:v>7</x:v>
      </x:c>
      <x:c r="C5" s="35" t="str">
        <x:v>PASS</x:v>
      </x:c>
      <x:c r="D5" s="35" t="str">
        <x:v>Thu thập, sử dụng, chia sẻ dữ liệu người học</x:v>
      </x:c>
      <x:c r="E5" s="35" t="str">
        <x:v>COMPLETENESS + RETRIEVAL_MISS</x:v>
      </x:c>
      <x:c r="F5" s="35" t="str">
        <x:v>Trả lời khá đúng phần sử dụng/chia sẻ nhưng kết luận sai rằng chưa có quy định về thu thập.</x:v>
      </x:c>
      <x:c r="G5" s="35" t="str">
        <x:v>216/QĐ-ĐHQGHN; 812/QĐ-ĐHKT; 325/QĐ-ĐHKT; VBQPPL liên quan dữ liệu cá nhân</x:v>
      </x:c>
      <x:c r="H5" s="35" t="str">
        <x:v>Query decomposition theo thu thập / cập nhật / chia sẻ / sử dụng / bảo mật; kiểm tra evidence tồn tại trước khi nói thiếu.</x:v>
      </x:c>
      <x:c r="I5" s="46" t="str">
        <x:v>HIGH</x:v>
      </x:c>
    </x:row>
    <x:row r="6" ht="72" customHeight="1">
      <x:c r="A6" s="45" t="str">
        <x:v>Q03</x:v>
      </x:c>
      <x:c r="B6" s="35" t="n">
        <x:v>7.1</x:v>
      </x:c>
      <x:c r="C6" s="35" t="str">
        <x:v>PASS</x:v>
      </x:c>
      <x:c r="D6" s="35" t="str">
        <x:v>Đánh giá, xếp loại viên chức cuối năm</x:v>
      </x:c>
      <x:c r="E6" s="35" t="str">
        <x:v>SOURCE_SELECTION + SCOPE_MIXING + HIERARCHY</x:v>
      </x:c>
      <x:c r="F6" s="35" t="str">
        <x:v>Có quy trình đúng nhưng trộn tiêu chí đánh giá đơn vị với cá nhân; chưa ưu tiên 5946 và 1107.</x:v>
      </x:c>
      <x:c r="G6" s="35" t="str">
        <x:v>5946/QĐ-ĐHQGHN; 1107/QĐ-ĐHKT; 1818/QĐ-BGDĐT</x:v>
      </x:c>
      <x:c r="H6" s="35" t="str">
        <x:v>Phân biệt subject=individual vs unit; rerank văn bản điều chỉnh trực tiếp đối tượng được hỏi.</x:v>
      </x:c>
      <x:c r="I6" s="46" t="str">
        <x:v>HIGH</x:v>
      </x:c>
    </x:row>
    <x:row r="7" ht="72" customHeight="1">
      <x:c r="A7" s="45" t="str">
        <x:v>Q04</x:v>
      </x:c>
      <x:c r="B7" s="35" t="n">
        <x:v>7.1</x:v>
      </x:c>
      <x:c r="C7" s="35" t="str">
        <x:v>PASS</x:v>
      </x:c>
      <x:c r="D7" s="35" t="str">
        <x:v>Xác định và quản lý bí mật nhà nước</x:v>
      </x:c>
      <x:c r="E7" s="35" t="str">
        <x:v>MISSING_TOP_LEVEL_AUTHORITY + COMPLETENESS</x:v>
      </x:c>
      <x:c r="F7" s="35" t="str">
        <x:v>Quản lý khá đúng nhưng thiếu căn cứ danh mục 531/QĐ-TTg để xác định thông tin nào là BMNN.</x:v>
      </x:c>
      <x:c r="G7" s="35" t="str">
        <x:v>531/QĐ-TTg; 4868/QĐ-ĐHQGHN; 4822/QĐ-ĐHKT</x:v>
      </x:c>
      <x:c r="H7" s="35" t="str">
        <x:v>Bắt buộc resolve văn bản danh mục cấp Nhà nước trước quy trình nội bộ khi intent có 'xác định bí mật nhà nước'.</x:v>
      </x:c>
      <x:c r="I7" s="46" t="str">
        <x:v>HIGH</x:v>
      </x:c>
    </x:row>
    <x:row r="8" ht="72" customHeight="1">
      <x:c r="A8" s="45" t="str">
        <x:v>Q05</x:v>
      </x:c>
      <x:c r="B8" s="35" t="n">
        <x:v>2.5</x:v>
      </x:c>
      <x:c r="C8" s="35" t="str">
        <x:v>FAIL</x:v>
      </x:c>
      <x:c r="D8" s="35" t="str">
        <x:v>Nhiệm vụ nghiên cứu &amp; phát triển công nghệ chiến lược</x:v>
      </x:c>
      <x:c r="E8" s="35" t="str">
        <x:v>HARD_RETRIEVAL_MISS + WRONG_DOCUMENT_SELECTION</x:v>
      </x:c>
      <x:c r="F8" s="35" t="str">
        <x:v>Không lấy 49/2026/TT-BKHCN và 2868/QĐ-ĐHQGHN dù trực tiếp điều chỉnh câu hỏi; trả lời thiếu căn cứ.</x:v>
      </x:c>
      <x:c r="G8" s="35" t="str">
        <x:v>49/2026/TT-BKHCN; 2868/QĐ-ĐHQGHN; 1525/QĐ-ĐHKT</x:v>
      </x:c>
      <x:c r="H8" s="35" t="str">
        <x:v>Decompose 'công nghệ chiến lược' + 'cấp ĐHQGHN' + 'quản lý' + 'tài chính'; tăng direct-title/legal-concept recall trước rerank.</x:v>
      </x:c>
      <x:c r="I8" s="46" t="str">
        <x:v>CRITICAL</x:v>
      </x:c>
    </x:row>
    <x:row r="9" ht="72" customHeight="1">
      <x:c r="A9" s="45" t="str">
        <x:v>Q06</x:v>
      </x:c>
      <x:c r="B9" s="35" t="n">
        <x:v>4.5</x:v>
      </x:c>
      <x:c r="C9" s="35" t="str">
        <x:v>FAIL</x:v>
      </x:c>
      <x:c r="D9" s="35" t="str">
        <x:v>Mua sắm → quản lý → kiểm kê tài sản</x:v>
      </x:c>
      <x:c r="E9" s="35" t="str">
        <x:v>HARD_RETRIEVAL_MISS + VERSION_STATUS + NO_DECOMPOSITION</x:v>
      </x:c>
      <x:c r="F9" s="35" t="str">
        <x:v>Bỏ 5858 (thẩm quyền mua sắm) và 1407 (quy trình kiểm kê); dùng văn bản tài sản cũ.</x:v>
      </x:c>
      <x:c r="G9" s="35" t="str">
        <x:v>5858/QĐ-ĐHQGHN; 5097/QĐ-ĐHQGHN; 1666/QĐ-ĐHKT; 1407/QĐ-ĐHKT</x:v>
      </x:c>
      <x:c r="H9" s="35" t="str">
        <x:v>Tách 3 sub-query: mua sắm / quản lý / kiểm kê; merge candidate theo từng sub-intent; lọc superseded trước answer.</x:v>
      </x:c>
      <x:c r="I9" s="46" t="str">
        <x:v>CRITICAL</x:v>
      </x:c>
    </x:row>
    <x:row r="10" ht="72" customHeight="1">
      <x:c r="A10" s="45" t="str">
        <x:v>Q07</x:v>
      </x:c>
      <x:c r="B10" s="35" t="n">
        <x:v>6</x:v>
      </x:c>
      <x:c r="C10" s="35" t="str">
        <x:v>FAIL</x:v>
      </x:c>
      <x:c r="D10" s="35" t="str">
        <x:v>Đào tạo tiến sĩ tại UEB</x:v>
      </x:c>
      <x:c r="E10" s="35" t="str">
        <x:v>COMPLETENESS + AMENDMENT_VERSION + NOISY_RETRIEVAL</x:v>
      </x:c>
      <x:c r="F10" s="35" t="str">
        <x:v>Có một số nội dung đúng nhưng coverage hẹp; thiếu văn bản sửa đổi và có nguồn nhiễu không liên quan.</x:v>
      </x:c>
      <x:c r="G10" s="35" t="str">
        <x:v>3638/QĐ-ĐHQGHN; 2458/QĐ-ĐHQGHN; 3083/QĐ-ĐHKT</x:v>
      </x:c>
      <x:c r="H10" s="35" t="str">
        <x:v>Link base regulation ↔ amendment; ưu tiên title/subject match 'đào tạo tiến sĩ'; loại nguồn chức năng/visa không liên quan.</x:v>
      </x:c>
      <x:c r="I10" s="46" t="str">
        <x:v>HIGH</x:v>
      </x:c>
    </x:row>
    <x:row r="11" ht="72" customHeight="1">
      <x:c r="A11" s="45" t="str">
        <x:v>Q08</x:v>
      </x:c>
      <x:c r="B11" s="35" t="n">
        <x:v>1.5</x:v>
      </x:c>
      <x:c r="C11" s="35" t="str">
        <x:v>FAIL</x:v>
      </x:c>
      <x:c r="D11" s="35" t="str">
        <x:v>Đào tạo thạc sĩ tại UEB</x:v>
      </x:c>
      <x:c r="E11" s="35" t="str">
        <x:v>HARD_RETRIEVAL_MISS + FALSE_INSUFFICIENT_EVIDENCE</x:v>
      </x:c>
      <x:c r="F11" s="35" t="str">
        <x:v>Corpus có 4852/QĐ-ĐHKT đúng trực tiếp nhưng retrieval lấy văn bản chức năng đơn vị rồi từ chối trả lời.</x:v>
      </x:c>
      <x:c r="G11" s="35" t="str">
        <x:v>3636/QĐ-ĐHQGHN; 4852/QĐ-ĐHKT; văn bản sửa đổi nếu có</x:v>
      </x:c>
      <x:c r="H11" s="35" t="str">
        <x:v>Thêm evidence-existence repair: trước khi kết luận insufficient, chạy targeted title/topic query ở UEB/VNU.</x:v>
      </x:c>
      <x:c r="I11" s="46" t="str">
        <x:v>CRITICAL</x:v>
      </x:c>
    </x:row>
    <x:row r="12" ht="72" customHeight="1">
      <x:c r="A12" s="45" t="str">
        <x:v>Q09</x:v>
      </x:c>
      <x:c r="B12" s="35" t="n">
        <x:v>8</x:v>
      </x:c>
      <x:c r="C12" s="35" t="str">
        <x:v>PASS</x:v>
      </x:c>
      <x:c r="D12" s="35" t="str">
        <x:v>Hồ sơ và văn bản điện tử</x:v>
      </x:c>
      <x:c r="E12" s="35" t="str">
        <x:v>MINOR_MULTI_SOURCE_COMPLETENESS</x:v>
      </x:c>
      <x:c r="F12" s="35" t="str">
        <x:v>Nguồn UEB đúng trọng tâm; trả lời tốt. Chưa tận dụng đầy đủ 2929/QĐ-ĐHQGHN.</x:v>
      </x:c>
      <x:c r="G12" s="35" t="str">
        <x:v>2929/QĐ-ĐHQGHN; 1768/QĐ-ĐHKT</x:v>
      </x:c>
      <x:c r="H12" s="35" t="str">
        <x:v>Giữ baseline; bổ sung hierarchical evidence để tăng độ đầy đủ nhưng không làm nhiễu.</x:v>
      </x:c>
      <x:c r="I12" s="46" t="str">
        <x:v>MEDIUM</x:v>
      </x:c>
    </x:row>
    <x:row r="13" ht="72" customHeight="1">
      <x:c r="A13" s="49" t="str">
        <x:v>Q10</x:v>
      </x:c>
      <x:c r="B13" s="50" t="n">
        <x:v>6</x:v>
      </x:c>
      <x:c r="C13" s="50" t="str">
        <x:v>FAIL</x:v>
      </x:c>
      <x:c r="D13" s="50" t="str">
        <x:v>Cảnh báo học tập / buộc thôi học</x:v>
      </x:c>
      <x:c r="E13" s="50" t="str">
        <x:v>LEGAL_HIERARCHY_RESOLUTION + UEB_SPECIFIC_RULE_MISS</x:v>
      </x:c>
      <x:c r="F13" s="50" t="str">
        <x:v>Đúng khung cấp trên nhưng bỏ 2725/QĐ-ĐHKT là quy định cụ thể UEB về cảnh báo/buộc thôi học.</x:v>
      </x:c>
      <x:c r="G13" s="50" t="str">
        <x:v>08/2021/TT-BGDĐT; 3626/QĐ-ĐHQGHN; 2725/QĐ-ĐHKT</x:v>
      </x:c>
      <x:c r="H13" s="50" t="str">
        <x:v>Khi hỏi 'tại UEB', sau retrieval cấp trên phải tìm văn bản UEB cụ thể hóa và ưu tiên quy tắc chi tiết đang hiệu lực.</x:v>
      </x:c>
      <x:c r="I13" s="51" t="str">
        <x:v>CRITICAL</x:v>
      </x:c>
    </x:row>
  </x:sheetData>
  <x:mergeCells>
    <x:mergeCell ref="A1:I1"/>
  </x:mergeCells>
  <x:conditionalFormatting sqref="B4:B13">
    <x:cfRule type="colorScale" priority="1">
      <x:colorScale>
        <x:cfvo type="min"/>
        <x:cfvo type="percentile" val="50"/>
        <x:cfvo type="max"/>
        <x:color rgb="FFF8CBAD"/>
        <x:color rgb="FFFFF2CC"/>
        <x:color rgb="FFC6E0B4"/>
      </x:colorScale>
    </x:cfRule>
  </x:conditionalFormatting>
  <x:conditionalFormatting sqref="C4:C13">
    <x:cfRule type="expression" dxfId="0" priority="2">
      <x:formula>C4="FAIL"</x:formula>
    </x:cfRule>
    <x:cfRule type="expression" dxfId="1" priority="3">
      <x:formula>C4="PASS"</x:formula>
    </x:cfRule>
  </x:conditionalFormatting>
  <x:conditionalFormatting sqref="I4:I13">
    <x:cfRule type="expression" dxfId="2" priority="4">
      <x:formula>I4="CRITICAL"</x:formula>
    </x:cfRule>
    <x:cfRule type="expression" dxfId="3" priority="5">
      <x:formula>I4="HIGH"</x:formula>
    </x:cfRule>
    <x:cfRule type="expression" dxfId="4" priority="6">
      <x:formula>I4="MEDIUM"</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2" hidden="0" customWidth="1"/>
    <x:col min="3" max="3" width="14" hidden="0" customWidth="1"/>
    <x:col min="4" max="4" width="55" hidden="0" customWidth="1"/>
    <x:col min="5" max="5" width="50" hidden="0" customWidth="1"/>
  </x:cols>
  <x:sheetData>
    <x:row r="1" ht="28" customHeight="1">
      <x:c r="A1" s="13" t="str">
        <x:v>RUBRIC CHẤM PHẢN HỒI LEGAL CHATBOT</x:v>
      </x:c>
      <x:c r="B1" s="13"/>
      <x:c r="C1" s="13"/>
      <x:c r="D1" s="13"/>
      <x:c r="E1" s="13"/>
    </x:row>
    <x:row r="3">
      <x:c r="A3" s="41" t="str">
        <x:v>Tiêu chí</x:v>
      </x:c>
      <x:c r="B3" s="42" t="str">
        <x:v>Trọng số</x:v>
      </x:c>
      <x:c r="C3" s="42" t="str">
        <x:v>Điểm tối đa</x:v>
      </x:c>
      <x:c r="D3" s="42" t="str">
        <x:v>Mô tả</x:v>
      </x:c>
      <x:c r="E3" s="44" t="str">
        <x:v>Failure nghiêm trọng</x:v>
      </x:c>
    </x:row>
    <x:row r="4" ht="52" customHeight="1">
      <x:c r="A4" s="45" t="str">
        <x:v>Đúng nội dung pháp lý</x:v>
      </x:c>
      <x:c r="B4" s="35" t="n">
        <x:v>0.4</x:v>
      </x:c>
      <x:c r="C4" s="35" t="n">
        <x:v>4</x:v>
      </x:c>
      <x:c r="D4" s="35" t="str">
        <x:v>Nội dung phải được toàn văn nguồn hỗ trợ; không suy diễn quá evidence.</x:v>
      </x:c>
      <x:c r="E4" s="46" t="str">
        <x:v>Sai điều kiện, ngưỡng, thẩm quyền, quy trình.</x:v>
      </x:c>
    </x:row>
    <x:row r="5" ht="52" customHeight="1">
      <x:c r="A5" s="45" t="str">
        <x:v>Đúng nguồn &amp; hiệu lực</x:v>
      </x:c>
      <x:c r="B5" s="35" t="n">
        <x:v>0.25</x:v>
      </x:c>
      <x:c r="C5" s="35" t="n">
        <x:v>2.5</x:v>
      </x:c>
      <x:c r="D5" s="35" t="str">
        <x:v>Ưu tiên văn bản trực tiếp, hiện hành; nhận biết sửa đổi/thay thế.</x:v>
      </x:c>
      <x:c r="E5" s="46" t="str">
        <x:v>Dùng văn bản hết hiệu lực/sai đối tượng.</x:v>
      </x:c>
    </x:row>
    <x:row r="6" ht="52" customHeight="1">
      <x:c r="A6" s="45" t="str">
        <x:v>Đầy đủ căn cứ</x:v>
      </x:c>
      <x:c r="B6" s="35" t="n">
        <x:v>0.25</x:v>
      </x:c>
      <x:c r="C6" s="35" t="n">
        <x:v>2.5</x:v>
      </x:c>
      <x:c r="D6" s="35" t="str">
        <x:v>Bao phủ các tầng nguồn và các sub-intent cần thiết.</x:v>
      </x:c>
      <x:c r="E6" s="46" t="str">
        <x:v>Bỏ văn bản trực tiếp có trong corpus; false insufficient evidence.</x:v>
      </x:c>
    </x:row>
    <x:row r="7" ht="52" customHeight="1">
      <x:c r="A7" s="45" t="str">
        <x:v>Trình bày &amp; kiểm soát suy diễn</x:v>
      </x:c>
      <x:c r="B7" s="35" t="n">
        <x:v>0.1</x:v>
      </x:c>
      <x:c r="C7" s="35" t="n">
        <x:v>1</x:v>
      </x:c>
      <x:c r="D7" s="35" t="str">
        <x:v>Phân biệt quy định chung/cụ thể; nêu giới hạn evidence.</x:v>
      </x:c>
      <x:c r="E7" s="46" t="str">
        <x:v>Khẳng định quá mức hoặc trộn quy định khác đối tượng.</x:v>
      </x:c>
    </x:row>
    <x:row r="8">
      <x:c r="A8" s="45"/>
      <x:c r="B8" s="35"/>
      <x:c r="C8" s="35"/>
      <x:c r="D8" s="35"/>
      <x:c r="E8" s="46"/>
    </x:row>
    <x:row r="9">
      <x:c r="A9" s="47" t="str">
        <x:v>Ngưỡng</x:v>
      </x:c>
      <x:c r="B9" s="34" t="str">
        <x:v>Điểm</x:v>
      </x:c>
      <x:c r="C9" s="34" t="str">
        <x:v>Kết luận</x:v>
      </x:c>
      <x:c r="D9" s="34" t="str">
        <x:v>Ý nghĩa</x:v>
      </x:c>
      <x:c r="E9" s="48" t="str"/>
    </x:row>
    <x:row r="10">
      <x:c r="A10" s="45" t="str">
        <x:v>Tốt</x:v>
      </x:c>
      <x:c r="B10" s="35" t="str">
        <x:v>&gt;=8.0</x:v>
      </x:c>
      <x:c r="C10" s="35" t="str">
        <x:v>PASS</x:v>
      </x:c>
      <x:c r="D10" s="35" t="str">
        <x:v>Có thể dùng, chỉ còn thiếu nhỏ.</x:v>
      </x:c>
      <x:c r="E10" s="46" t="str"/>
    </x:row>
    <x:row r="11">
      <x:c r="A11" s="45" t="str">
        <x:v>Khá/Chấp nhận</x:v>
      </x:c>
      <x:c r="B11" s="35" t="str">
        <x:v>&gt;=7.0 và &lt;8.0</x:v>
      </x:c>
      <x:c r="C11" s="35" t="str">
        <x:v>PASS</x:v>
      </x:c>
      <x:c r="D11" s="35" t="str">
        <x:v>Có thể dùng nhưng cần cải thiện coverage.</x:v>
      </x:c>
      <x:c r="E11" s="46" t="str"/>
    </x:row>
    <x:row r="12">
      <x:c r="A12" s="49" t="str">
        <x:v>Chưa đạt</x:v>
      </x:c>
      <x:c r="B12" s="50" t="str">
        <x:v>&lt;7.0</x:v>
      </x:c>
      <x:c r="C12" s="50" t="str">
        <x:v>FAIL</x:v>
      </x:c>
      <x:c r="D12" s="50" t="str">
        <x:v>Không nên coi là đạt benchmark pháp lý.</x:v>
      </x:c>
      <x:c r="E12" s="51" t="str"/>
    </x:row>
  </x:sheetData>
  <x:mergeCells>
    <x:mergeCell ref="A1:E1"/>
  </x:mergeCells>
  <x:pageMargins left="0.7" right="0.7" top="0.75" bottom="0.75" header="0.3" footer="0.3"/>
</x:worksheet>
</file>