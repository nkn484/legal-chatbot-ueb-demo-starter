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10.12.1.109\ttpc\Pháp chế\"/>
    </mc:Choice>
  </mc:AlternateContent>
  <xr:revisionPtr revIDLastSave="0" documentId="13_ncr:1_{4B6E95E5-1220-4829-8373-B981AADE14ED}" xr6:coauthVersionLast="47" xr6:coauthVersionMax="47" xr10:uidLastSave="{00000000-0000-0000-0000-000000000000}"/>
  <bookViews>
    <workbookView xWindow="-120" yWindow="-120" windowWidth="20730" windowHeight="11040" firstSheet="1" activeTab="2" xr2:uid="{00000000-000D-0000-FFFF-FFFF00000000}"/>
  </bookViews>
  <sheets>
    <sheet name="DỊCH VỤ+CHỈ SỐ" sheetId="1" r:id="rId1"/>
    <sheet name="RAWDATA_QPPL" sheetId="5" r:id="rId2"/>
    <sheet name="RAWDATA_VB so sánh" sheetId="6" r:id="rId3"/>
    <sheet name="Ghi chú" sheetId="9" r:id="rId4"/>
  </sheets>
  <definedNames>
    <definedName name="_xlnm._FilterDatabase" localSheetId="1" hidden="1">RAWDATA_QPPL!$A$1:$AL$452</definedName>
    <definedName name="_xlnm._FilterDatabase" localSheetId="2" hidden="1">'RAWDATA_VB so sánh'!$A$1:$P$108</definedName>
    <definedName name="Ban_hành_Điều_lệ_giải_Bóng_rổ_3x3_SV_ĐHQGHN_2025">#REF!</definedName>
    <definedName name="Z_B8395210_8313_483B_ACF6_3232181FCA36_.wvu.FilterData" localSheetId="1" hidden="1">RAWDATA_QPPL!$A$1:$Q$1183</definedName>
    <definedName name="Z_B8395210_8313_483B_ACF6_3232181FCA36_.wvu.FilterData" localSheetId="2" hidden="1">'RAWDATA_VB so sánh'!$A$1:$P$1016</definedName>
  </definedNames>
  <calcPr calcId="181029"/>
  <customWorkbookViews>
    <customWorkbookView name="Bộ lọc 1" guid="{B8395210-8313-483B-ACF6-3232181FCA36}" maximized="1" windowWidth="0" windowHeight="0" activeSheetId="0"/>
  </customWorkbookViews>
</workbook>
</file>

<file path=xl/calcChain.xml><?xml version="1.0" encoding="utf-8"?>
<calcChain xmlns="http://schemas.openxmlformats.org/spreadsheetml/2006/main">
  <c r="B28" i="6" l="1"/>
  <c r="B37" i="6"/>
  <c r="B26" i="6"/>
  <c r="B25" i="6"/>
  <c r="B24" i="6"/>
  <c r="B23" i="6"/>
  <c r="B22" i="6"/>
  <c r="B21" i="6"/>
  <c r="B20" i="6"/>
  <c r="B19" i="6"/>
  <c r="B18" i="6"/>
  <c r="B17" i="6"/>
  <c r="B16" i="6"/>
  <c r="B14" i="6"/>
  <c r="B13" i="6"/>
  <c r="B12" i="6"/>
  <c r="B11" i="6"/>
  <c r="B10" i="6"/>
  <c r="B9" i="6"/>
  <c r="B8" i="6"/>
  <c r="B7" i="6"/>
  <c r="B6" i="6"/>
  <c r="B5" i="6"/>
  <c r="B4" i="6"/>
  <c r="B3" i="6"/>
  <c r="B2" i="6"/>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B232" i="5" l="1"/>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28" i="5"/>
  <c r="B27" i="5"/>
  <c r="B26" i="5"/>
  <c r="B25" i="5"/>
  <c r="B24" i="5"/>
  <c r="B23" i="5"/>
  <c r="B22" i="5"/>
  <c r="B21" i="5"/>
  <c r="B20" i="5"/>
  <c r="B19" i="5"/>
  <c r="B18" i="5"/>
  <c r="B17" i="5"/>
  <c r="B16" i="5"/>
  <c r="B15" i="5"/>
  <c r="B14" i="5"/>
  <c r="B13" i="5"/>
  <c r="B12" i="5"/>
  <c r="B11" i="5"/>
  <c r="B10" i="5"/>
  <c r="B9" i="5"/>
  <c r="B8" i="5"/>
  <c r="B7" i="5"/>
  <c r="B6" i="5"/>
  <c r="B5" i="5"/>
  <c r="B4" i="5"/>
  <c r="G3" i="5"/>
  <c r="B3" i="5"/>
  <c r="B2" i="5"/>
</calcChain>
</file>

<file path=xl/sharedStrings.xml><?xml version="1.0" encoding="utf-8"?>
<sst xmlns="http://schemas.openxmlformats.org/spreadsheetml/2006/main" count="5326" uniqueCount="1413">
  <si>
    <t>PHÒNG THANH TRA VÀ PHÁP CHẾ - TRƯỜNG ĐHKT</t>
  </si>
  <si>
    <t>Stt</t>
  </si>
  <si>
    <t>Dịch vụ cấp 1 (Epic)</t>
  </si>
  <si>
    <t>Tên dịch vụ cấp 1 (Task)</t>
  </si>
  <si>
    <t>Tên dịch vụ cấp 2 ( (sub-task, work))</t>
  </si>
  <si>
    <t>Chỉ số đo lường</t>
  </si>
  <si>
    <t>Ghi chú</t>
  </si>
  <si>
    <t>Tần suât báo cáo</t>
  </si>
  <si>
    <t>PHT Phụ trách</t>
  </si>
  <si>
    <t>Lãnh đạo phòng rà soát</t>
  </si>
  <si>
    <t>Trách nhiệm cập nhật(***)</t>
  </si>
  <si>
    <t>Phân quyền truy cập báo cáo</t>
  </si>
  <si>
    <t>Link dasboard</t>
  </si>
  <si>
    <t>CÔNG TÁC ĐẢNG</t>
  </si>
  <si>
    <t>(1) Quản lý và phát triển đảng</t>
  </si>
  <si>
    <t>(1) Quản lý đảng viên</t>
  </si>
  <si>
    <t>Số lượng đảng viên dự bị, chính thức</t>
  </si>
  <si>
    <t>Hằng tháng</t>
  </si>
  <si>
    <t>Nguyễn Anh Thu</t>
  </si>
  <si>
    <t>Phạm Bích Ngọc</t>
  </si>
  <si>
    <t>Đảng ủy</t>
  </si>
  <si>
    <t>https://docs.google.com/spreadsheets/d/1Cl175HUAPLnujwR9ElAAo7cWeBnPndbGheiZNqoiTEM/edit?gid=932921817#gid=932921817</t>
  </si>
  <si>
    <t>Số lượng đảng viên/cán bộ toàn trường</t>
  </si>
  <si>
    <t>Số lượng đảng viên/sinh viên toàn trường</t>
  </si>
  <si>
    <t>Số lượng đảng viên tại các chi bộ</t>
  </si>
  <si>
    <t>Số lượng đảng viên theo tuổi đảng</t>
  </si>
  <si>
    <t>Số lượng đảng viên theo cấp ủy Đảng</t>
  </si>
  <si>
    <t>Số lượng đảng viên theo huy hiệu Đảng</t>
  </si>
  <si>
    <t>Tỷ lệ đảng viên cán bộ/sinh viên</t>
  </si>
  <si>
    <t>VNU</t>
  </si>
  <si>
    <t>Tỷ lệ đảng viên theo giới tính</t>
  </si>
  <si>
    <t>Tỷ lệ đang viên theo dân tộc</t>
  </si>
  <si>
    <t>Tỷ lệ đảng viên theo tôn giáo</t>
  </si>
  <si>
    <t>Tỷ lệ đảng viên theo độ tuổi</t>
  </si>
  <si>
    <t>Tỷ lệ đảng viên theo quê quán</t>
  </si>
  <si>
    <t>Tỷ lệ đảng viên theo trình độ chuyên môn</t>
  </si>
  <si>
    <t>Tỷ lệ đảng viên theo trình độ LLCT</t>
  </si>
  <si>
    <t>Số lượng đảng viên là Đoàn viên TNCS HCM</t>
  </si>
  <si>
    <t xml:space="preserve">Số lượng đảng viên là viên chức/Người lao động </t>
  </si>
  <si>
    <t>Số lượng đảng viên có quan hệ hôn nhân người nước ngoài</t>
  </si>
  <si>
    <t>Số lượng đảng viên là chủ doanh nghiệp tư nhân</t>
  </si>
  <si>
    <t>Số lượng đảng viên chuyển đến</t>
  </si>
  <si>
    <t>Số lượng đảng viên kết nạp lại</t>
  </si>
  <si>
    <t>Số lượng đảng viên giảm (trong đó: Từ trần, Khai trừ, Xoá tên, Xin ra khỏi đảng)</t>
  </si>
  <si>
    <t>(2) Công tác đảng vụ, cảnh bảo</t>
  </si>
  <si>
    <t>Theo dõi cảm tình đảng, kết nạp</t>
  </si>
  <si>
    <t>Quan trọng</t>
  </si>
  <si>
    <t>Số lượng đảng viên thực hiện chuyển đảng chính thức</t>
  </si>
  <si>
    <t>(3) Tạo nguồn phát triển đảng và theo dõi đánh giá, phân loại hàng năm</t>
  </si>
  <si>
    <t>Số lượng đảng viên kết nạp hàng năm</t>
  </si>
  <si>
    <t>Tỷ lệ đảng viên được kết nạp hàng năm</t>
  </si>
  <si>
    <t>Số lượng cảm tình đảng</t>
  </si>
  <si>
    <t>Số lượng đánh giá chất lượng tổ chức đảng hàng năm</t>
  </si>
  <si>
    <t>Số lượng dánh giá chất lượng đảng viên hàng năm</t>
  </si>
  <si>
    <t>Số lượt đảng viên đi nước ngoài</t>
  </si>
  <si>
    <t>Tỷ lệ đảng viên đi nước ngoài</t>
  </si>
  <si>
    <t>(4) Giám sát, kiểm tra thực hiện các Nghị quyết, Kết luận của Đảng uỷ</t>
  </si>
  <si>
    <t>Số lượng nhiệm vụ theo Nghị quyết, Kết luận của Đảng không hoàn thành</t>
  </si>
  <si>
    <t>Tỷ lệ lỗi theo các Nghị quyết, Kết luận của Đảng không hoàn thành</t>
  </si>
  <si>
    <t>(5) Công tác kiểm tra, giám sát của UBKT</t>
  </si>
  <si>
    <t>KH kiểm tra, giám sát của UBKT</t>
  </si>
  <si>
    <t>KH kiểm tra, giám sát của Đảng uỷ</t>
  </si>
  <si>
    <t>(6) Quản lý văn bản đi - đến của Đảng</t>
  </si>
  <si>
    <t>Số lượng văn bản đi - đến của Đảng được cập nhật</t>
  </si>
  <si>
    <t>https://docs.google.com/spreadsheets/d/1IQHfcTrKjGTf8NHRWO6PK7iUjt5k1ViWcsAMWRLr3C4/edit?pli=1&amp;gid=1772611494#gid=1772611494</t>
  </si>
  <si>
    <t>Số lượng văn bản đi - đến của Đảng được xử lý</t>
  </si>
  <si>
    <t>KIỂM TRA, GIÁM SÁT NỘI BỘ</t>
  </si>
  <si>
    <t>(1) Kiểm tra, giám sát nội bộ</t>
  </si>
  <si>
    <t>(1) Kiểm tra Nghị quyết 900
(2) Kiểm tra các kết luận giao ban tháng, giao ban tuần
(3) Kiểm tra chuyên đề...</t>
  </si>
  <si>
    <t>Số cuộc kiểm tra thực hiện trong năm</t>
  </si>
  <si>
    <t>Hoàng Khắc Lịch</t>
  </si>
  <si>
    <t>Nguyễn Văn Xuân</t>
  </si>
  <si>
    <t>Nguyễn Mạnh Hải, Trần Thị Hoài Trang</t>
  </si>
  <si>
    <t>Lãnh đạo Trường</t>
  </si>
  <si>
    <t>https://docs.google.com/spreadsheets/d/15YyK4r0mu53_vEOl4LaXlIg2sd4s2DQ0/edit?gid=1083304853#gid=1083304853</t>
  </si>
  <si>
    <t>Số lượng nhiệm vụ (cấp subtask) theo NQ 900 không hoàn thành hàng tháng</t>
  </si>
  <si>
    <t>Số lượng kết luận của lãnh đạo không có, ban hành không đúng hạn</t>
  </si>
  <si>
    <t>Số lượng nhiệm vụ theo kết luận không hoàn thành</t>
  </si>
  <si>
    <t>Số lượng nhiệm vụ theo kiểm tra chuyên đề không hoàn thành</t>
  </si>
  <si>
    <t>Tỷ lệ lỗi theo NQ 900 hàng tháng</t>
  </si>
  <si>
    <t>Số lượng TĐ từng đơn vị</t>
  </si>
  <si>
    <t>Số lượng TĐ từng cá nhân</t>
  </si>
  <si>
    <t>Tỷ lệ lỗi TĐ theo NQ 900</t>
  </si>
  <si>
    <t>Tỷ lệ lỗi TĐ theo kết luận</t>
  </si>
  <si>
    <t>Tỷ lệ lỗi TĐ từng đơn vị</t>
  </si>
  <si>
    <t>Tỷ lễ lỗi TĐ từng cá nhân</t>
  </si>
  <si>
    <t>Tỷ lệ loại TĐ</t>
  </si>
  <si>
    <t>Số lượng Hhc từng đơn vị</t>
  </si>
  <si>
    <t>Số lượng Hhc từng cá nhân</t>
  </si>
  <si>
    <t>Tỷ lệ Hhc từng đơn vị</t>
  </si>
  <si>
    <t>Tỷ lệ Hhc từng cá nhân</t>
  </si>
  <si>
    <t>3. THANH TRA</t>
  </si>
  <si>
    <t>Thanh tra thi, kỷ cương dạy và học</t>
  </si>
  <si>
    <t>(1) Thi học kỳ</t>
  </si>
  <si>
    <t>Số lượng giảng viên vi phạm kỷ luật thi</t>
  </si>
  <si>
    <t>Số cuộc thanh tra giảng đường</t>
  </si>
  <si>
    <t>Số lượng sinh viên vi phạm kỷ luật thi</t>
  </si>
  <si>
    <t>Số lượng sinh viên đình chỉ thi</t>
  </si>
  <si>
    <t>Số lượng sinh viên cảnh cáo</t>
  </si>
  <si>
    <t>Số lượng sinh viên khiển trách</t>
  </si>
  <si>
    <t>Tỷ lệ giảng viên vi phạm kỷ luật/tổng số giảng viên tham gia</t>
  </si>
  <si>
    <t>Tỷ lệ sinh viên vi phạm/tổng số sinh viên tham gia</t>
  </si>
  <si>
    <t>Tỷ lệ hình thức kỷ luật đối với sinh viên vi phạm</t>
  </si>
  <si>
    <t>(2) Kỷ cương dạy và học</t>
  </si>
  <si>
    <t>Số lượng giảng viên đến muộn/về sớm</t>
  </si>
  <si>
    <t>Số lượng giảng viên nghỉ dạy</t>
  </si>
  <si>
    <t>Tỷ lệ giảng viên vi phạm kỷ cương</t>
  </si>
  <si>
    <t>Số lượng sinh viên nghỉ học</t>
  </si>
  <si>
    <t>Tỷ lệ sinh viên nghỉ học</t>
  </si>
  <si>
    <t>PHÁP CHẾ</t>
  </si>
  <si>
    <t>(1) Đảm bảo văn bản quản lý của Nhà trường, ĐHQGHN và văn bản quy phạm pháp luật được tuyên truyền
(2) Đảm bảo văn bản của Nhà trường, thỏa thuận hợp tác được thẩm định, ban hành và cập nhật kịp thời theo từng mảng</t>
  </si>
  <si>
    <t>(1) Tổng hợp, so sánh, biên tập và truyền thông văn bản quy phạm pháp luật mới</t>
  </si>
  <si>
    <t>Số lượng văn bản của Trường theo lĩnh vực được ban hành</t>
  </si>
  <si>
    <t>Đặng Anh Thơ, Trần Thị Hoài Trang</t>
  </si>
  <si>
    <t>https://docs.google.com/spreadsheets/d/1jMJxDhcT8BG1J1E4Wlg_0YYRWEynqtlHqxiVMjH5WFQ/edit?pli=1&amp;gid=601773322#gid=601773322</t>
  </si>
  <si>
    <t>Số lượng văn bản của ĐHQGHN</t>
  </si>
  <si>
    <t>Số lượng văn bản của cơ quan Nhà nước</t>
  </si>
  <si>
    <t>Tỷ lệ văn bản quy phạm pháp luật được tuyên truyền hàng tháng</t>
  </si>
  <si>
    <t>Số lượt tuyên truyền văn bản quy phạm phát luật mới</t>
  </si>
  <si>
    <t>Số lượng so sánh văn bản quy phạm pháp luật mới</t>
  </si>
  <si>
    <t>(2) Thẩm định cho ý kiến, tư vấn đối với văn bản nội bộ và thỏa thuận hợp tác và các vấn đề pháp lý</t>
  </si>
  <si>
    <t>Số lượng văn bản thỏa thuận được cho ý kiến thẩm định</t>
  </si>
  <si>
    <t>Số lượng văn bản quản lý nội bộ được cho ý kiến thẩm định</t>
  </si>
  <si>
    <t>Tỷ lệ thỏa thuận phải điều chỉnh, bổ sung</t>
  </si>
  <si>
    <t>Tỷ lệ văn bản quản lý phải điều chỉnh, bổ sung</t>
  </si>
  <si>
    <t>Số lượng tư vấn trong các lĩnh vực</t>
  </si>
  <si>
    <t>DỊCH VỤ GIA TĂNG</t>
  </si>
  <si>
    <t>(1) Xây dụng dữ liệu các văn bản quản lý nội bộ của Đảng, Nhà nước để phục vụ việc tra cứu, giải quyết công việc Nhà trường</t>
  </si>
  <si>
    <t>(1) Thu thập thông tin;
(2) Tổng hợp, biên tập, phân loại văn bản;
(3) Tạo hệ thống dữ liệu nội bộ của Trường;
(4) Công khai hệ thống dữ liệu</t>
  </si>
  <si>
    <t xml:space="preserve">(1) Tỷ lệ văn bản được cập nhập trong hệ thống dữ liệu;
</t>
  </si>
  <si>
    <t>(2) Tỷ lệ phản hồi tích cực từ các phòng ban;</t>
  </si>
  <si>
    <t>(3) Tỷ lệ văn bản được so sánh, đưa ra điểm mới, báo cáo lãnh đạo</t>
  </si>
  <si>
    <t>(2) Xây dụng dữ liệu các văn bản quản lý nội bộ của Trường để phục vụ việc tra cứu, ứng dụng trong công việc</t>
  </si>
  <si>
    <t>(1) Thu thập thông tin;
(2) Tổng hợp, biên tập, phân loại văn bản;
(3) Thẩm định, cho ý kiến đối với 
(4) Tạo hệ thống dữ liệu tại sổ văn bản trong cộng thông tin office Nhà trường; 
(5) Công khai hệ thống dữ liệu</t>
  </si>
  <si>
    <t xml:space="preserve">(1) Tỷ lệ văn bản được cho ý kiến thẩm định;
</t>
  </si>
  <si>
    <t>(2) Tỷ lệ văn bản được cập nhập trong hệ thống dữ liệu;</t>
  </si>
  <si>
    <t>(3) Tỷ lệ phản hồi tích cực từ các phòng ban.</t>
  </si>
  <si>
    <t>(3) Thẩm định văn bản quy phạm nội bộ, thỏa thuận hợp tác và hợp đồng; Tư vấn lãnh đạo Nhà trường và các phòng ban về các vấn đề pháp lý liên quan, tuyên truyền các văn bản quy phạm pháp luật, văn bản ĐHQGHN liên quan đến hoạt động của Trường</t>
  </si>
  <si>
    <t>(1) Cung cấp thông tin pháp lý và đảm bảo các quyết định lãnh đạo tuân thủ pháp luật.
(2) Hỗ trợ lãnh đạo và các phòng ban trong việc soạn thảo, rà soát văn bản và giải quyết các tình huống pháp lý.
(3) Đưa ra ý kiến pháp lý về hợp đồng, khiếu nại, tranh chấp, và đại diện giải quyết các vấn đề nội bộ và với cơ quan bên ngoài.</t>
  </si>
  <si>
    <t xml:space="preserve">(1) Tỷ lệ yêu cầu tư vấn pháp luật được hoàn thành đúng hạn;
</t>
  </si>
  <si>
    <t>(2) Mức độ hài lòng của các phòng ban</t>
  </si>
  <si>
    <t>(3) Tỷ lệ văn bản tuyên truyền được tiếp nhận và áp dụng.</t>
  </si>
  <si>
    <t>STT</t>
  </si>
  <si>
    <t>Năm BH</t>
  </si>
  <si>
    <t>Lĩnh vực</t>
  </si>
  <si>
    <t>Ban hành theo QĐ số</t>
  </si>
  <si>
    <t>Ngày BH</t>
  </si>
  <si>
    <t>Loại VB</t>
  </si>
  <si>
    <t>Hiệu lực</t>
  </si>
  <si>
    <t>File văn bản</t>
  </si>
  <si>
    <t>HCTH</t>
  </si>
  <si>
    <t>Quyết định</t>
  </si>
  <si>
    <t>Quy định</t>
  </si>
  <si>
    <t>Hết hiệu lực</t>
  </si>
  <si>
    <t>TCNS</t>
  </si>
  <si>
    <t>ĐT</t>
  </si>
  <si>
    <t>NCKH</t>
  </si>
  <si>
    <t>HTPT</t>
  </si>
  <si>
    <t>Hướng dẫn</t>
  </si>
  <si>
    <t>Quy chế</t>
  </si>
  <si>
    <t>Còn hiệu lực</t>
  </si>
  <si>
    <t>KHTC</t>
  </si>
  <si>
    <t>ĐBCL</t>
  </si>
  <si>
    <t>CNTT</t>
  </si>
  <si>
    <t>TCXB</t>
  </si>
  <si>
    <t>TTPC</t>
  </si>
  <si>
    <t>Quy trình</t>
  </si>
  <si>
    <t>TT&amp;QTTH</t>
  </si>
  <si>
    <t>CTSV</t>
  </si>
  <si>
    <t>Kế hoạch</t>
  </si>
  <si>
    <t>Công văn</t>
  </si>
  <si>
    <t>HĐT</t>
  </si>
  <si>
    <t>Nghị quyết</t>
  </si>
  <si>
    <t>Hội đồng trường</t>
  </si>
  <si>
    <t>Thông báo</t>
  </si>
  <si>
    <t>QĐ BH</t>
  </si>
  <si>
    <t>Tháng tuyên truyền</t>
  </si>
  <si>
    <t>CVP</t>
  </si>
  <si>
    <t>TCCB</t>
  </si>
  <si>
    <t>XTĐT</t>
  </si>
  <si>
    <t>x</t>
  </si>
  <si>
    <t>TS</t>
  </si>
  <si>
    <t>Những văn bản quy phạm pháp luật, văn bản của ĐHQGHN liên quan đến hoạt động của Trường (cập nhật nửa đầu tháng 06/2025)</t>
  </si>
  <si>
    <t>Chương trình</t>
  </si>
  <si>
    <t>Những văn bản quy phạm pháp luật, văn bản của ĐHQGHN liên quan đến hoạt động của Trường (Thông báo tháng 7/2025 lần 2)</t>
  </si>
  <si>
    <t>Những văn bản quy phạm pháp luật, văn bản của ĐHQGHN liên quan đến hoạt động của Trường (Thông báo tháng 9/2025 lần 1)</t>
  </si>
  <si>
    <t>Những văn bản quy phạm pháp luật, văn bản của ĐHQGHN liên quan đến hoạt động của Trường (Thông báo tháng 9/2025)</t>
  </si>
  <si>
    <t>Cột 1</t>
  </si>
  <si>
    <t>Tên văn bản tuyên truyền</t>
  </si>
  <si>
    <t>Cơ quan ban hành</t>
  </si>
  <si>
    <t>Ngày hiệu lực</t>
  </si>
  <si>
    <t xml:space="preserve"> Link Văn bản mới được tuyên truyền </t>
  </si>
  <si>
    <t xml:space="preserve">Tháng tuyên truyền </t>
  </si>
  <si>
    <t xml:space="preserve">Năm tuyên truyền </t>
  </si>
  <si>
    <t>59/2016/QĐ-TTg</t>
  </si>
  <si>
    <t>Danh mục</t>
  </si>
  <si>
    <t>Chính phủ</t>
  </si>
  <si>
    <t>42/2016/TT-BLĐTBXH</t>
  </si>
  <si>
    <t>Thông tư</t>
  </si>
  <si>
    <t>Bộ LĐTB&amp;XH</t>
  </si>
  <si>
    <t>5276/BHXH-CSYT</t>
  </si>
  <si>
    <t>BHXH</t>
  </si>
  <si>
    <t>186/QĐ-TTg</t>
  </si>
  <si>
    <t>117/QĐ-TTg</t>
  </si>
  <si>
    <t>Đề án</t>
  </si>
  <si>
    <t>5286/CT-TNCN</t>
  </si>
  <si>
    <t>Chỉ thị</t>
  </si>
  <si>
    <t>Cục Thuế Hà Nội</t>
  </si>
  <si>
    <t>1665/QĐ-UBND</t>
  </si>
  <si>
    <t>Quy tắc</t>
  </si>
  <si>
    <t>UBND thành phố Hà Nội</t>
  </si>
  <si>
    <t>06/2017/TT-BLĐTBXH</t>
  </si>
  <si>
    <t>07/2017/TT-BLĐTBXH</t>
  </si>
  <si>
    <t>08/2017/TT-BLĐTBXH</t>
  </si>
  <si>
    <t>44/2017/NĐCP</t>
  </si>
  <si>
    <t>Nghị định</t>
  </si>
  <si>
    <t>46/2017/NĐCP</t>
  </si>
  <si>
    <t>47/2017/NĐ-CP</t>
  </si>
  <si>
    <t>521/QĐ-TTg</t>
  </si>
  <si>
    <t>391/QĐ-TTg</t>
  </si>
  <si>
    <t>705/QĐ-TTg</t>
  </si>
  <si>
    <t>751/QĐ-TTg</t>
  </si>
  <si>
    <t>18/2017/QĐ-TTg</t>
  </si>
  <si>
    <t>80/2017/NĐ-CP</t>
  </si>
  <si>
    <t>88/2017/NĐ-CP</t>
  </si>
  <si>
    <t>101/2017/NĐ-CP</t>
  </si>
  <si>
    <t>91/2017/NĐ-CP</t>
  </si>
  <si>
    <t>89/NQ-CP</t>
  </si>
  <si>
    <t>19-NQ/TW</t>
  </si>
  <si>
    <t>1665/QĐ-TTg</t>
  </si>
  <si>
    <t>140/2017/NĐ-CP</t>
  </si>
  <si>
    <t>102-QĐ/TW</t>
  </si>
  <si>
    <t>Nghị Quyết</t>
  </si>
  <si>
    <t>BCH Trung ương Đảng</t>
  </si>
  <si>
    <t>08/NQ-CP</t>
  </si>
  <si>
    <t>199/QĐ-TTg</t>
  </si>
  <si>
    <t xml:space="preserve"> 22/2018/NĐ-CP</t>
  </si>
  <si>
    <t xml:space="preserve"> 72/2018/NĐ-CP</t>
  </si>
  <si>
    <t xml:space="preserve">  86/2018/NĐ- CP</t>
  </si>
  <si>
    <t xml:space="preserve"> 28/2018/QĐ-TTg</t>
  </si>
  <si>
    <t> 2873/BHXH-BT</t>
  </si>
  <si>
    <t>113/2018/NĐ-CP</t>
  </si>
  <si>
    <t xml:space="preserve">28/CT-TTg </t>
  </si>
  <si>
    <t>37/2018/QĐ-TTg</t>
  </si>
  <si>
    <t>135/2018/NĐ-CP</t>
  </si>
  <si>
    <t>143/2018/NĐ-CP</t>
  </si>
  <si>
    <t>148/2018/NĐ-CP</t>
  </si>
  <si>
    <t>1299/QĐ-TTg</t>
  </si>
  <si>
    <t>17/2018/TT-BLĐTBXH</t>
  </si>
  <si>
    <t>146/2018/NĐ-CP</t>
  </si>
  <si>
    <t>153/2018/NĐ-CP</t>
  </si>
  <si>
    <t>27/2018/TT-BGDĐT</t>
  </si>
  <si>
    <t>Bộ GD&amp;ĐT</t>
  </si>
  <si>
    <t>161/2018/NĐ-CP</t>
  </si>
  <si>
    <t>69/QĐ-TTg</t>
  </si>
  <si>
    <t>10/2019/NĐ-CP</t>
  </si>
  <si>
    <t>13/2019/NĐ-CP</t>
  </si>
  <si>
    <t>17/2019/NĐ-CP</t>
  </si>
  <si>
    <t>5/2019/NĐ-CP</t>
  </si>
  <si>
    <t>31/2019/NĐ-CP</t>
  </si>
  <si>
    <t>38/2019/NĐ-CP</t>
  </si>
  <si>
    <t>538/QLCL-QLVBCC</t>
  </si>
  <si>
    <t>Cục Quản lý chất lượng</t>
  </si>
  <si>
    <t>1195-QĐ/UBKTTW</t>
  </si>
  <si>
    <t>Ủy ban Kiểm tra Trung ương</t>
  </si>
  <si>
    <t>59/2019/NĐ-CP</t>
  </si>
  <si>
    <t>63/2019/NĐ-CP</t>
  </si>
  <si>
    <t>60/2019/NĐ-CP</t>
  </si>
  <si>
    <t>68/2019/NĐ-CP</t>
  </si>
  <si>
    <t>1659/QĐ-TTg</t>
  </si>
  <si>
    <t>1656/QĐ-TTg</t>
  </si>
  <si>
    <t>99/2019/NĐ-CP</t>
  </si>
  <si>
    <t>09/2019/TT-BXD</t>
  </si>
  <si>
    <t>Bộ Xây dựng</t>
  </si>
  <si>
    <t>14/2020/NĐ-CP</t>
  </si>
  <si>
    <t>28/2020/NĐ-CP</t>
  </si>
  <si>
    <t> 27/2020/NĐ-CP</t>
  </si>
  <si>
    <t>84/2020/NĐ-CP</t>
  </si>
  <si>
    <t xml:space="preserve"> 90/2020/NĐ-CP </t>
  </si>
  <si>
    <t>112/2020/NĐ-CP</t>
  </si>
  <si>
    <t>115/2020/NĐ-CP</t>
  </si>
  <si>
    <t>110/2020/NĐ-CP</t>
  </si>
  <si>
    <t>120/2020/NĐ-CP</t>
  </si>
  <si>
    <t xml:space="preserve"> 135/2020/NĐ-CP</t>
  </si>
  <si>
    <t>141/2020/NĐ-CP</t>
  </si>
  <si>
    <t xml:space="preserve"> 143/2020/NĐ-CP </t>
  </si>
  <si>
    <t xml:space="preserve">150/2020/NĐ-CP </t>
  </si>
  <si>
    <t>01/NQ-CP</t>
  </si>
  <si>
    <t>152/2020/NĐ-CP</t>
  </si>
  <si>
    <t>04/2021/NĐ-CP</t>
  </si>
  <si>
    <t>06/2021/NĐ-CP</t>
  </si>
  <si>
    <t>04/2021/QĐ-TTg</t>
  </si>
  <si>
    <t>15/2021/NĐ-CP</t>
  </si>
  <si>
    <t>23/2021/NĐ-CP</t>
  </si>
  <si>
    <t>08/2021/TT-BGDĐT</t>
  </si>
  <si>
    <t xml:space="preserve"> 109/2022/NĐ-CP</t>
  </si>
  <si>
    <t>111/2022/NĐ-CP</t>
  </si>
  <si>
    <t>13/NQ-CP</t>
  </si>
  <si>
    <t>13/2023/NĐ-CP</t>
  </si>
  <si>
    <t>531/QĐ-TTg</t>
  </si>
  <si>
    <t xml:space="preserve">17/CT-TTg </t>
  </si>
  <si>
    <t>42/2023/NĐ-CP </t>
  </si>
  <si>
    <t>352/TB-VPCP</t>
  </si>
  <si>
    <t>Văn phòng Chính phủ</t>
  </si>
  <si>
    <t>71/2023/NĐ-CP </t>
  </si>
  <si>
    <t>48/2023/NĐ-CP</t>
  </si>
  <si>
    <t>72/2023/NĐ-CP</t>
  </si>
  <si>
    <t>1117/QĐ-TTg </t>
  </si>
  <si>
    <t>195/NQ-CP</t>
  </si>
  <si>
    <t>8662/VPCP-KGVX</t>
  </si>
  <si>
    <t>85/2023/NĐ-CP</t>
  </si>
  <si>
    <t>30/CT-TTg</t>
  </si>
  <si>
    <t>1300/CĐ-TTg</t>
  </si>
  <si>
    <t>Công điện</t>
  </si>
  <si>
    <t>98/2023/NĐ-CP</t>
  </si>
  <si>
    <t>02/CT-TTg </t>
  </si>
  <si>
    <t>02/2024/QĐ-TTg</t>
  </si>
  <si>
    <t>135/QĐ-TTg</t>
  </si>
  <si>
    <t>140/QĐ-TTg</t>
  </si>
  <si>
    <t>35/2024/NĐ-CP</t>
  </si>
  <si>
    <t>300/QĐ-TTg</t>
  </si>
  <si>
    <t>24/2024/NĐ-CP</t>
  </si>
  <si>
    <t>23/2024/NĐ-CP</t>
  </si>
  <si>
    <t>213/QĐ-TTg</t>
  </si>
  <si>
    <t>383/TB-VPCP</t>
  </si>
  <si>
    <t>83/CĐ-TTg</t>
  </si>
  <si>
    <t>918/QĐ-TTg</t>
  </si>
  <si>
    <t>126/NQ-CP</t>
  </si>
  <si>
    <t>31/CT-TTG</t>
  </si>
  <si>
    <t>114/2024/NĐ-CP</t>
  </si>
  <si>
    <t>35/CT-TTg</t>
  </si>
  <si>
    <t>147/2024/NĐ-CP</t>
  </si>
  <si>
    <t>218/NQ-CP</t>
  </si>
  <si>
    <t>522/TB-VPCP</t>
  </si>
  <si>
    <t>168/2024/NĐ-CP</t>
  </si>
  <si>
    <t>180/2024/NĐ-CP</t>
  </si>
  <si>
    <t>179/2024/NĐ-CP</t>
  </si>
  <si>
    <t>06/2025/TT-BCA</t>
  </si>
  <si>
    <t>Bộ Công an</t>
  </si>
  <si>
    <t>Những văn bản quy phạm pháp luật, văn bản của ĐHQGHN liên quan đến hoạt động của Trường (cập nhật nửa sau tháng 01/2025)</t>
  </si>
  <si>
    <t>02/2025/TT-BGDĐT</t>
  </si>
  <si>
    <t>108/QĐ-TCT</t>
  </si>
  <si>
    <t>Tổng cục Thuế</t>
  </si>
  <si>
    <t>03/2025/TT-BGDĐT</t>
  </si>
  <si>
    <t>389/QĐ-BGDĐT</t>
  </si>
  <si>
    <t>403/QĐ-BGDĐT</t>
  </si>
  <si>
    <t>391/QĐ-BGDĐT</t>
  </si>
  <si>
    <t>614/BGDĐT-KHCNMT</t>
  </si>
  <si>
    <t>04/2025/TT-BGDĐT</t>
  </si>
  <si>
    <t>37/2025/NĐ-CP</t>
  </si>
  <si>
    <t>452/QĐ-TTg</t>
  </si>
  <si>
    <t>06/2025/TT-BGDĐT</t>
  </si>
  <si>
    <t>1250/BGDĐT-TCCB</t>
  </si>
  <si>
    <t xml:space="preserve">ĐU </t>
  </si>
  <si>
    <t>15/HD/UBKTTW</t>
  </si>
  <si>
    <t>738/QĐ-BGDĐT</t>
  </si>
  <si>
    <t>68/2025/NĐ-CP</t>
  </si>
  <si>
    <t>70/2025/NĐ-CP</t>
  </si>
  <si>
    <t>60/2025/NĐ-CP</t>
  </si>
  <si>
    <t>168/BHXH-QLT</t>
  </si>
  <si>
    <t>001/2025/TT-BNV</t>
  </si>
  <si>
    <t>Bộ Nội vụ</t>
  </si>
  <si>
    <t>Những văn bản quy phạm pháp luật, văn bản của ĐHQGHN liên quan đến hoạt động của Trường (cập nhật nửa đầu tháng 05/2025)</t>
  </si>
  <si>
    <t>12/2025/TT-BTC</t>
  </si>
  <si>
    <t>Bộ Tài chính</t>
  </si>
  <si>
    <t xml:space="preserve"> 425/CT-NVT</t>
  </si>
  <si>
    <t>002/2025/TT-BNV</t>
  </si>
  <si>
    <t>403/KH-BGDĐT</t>
  </si>
  <si>
    <t>315/QĐ-BNV</t>
  </si>
  <si>
    <t>Quyết định số 315/QĐ-BNV ngày 4/4/2025 của Bộ Nội vụ về việc công bố thủ tục hành chính được sửa đổi, bổ sung lĩnh vực việc làm thuộc phạm vi chức năng quản lý của Bộ Nội vụ</t>
  </si>
  <si>
    <t>60-NQ/TW</t>
  </si>
  <si>
    <t>Nghị quyết số 60-NQ/TW ngày 12/4/2025 của Ban chấp hành Trung ương về Hội nghị lần thứ 11 Ban chấp hành Trung ương Đảng Khoá XIII</t>
  </si>
  <si>
    <t>982/QĐ-BGDĐT</t>
  </si>
  <si>
    <t>1016/QĐ-BGDĐT</t>
  </si>
  <si>
    <t>1009/QĐ-BGDĐT</t>
  </si>
  <si>
    <t>68-NQ/TW</t>
  </si>
  <si>
    <t>02/2025/TT-BTP</t>
  </si>
  <si>
    <t>Bộ Tư pháp</t>
  </si>
  <si>
    <t>Những văn bản quy phạm pháp luật, văn bản của ĐHQGHN liên quan đến hoạt động của Trường (cập nhật nửa cuối tháng 05/2025)</t>
  </si>
  <si>
    <t>1384/QĐ-BGDĐT</t>
  </si>
  <si>
    <t>07/2025/TT-BGDĐT</t>
  </si>
  <si>
    <t>92/2025/NĐ-CP</t>
  </si>
  <si>
    <t>41/2024/QH15</t>
  </si>
  <si>
    <t>Luật</t>
  </si>
  <si>
    <t>Quốc hội</t>
  </si>
  <si>
    <t>Các điểm mới của Luật Bảo hiểm xã hội 2024.docx</t>
  </si>
  <si>
    <t>08/2025/TT-BGDĐT</t>
  </si>
  <si>
    <t>So sánh điểm mới của Thông tư 08/2025/TT-BGDĐT so với Thông tư 27/2016/TT-BGDĐT Về thời hạn lưu trữ hồ sơ, tài liệu chuyên môn nghiệp vụ trong lĩnh vực giáo dục đại học</t>
  </si>
  <si>
    <t>05/2025/TT-BNV</t>
  </si>
  <si>
    <t>06/2020/TT-BNV</t>
  </si>
  <si>
    <t>27/2016/TT-BGDĐT</t>
  </si>
  <si>
    <t>73/2025/QH15</t>
  </si>
  <si>
    <t>294-QĐ/TW</t>
  </si>
  <si>
    <t xml:space="preserve">Quyết định </t>
  </si>
  <si>
    <t xml:space="preserve">142/2025/NĐ-CP </t>
  </si>
  <si>
    <t>150/2025/NĐ-CP</t>
  </si>
  <si>
    <t>154/2025/NĐ-CP</t>
  </si>
  <si>
    <t xml:space="preserve">4133/TLĐ-ToC </t>
  </si>
  <si>
    <t>TLĐ Lao động Việt Nam</t>
  </si>
  <si>
    <t>127/2018/NĐ-CP</t>
  </si>
  <si>
    <t>So sánh điểm mới của Nghị định 142/2025/NĐ-CP và Nghị định 127/2018/NĐ-CP Về trách nhiệm quản lý nhà nước trong lĩnh vực giáo dục</t>
  </si>
  <si>
    <t>45/2025/NĐ-CP</t>
  </si>
  <si>
    <t>120/2025/NĐ-CP</t>
  </si>
  <si>
    <t>121/2025/NĐ-CP</t>
  </si>
  <si>
    <t>122/2025/NĐ-CP</t>
  </si>
  <si>
    <t>124/2025/NĐ-CP</t>
  </si>
  <si>
    <t>125/2025/NĐ-CP</t>
  </si>
  <si>
    <t>Toàn văn 28 Nghị định về phân quyền, phân cấp; phân định thẩm quyền giữa Chính phủ và chính quyền địa phương 2 cấp (lần 2)</t>
  </si>
  <si>
    <t>126/2025/NĐ-CP</t>
  </si>
  <si>
    <t>127/2025/NĐ-CP</t>
  </si>
  <si>
    <t>128/2025/NĐ-CP</t>
  </si>
  <si>
    <t>129/2025/NĐ-CP</t>
  </si>
  <si>
    <t>130/2025/NĐ-CP</t>
  </si>
  <si>
    <t>131/2025/NĐ-CP</t>
  </si>
  <si>
    <t>132/2025/NĐ-CP</t>
  </si>
  <si>
    <t>133/2025/NĐ-CP</t>
  </si>
  <si>
    <t>134/2025/NĐ-CP</t>
  </si>
  <si>
    <t>136/2025/NĐ-CP</t>
  </si>
  <si>
    <t>137/2025/NĐ-CP</t>
  </si>
  <si>
    <t>138/2025/NĐ-CP</t>
  </si>
  <si>
    <t>139/2025/NĐ-CP</t>
  </si>
  <si>
    <t>140/2025/NĐ-CP</t>
  </si>
  <si>
    <t>141/2025/NĐ-CP</t>
  </si>
  <si>
    <t>142/2025/NĐ-CP</t>
  </si>
  <si>
    <t>143/2025/NĐ-CP</t>
  </si>
  <si>
    <t>144/2025/NĐ-CP</t>
  </si>
  <si>
    <t>145/2025/NĐ-CP</t>
  </si>
  <si>
    <t>146/2025/NĐ-CP</t>
  </si>
  <si>
    <t>147/2025/NĐ-CP</t>
  </si>
  <si>
    <t>148/2025/NĐ-CP</t>
  </si>
  <si>
    <t>151/2025/NĐ-CP</t>
  </si>
  <si>
    <t>331-QĐ/TW</t>
  </si>
  <si>
    <t>Những văn bản quy phạm pháp luật, văn bản của ĐHQGHN liên quan đến hoạt động của Trường (cập nhật nửa sau tháng 06/2025)</t>
  </si>
  <si>
    <t xml:space="preserve">158/2025/NĐ-CP </t>
  </si>
  <si>
    <t>34/2025/TT-BTC</t>
  </si>
  <si>
    <t xml:space="preserve">153/2025/NĐ-CP </t>
  </si>
  <si>
    <t>So sánh điểm mới của Nghị định 153/2025/NĐ-CP và Nghị định 72/2023/NĐ-CP về quy định tiêu chuẩn, định mức sử dụng xe ô tô</t>
  </si>
  <si>
    <t xml:space="preserve">155/2025/NĐ-CP​ </t>
  </si>
  <si>
    <t>So sánh điểm mới của Nghị định 155/2025/NĐ-CP và Nghị định 152/2017/NĐ-CP về quy định tiêu chuẩn, định mức sử dụng trụ sở làm việc, cơ sở hoạt động sự nghiệp</t>
  </si>
  <si>
    <t>152/2017/NĐ-CP</t>
  </si>
  <si>
    <t>15/2025/QĐ-TTg</t>
  </si>
  <si>
    <t xml:space="preserve">50/2017/QĐ-TTg </t>
  </si>
  <si>
    <t>172/2025/NĐ-CP</t>
  </si>
  <si>
    <t>Văn bản hợp nhất</t>
  </si>
  <si>
    <t xml:space="preserve">5/VBHN-BNV </t>
  </si>
  <si>
    <t>Những điểm mới của Luật đấu thầu 2025</t>
  </si>
  <si>
    <t xml:space="preserve">179/2025/NĐ-CP </t>
  </si>
  <si>
    <t>201/2025/NĐ-CP</t>
  </si>
  <si>
    <t>186/2013/NĐ-CP</t>
  </si>
  <si>
    <t>91/2025/QH15</t>
  </si>
  <si>
    <t>12/2025/TT-BNV</t>
  </si>
  <si>
    <t xml:space="preserve">188/2025/NĐ-CP </t>
  </si>
  <si>
    <t xml:space="preserve">74/2025/QH15 </t>
  </si>
  <si>
    <t xml:space="preserve">38/2013/QH13 </t>
  </si>
  <si>
    <t xml:space="preserve">186/2025/NĐ-CP </t>
  </si>
  <si>
    <t xml:space="preserve">214/2025/NĐ-CP </t>
  </si>
  <si>
    <t>Những văn bản quy phạm pháp luật, văn bản của ĐHQGHN liên quan đến hoạt động của Trường (Thông báo tháng 8/2025)</t>
  </si>
  <si>
    <t xml:space="preserve">24/2024/NĐ-CP </t>
  </si>
  <si>
    <t xml:space="preserve">1575/QĐ-TTg </t>
  </si>
  <si>
    <t xml:space="preserve">1630/QĐ-TTg </t>
  </si>
  <si>
    <t xml:space="preserve">1818/QĐ-BGDĐT </t>
  </si>
  <si>
    <t>61/QĐ-TLĐ</t>
  </si>
  <si>
    <t xml:space="preserve">2222/QĐ-BHXH </t>
  </si>
  <si>
    <t>1804/BHXH-QLT</t>
  </si>
  <si>
    <t>219/2025/NĐ-CP</t>
  </si>
  <si>
    <t>222/2025/NĐ-CP</t>
  </si>
  <si>
    <t>1818/QĐ-BGDĐT</t>
  </si>
  <si>
    <t>2757/QĐ-BTC</t>
  </si>
  <si>
    <t xml:space="preserve">15/2025/TT-BNV </t>
  </si>
  <si>
    <t xml:space="preserve">863/QĐ-BNV </t>
  </si>
  <si>
    <t xml:space="preserve"> 51-CT/TW </t>
  </si>
  <si>
    <t xml:space="preserve">Chỉ thị 51-CT/TW </t>
  </si>
  <si>
    <t>188/2025/NĐ-CP</t>
  </si>
  <si>
    <t xml:space="preserve">06/VBHN-BXD </t>
  </si>
  <si>
    <t>Văn bản hợp nhất số 06/VBHN-BXD về việc hợp nhất Thông tư quy định về phân cấp công trình xây dựng và hướng dẫn áp dụng trong quản lý hoạt động đầu tư xây dựng</t>
  </si>
  <si>
    <t>1723/QĐ-TTg</t>
  </si>
  <si>
    <t>2205/QĐ-BKHCN</t>
  </si>
  <si>
    <t>Bộ KHCN</t>
  </si>
  <si>
    <t>863/QĐ-BNV</t>
  </si>
  <si>
    <t>2358/QĐ-BGDĐT</t>
  </si>
  <si>
    <t xml:space="preserve">139/CĐ-TTg </t>
  </si>
  <si>
    <t xml:space="preserve">4725/BGDĐT-PC </t>
  </si>
  <si>
    <t xml:space="preserve">4642/BGDĐT-HSSV </t>
  </si>
  <si>
    <t xml:space="preserve">1879/BHXH-CSXH </t>
  </si>
  <si>
    <t>1832/QĐ-TTg</t>
  </si>
  <si>
    <t xml:space="preserve"> 71-NQ/TW</t>
  </si>
  <si>
    <t>Bộ Chính trị</t>
  </si>
  <si>
    <t>185-KL/TW</t>
  </si>
  <si>
    <t>Kết luận</t>
  </si>
  <si>
    <t>24/2025/TT-BXD</t>
  </si>
  <si>
    <t>29/2025/QĐ-TTg</t>
  </si>
  <si>
    <t xml:space="preserve"> 237/2025/NĐ-CP</t>
  </si>
  <si>
    <t>354/CT-BVHTTDL</t>
  </si>
  <si>
    <t>Bộ VHTT&amp;DL</t>
  </si>
  <si>
    <t>238/2025/NĐ-CP</t>
  </si>
  <si>
    <t>350/QĐ-TW</t>
  </si>
  <si>
    <t xml:space="preserve">30/2025/QĐ-TTg </t>
  </si>
  <si>
    <t xml:space="preserve">239/2025/NĐ-CP </t>
  </si>
  <si>
    <t>16/2025/TT-BGDĐ</t>
  </si>
  <si>
    <t>1891/QĐ-TTg</t>
  </si>
  <si>
    <t>365-QĐ/TW</t>
  </si>
  <si>
    <t>72-NQ/TW</t>
  </si>
  <si>
    <t xml:space="preserve"> 07/2025/NQ-CP</t>
  </si>
  <si>
    <t xml:space="preserve">249/2025/NĐ-CP </t>
  </si>
  <si>
    <t>2624/QĐ-BGDĐT</t>
  </si>
  <si>
    <t xml:space="preserve"> 2002/QĐ-TTg </t>
  </si>
  <si>
    <t>18/2025/TT-BGDĐT</t>
  </si>
  <si>
    <t>21/2025/TT-BGDĐ</t>
  </si>
  <si>
    <t>25/2025/TT-NHNN</t>
  </si>
  <si>
    <t>9537/BXD-QLN</t>
  </si>
  <si>
    <t xml:space="preserve">9537/BXD-QLN </t>
  </si>
  <si>
    <t>26/CT-TTg</t>
  </si>
  <si>
    <t>Ban chỉ đạo NQ18</t>
  </si>
  <si>
    <t xml:space="preserve">130/KH-BCĐTKNQ18 </t>
  </si>
  <si>
    <t xml:space="preserve"> 7030/BGDĐT-KHTC </t>
  </si>
  <si>
    <t>7030/BGDĐT-KHTC</t>
  </si>
  <si>
    <t>Tên văn bản</t>
  </si>
  <si>
    <t xml:space="preserve">Link Văn bản so sánh được tuyên truyền </t>
  </si>
  <si>
    <t>So sánh điểm mới TT 04.2025.TT-BGDĐT.docx</t>
  </si>
  <si>
    <t>Một số điểm mới của Nghị định số 37/2025/NĐ-CP ngày 26/02/2025 của Chính phủ</t>
  </si>
  <si>
    <t>So sánh điểm mới Thông tư 06/2025/TT-BGDĐT quy chế tuyển sinh đại học năm 2025 của Bộ Giáo dục và Đào tạo.docx</t>
  </si>
  <si>
    <t>So sánh điểm mới Thông tư 12/2025/TT-BTC quy định chế độ công tác phí.docx</t>
  </si>
  <si>
    <t>Điểm mới TT07.2025 và TT38.2020 của Bộ GD&amp;ĐT.docx</t>
  </si>
  <si>
    <t>CSVC</t>
  </si>
  <si>
    <t>So sánh các điểm mới của của Luật việc làm 2025 do Quốc hội ban hành ngày 16/06/2025 và Luật việc làm 2013 do Quốc hội ban hành ngày 16/11/2013</t>
  </si>
  <si>
    <t>Những văn bản quy phạm pháp luật, văn bản của ĐHQGHN liên quan đến hoạt động của Trường (Thông báo tháng 8/2025 lần 02)</t>
  </si>
  <si>
    <t>5512/VBHN-BLĐTBXH</t>
  </si>
  <si>
    <t>NCKH&amp;HTPT</t>
  </si>
  <si>
    <t>SITE</t>
  </si>
  <si>
    <t>ĐU</t>
  </si>
  <si>
    <t>HT&amp;HN</t>
  </si>
  <si>
    <t>Tên đơn vị</t>
  </si>
  <si>
    <t>Viết tắt</t>
  </si>
  <si>
    <t>Tên lĩnh vực</t>
  </si>
  <si>
    <t>Tuyển sinh</t>
  </si>
  <si>
    <t>Ban Giám hiệu</t>
  </si>
  <si>
    <t>BGH</t>
  </si>
  <si>
    <t>Đào tạo</t>
  </si>
  <si>
    <t>Phòng Tuyển sinh và Truyền thông</t>
  </si>
  <si>
    <t>Công tác sinh viên</t>
  </si>
  <si>
    <t>Phòng Đào tạo</t>
  </si>
  <si>
    <t>Nghiên cứu khoa học</t>
  </si>
  <si>
    <t>Phòng Nghiên cứu Khoa học và Hợp tác Phát triển</t>
  </si>
  <si>
    <t>Hợp tác phát triển</t>
  </si>
  <si>
    <t>Phòng Tổ chức Nhân sự</t>
  </si>
  <si>
    <t>Tổ chức nhân sự</t>
  </si>
  <si>
    <t>Phòng Kế hoạch Tài chính</t>
  </si>
  <si>
    <t>Kế hoạch tài chính</t>
  </si>
  <si>
    <t>Phòng Hành chính - Tổng hợp</t>
  </si>
  <si>
    <t>Hành chính tổng hợp</t>
  </si>
  <si>
    <t>Phòng Công tác Đảng - Đoàn thể và Thanh Tra</t>
  </si>
  <si>
    <t>Cơ sở vật chất</t>
  </si>
  <si>
    <t>Công nghệ thông tin</t>
  </si>
  <si>
    <t>Trung tâm Đảm bảo Chất lượng Giáo dục</t>
  </si>
  <si>
    <t>Thanh tra pháp chế</t>
  </si>
  <si>
    <t>Đảm bảo chất lượng</t>
  </si>
  <si>
    <t>21179QĐ-HAN</t>
  </si>
  <si>
    <t>303/NQ-CP</t>
  </si>
  <si>
    <t>197-KL/TW</t>
  </si>
  <si>
    <t>15385/BTC-QLCS</t>
  </si>
  <si>
    <t>15/2024/TT-NHNN</t>
  </si>
  <si>
    <t>Ngân hàng NN</t>
  </si>
  <si>
    <t>2750/QĐ-BGDĐT</t>
  </si>
  <si>
    <t>257/2025/NĐ-CP</t>
  </si>
  <si>
    <t>306/NQ-CP</t>
  </si>
  <si>
    <t xml:space="preserve">306/NQ-CP </t>
  </si>
  <si>
    <t>6400/BGDĐT-GDĐH</t>
  </si>
  <si>
    <t xml:space="preserve">6400/BGDĐT-GDĐH </t>
  </si>
  <si>
    <t>92/2025/TT-BTC</t>
  </si>
  <si>
    <t>16/2025/TT-BNV</t>
  </si>
  <si>
    <t xml:space="preserve">2108/QĐ-BGDĐT </t>
  </si>
  <si>
    <t>Những văn bản quy phạm pháp luật, văn bản của ĐHQGHN liên quan đến hoạt động của Trường (Thông báo tháng 10/2025)</t>
  </si>
  <si>
    <t>Chánh văn phòng</t>
  </si>
  <si>
    <t>21179/QĐ-HAN</t>
  </si>
  <si>
    <t>21/2025/TT-BGDĐT</t>
  </si>
  <si>
    <t>Thông tư số 92/2025/TT-BTC về việc bãi bỏ Thông tư liên tịch số 15/2010/TTLT-BTC-BGDĐT ngày 29/01/2010 của Bộ Tài chính và Bộ Giáo dục và Đào tạo hướng dẫn quản lý và sử dụng kinh phí thực hiện Chương trình đảm bảo chất lượng giáo dục trường học giai đoạn 2010 - 2015 và Thông tư liên tịch số 143/2013/TTLT-BTC-BGDĐT ngày 18/10/2013 của Bộ Tài chính và Bộ Giáo dục và Đào tạo sửa đổi, bổ sung một số điều của Thông tư liên tịch số 15/2010/TTLT-BTC-BGDĐT</t>
  </si>
  <si>
    <t>Quyết định số 2750/QĐ-BGDĐT về việc công bố thủ tục hành chính mới ban hành; thủ tục hành chính được thay thế lĩnh vực giáo dục và đào tạo thuộc hệ thống giáo dục quốc dân thuộc phạm vi chức năng quản lý của Bộ Giáo dục và Đào tạo</t>
  </si>
  <si>
    <t>Nghị quyết số 303/NQ-CP về giải pháp thực hiện hiệu quả chính quyền địa phương 2 cấp theo Kết luận của Bộ Chính trị, Ban Bí thư</t>
  </si>
  <si>
    <t>Quyết định số 21179/QĐ-HAN về việc ban hành sổ tay hướng dẫn, kê khai, nộp thuế đối với cơ sở giáo dục công lập</t>
  </si>
  <si>
    <t>Chỉ thị số 26/CT-TTg về việc tăng cường điều kiện bảo đảm chất lượng thực hiện hiệu quả nhiệm vụ năm học 2025 - 2026, trong đó có việc kiểm tra các khoản thu đầu năm học.</t>
  </si>
  <si>
    <t>Quyết định số 2002/QĐ-TTg về việc giao dự toán thu, chỉ bảo hiểm xã hội, bảo hiểm thất nghiệp, bảo hiểm y tế và chi tổ chức và hoạt động bảo hiểm xã hội, bảo hiểm thất nghiệp, bảo hiểm y tế năm 2025</t>
  </si>
  <si>
    <t>Quyết định số 2624/QĐ-BGDĐT về việc công bố thủ tục hành chính được thay thế, lĩnh vực giáo dục và đào tạo thuộc hệ thống giáo dục quốc dân thuộc phạm vu, chức năng quản lý của Bộ GD&amp;ĐT</t>
  </si>
  <si>
    <t>Nghị quyết số 07/2025/NQ-CP về chính sách, chế độ đối với đối tượng chịu sự tác động do thực hiện sắp xếp tổ chức bộ máy, đơn vị hành chính các cấp theo Kết luận 183-KL/TW ngày 01/8/2025 của Bộ Chính trị, Ban bí thư</t>
  </si>
  <si>
    <t>Nghị quyết số 72-NQ/TW của Bộ Chính trị về một số giải pháp đột phá, tăng cường bảo vệ, chăm sóc và nâng cao sức khỏe Nhân dân</t>
  </si>
  <si>
    <t>Quy định số 350/QĐ-TW về đối tượng, tiêu chuẩn và phân cấp đào tạo lý luận chính trị</t>
  </si>
  <si>
    <t>Chỉ thị số 354/CT-BVHTTDL về việc đẩy mạnh cuộc vận động “Toàn dân rèn luyện thân thể theo gương Bác Hồ vĩ đại” giai đoạn 2021-2030, trong đó, có nội dung về phát triển các đội thể thao, câu lạc bộ thể thao trong trường học</t>
  </si>
  <si>
    <t>Quyết định số 1832/QĐ-TTg về việc phê duyệt phương án cắt giảm, đơn giản hóa thủ tục hành chính liên quan đến hoạt động sản xuất, kinh doanh thuộc phạm vi quản lý của Bộ Giáo dục và Đào tạo năm 2025</t>
  </si>
  <si>
    <t>Quyết định số 863/QĐ-BNV về việc công bố thủ tục hành chính mới và bị bãi bỏ trong lĩnh vực bảo hiểm xã hội thuộc phạm vi chức năng quản lý Nhà nước của Bộ Nội vụ</t>
  </si>
  <si>
    <t>1630/QĐ-TTg</t>
  </si>
  <si>
    <t>186/2025/NĐ-CP</t>
  </si>
  <si>
    <t>1575/QĐ-TTg</t>
  </si>
  <si>
    <t>214/2025/NĐ-CP</t>
  </si>
  <si>
    <t>38/2013/QH13</t>
  </si>
  <si>
    <t xml:space="preserve"> 2002/QĐ-TTg</t>
  </si>
  <si>
    <t>30/2025/QĐ-TTg</t>
  </si>
  <si>
    <t>4725/BGDĐT-PC</t>
  </si>
  <si>
    <t>4642/BGDĐT-HSSV</t>
  </si>
  <si>
    <t>06/VBHN-BXD</t>
  </si>
  <si>
    <t>74/2025/QH15</t>
  </si>
  <si>
    <t>179/2025/NĐ-CP</t>
  </si>
  <si>
    <t>90/2025/QH15</t>
  </si>
  <si>
    <t>5/VBHN-BNV</t>
  </si>
  <si>
    <t>50/2017/QĐ-TTg</t>
  </si>
  <si>
    <t>155/2025/NĐ-CP​</t>
  </si>
  <si>
    <t>153/2025/NĐ-CP</t>
  </si>
  <si>
    <t>158/2025/NĐ-CP</t>
  </si>
  <si>
    <t>4133/TLĐ-ToC</t>
  </si>
  <si>
    <t>1117/QĐ-TTg</t>
  </si>
  <si>
    <t>42/2023/NĐ-CP</t>
  </si>
  <si>
    <t xml:space="preserve"> 377-QĐ/TW</t>
  </si>
  <si>
    <t>377-QĐ/TW</t>
  </si>
  <si>
    <t xml:space="preserve">Hướng dẫn </t>
  </si>
  <si>
    <t>40-HD/BTCTW</t>
  </si>
  <si>
    <t>BTC Trung ương</t>
  </si>
  <si>
    <t>335/NQ-CP</t>
  </si>
  <si>
    <t>Hướng dẫn số 40-HD/BTCTW về thực hiện biểu mẫu thống kê cơ bản về tổ chức đảng và đảng viên</t>
  </si>
  <si>
    <t>Nghị quyết 335/NQ-CP về việc tính chi phí quản lý vào giá dịch vụ khám bệnh, chữa bệnh</t>
  </si>
  <si>
    <t xml:space="preserve"> Chính phủ</t>
  </si>
  <si>
    <t>349/NQ-CP</t>
  </si>
  <si>
    <t>Nghị quyết 349/NQ-CP về Chương trình hành động nâng cao hiệu quả công tác thanh niên thời kỳ công nghiệp hóa, hiện đại hóa</t>
  </si>
  <si>
    <t>274/2025/NĐ-CP</t>
  </si>
  <si>
    <t>267/2025/NĐ-CP</t>
  </si>
  <si>
    <t>271/2025/NĐ-CP</t>
  </si>
  <si>
    <t>2330/QĐ-TTg</t>
  </si>
  <si>
    <t>156/QĐ-HĐPH</t>
  </si>
  <si>
    <t>32/CT-TTg</t>
  </si>
  <si>
    <t xml:space="preserve">31-HD/BTGDVTW </t>
  </si>
  <si>
    <t xml:space="preserve">Nghị định 267/2025/NĐ-CP về việc quy định chi tiết và hướng dẫn một số điều của Luật Khoa học, công nghệ và đổi mới sáng tạo </t>
  </si>
  <si>
    <t>Hướng dẫn 31-HD/BTGDVTW về việc tuyên truyền kết quả Hội nghị lần thứ 13 Ban Chấp hành Trung ương Đảng khóa XIII</t>
  </si>
  <si>
    <t>Chỉ thị số 32/CT-TTg của về việc tăng cường công tác bảo vệ bí mật nhà nước trong tình hình mới</t>
  </si>
  <si>
    <t>Quyết định 2330/QĐ-TTg về việc ban hành kế hoạch triển khai thi hành Luật Khoa học, Công nghệ và Đổi mới sáng tạo</t>
  </si>
  <si>
    <t>Nghị định 274/2025/NĐ-CP về việc quy định chi tiết một số điều của Luật Bảo hiểm xã hội về chậm đóng, trốn đóng bảo hiểm xã hội bắt buộc, bảo hiểm thất nghiệp; khiếu nại, tố cáo về bảo hiểm xã hội</t>
  </si>
  <si>
    <t>Nghị định 271/2025/NĐ-CP về việc quy định về thành lập, tham gia thành lập doanh nghiệp, tham gia góp vốn vào doanh nghiệp để thương mại hóa kết quả nghiên cứu khoa học, phát triển công nghệ trên địa bàn thành phố Hà Nội</t>
  </si>
  <si>
    <t>Nghị định 263/2025/NĐ-CP về việc quy định chi tiết và hướng dẫn một số điều của Luật Khoa học, công nghệ và đổi mới sáng tạo về cơ chế tự chủ, tự chịu trách nhiệm của tổ chức khoa học và công nghệ công lập, nhân lực, nhân tài và giải thưởng trong lĩnh vực khoa học, công nghệ và đổi mới sáng tạo</t>
  </si>
  <si>
    <t>Hội đồng phổ biến pháp luật</t>
  </si>
  <si>
    <t>2972/QĐ-BGDĐ</t>
  </si>
  <si>
    <t>263/2025/NĐ-CP</t>
  </si>
  <si>
    <t xml:space="preserve">100/2025/TT-BTC </t>
  </si>
  <si>
    <t>100/2025/TT-BTC</t>
  </si>
  <si>
    <t xml:space="preserve">2371/QĐ-TTg </t>
  </si>
  <si>
    <t>Quyết định 2371/QĐ-TTg về việc phê duyệt Đề án "Đưa tiếng Anh thành ngôn ngữ thứ hai trong trường học giai đoạn 2025 - 2035, tầm nhìn đến năm 2045"</t>
  </si>
  <si>
    <t>Thông tư số 05/2025/TT-BNV ngày 14/5/2025 của Bộ Nội vụ về việc quy định nghiệp vụ lưu trữ tài liệu lưu trữ số</t>
  </si>
  <si>
    <t>Quyết định số 1384/QĐ-BGDĐT ngày 22/05/2025 của Bộ GD&amp;ĐT về việc Công bố thủ tục hành chính được sửa đổi, bổ sung, lĩnh vực thi, tuyển sinh thuộc phạm vi, chức năng quản lý của Bộ GD&amp;ĐT</t>
  </si>
  <si>
    <t>Quyết định số 1009/QĐ-BGDĐT ngày 16/4/2025 của Bộ Giáo dục và Đào tạo về việc phê duyệt danh mục đặt hàng Chương trình khoa học và công nghệ cấp bộ để đưa ra tuyển chọn thực hiện từ năm 2026</t>
  </si>
  <si>
    <t>Thông tư số 001/2025/TT-BNV ngày 17/3/2025 của Bộ Nội vụ về việc ban hành Nội quy và Quy chế tuyển dụng, nâng ngạch, xét thăng hạng công chức, viên chức</t>
  </si>
  <si>
    <t>Nghị quyết số 218/NQ-CP của Chính phủ trong phiên họp thường kỳ tháng 10 năm 2024</t>
  </si>
  <si>
    <t>Chỉ thị số 31/CT-TTG về việc tăng cường các điều kiện bảo đảm thực hiện hiệu quả nhiệm vụ năm học 2024-2025</t>
  </si>
  <si>
    <t>Nghị quyết số 126/NQ-CP về phiên họp chuyên đề về xây dựng pháp luật tháng 8 năm 2024</t>
  </si>
  <si>
    <t>Quyết định số 918/QĐ-TTg về Kế hoạch triển khai thực hiện Kết luận số 83-KL/TW ngày 21/6/2024 của Bộ Chính trị và Nghị quyết số 142/2024/QH15 ngày 29/6/2024 của kỳ họp thứ 7, Quốc hội khóa XV về cải cách tiền lương, điều chỉnh lương hưu, trợ cấp bảo hiểm xã hội, trợ cấp ưu đãi người có công và trợ cấp xã hội</t>
  </si>
  <si>
    <t>Công điện số 83/CĐ-TTg về việc tăng cường đào tạo nhân lực chất lượng cao trong các lĩnh vực vi mạch bán dẫn, trí tuệ nhân tạo và điện toán đám mây</t>
  </si>
  <si>
    <t>Quyết định số 213/QĐ-TTg về việc phê duyệt Đề án tổng kiểm kê tài sản công tại cơ quan, tổ chức, đơn vị, tài sản kết cấu hạ tầng do Nhà nước đầu tư, quản lý</t>
  </si>
  <si>
    <t>Nghị định số 23/2024/NĐ-CP quy định chi tiết về một số điều và biện pháp thi hành Luật Đấu thầu về lựa chọn nhà đầu tư thực hiện dự án thuộc trường hợp phải tổ chức đấu thầu theo quy định của pháp luật quản lý ngành, lĩnh vực</t>
  </si>
  <si>
    <t>298/QĐ-TTg</t>
  </si>
  <si>
    <t>Quyết định số 300/QĐ-TTg về việc thành lập hội đồng giáo sư nhà nước nhiệm kỳ 2024 - 2029</t>
  </si>
  <si>
    <t>Quyết định số 140/QĐ-TTg về chương trình phòng, chống ma túy trong thanh, thiếu niên đến năm 2030</t>
  </si>
  <si>
    <t>Quyết định số 02/2024/QĐ-TTg về việc bãi bỏ quyết định số 09/2022/QĐ-TTG ngày 04 tháng 4 năm 2022 của Thủ tướng Chính phủ về tín dụng đối với học sinh, sinh viên có hoàn cảnh gia đình khó khăn để mua máy tính, thiết bị phục vụ học tập trực tuyến</t>
  </si>
  <si>
    <t>03/CĐ-TTg</t>
  </si>
  <si>
    <t>Công điện số 03/CĐ-TTg về việc chăm lo đời sống, bảo đảm an sinh xã hội cho người dân và người lao động trong dịp Tết Nguyên đán Giáp Thìn năm 2024</t>
  </si>
  <si>
    <t>Chỉ thị số 02/CT-TTg về việc tăng cường công tác phối hợp giữa nhà trường, gia đình và xã hội trong phòng chống bạo lực học đường, phòng ngừa tội phạm và tệ nạn xã hội trong học sinh, sinh viên.</t>
  </si>
  <si>
    <t>Công điện số 1300/CĐ-TTg về việc Bảo đảm trật tự, an toàn giao thông trong dịp Tết Dương lịch, Tết Nguyên đán Giáp Thìn và Lễ hội xuân 2024</t>
  </si>
  <si>
    <t>Chỉ thị số 30/CT-TTg về việc tăng cường biện pháp bảo đảm đón Tết Nguyên đán Giáp Thìn 2024 vui tươi, lành mạnh, an toàn, tiết kiệm</t>
  </si>
  <si>
    <t>Nghị định số 85/2023/NĐ-CP về việc sửa đổi, bổ sung một số điều của nghị định số 115/2020/NĐ-CP ngày 25 tháng 9 năm 2020 về tuyển dụng, sử dụng và quản lý viên chức</t>
  </si>
  <si>
    <t>Nghị quyết số 195/NQ-CP về việc dừng chương trình tín dụng đối với học sinh, sinh viên có hoàn cảnh gia đình khó khăn để mua máy tính, thiết bị phục vụ học tập trực tuyến tại quyết định số 09/2022/QĐ-TTg ngày 04 tháng 4 năm 2022 của Thủ tướng Chính Phủ</t>
  </si>
  <si>
    <t>Quyết định số 1117/QĐ-TTg về việc phê duyệt chương trình xây dựng mô hình nguồn tài nguyên giáo dục mở trong giáo dục Đại học</t>
  </si>
  <si>
    <t>Nghị định số 71/2023/NĐ-CP  về việc sửa đổi, bổ sung một số điều của nghị định số 112/2020/NĐ-CP ngày 18 tháng 9 năm 2020 về xử lý kỷ luật cán bộ, công chức, viên chức</t>
  </si>
  <si>
    <t>Thông báo số 352/TB-VPCP về việc kết luận của Phó thủ tướng Chính phủ Trần Hồng Hà tại cuộc họp về dự thảo chỉ thị về việc đẩy mạnh tự chủ đại học ở Việt Nam</t>
  </si>
  <si>
    <t>Nghị định số 42/2023/NĐ-CP về việc điều chỉnh lương hưu, trợ cấp bảo hiểm xã hội và trợ cấp hằng tháng</t>
  </si>
  <si>
    <t>Quyết định số 531/QĐ-TTg về việc ban hành danh mục bí mật Nhà nước thuộc lĩnh vực Giáo dục và Đào tạo</t>
  </si>
  <si>
    <t>Nghị định số 13/2023/NĐ-CP về việc Bảo vệ dữ liệu cá nhân</t>
  </si>
  <si>
    <t>Nghị quyết số 111/2022/NĐ-CP về hợp đồng đối với một số loại công việc trong cơ quan hành chính và đơn vị sự nghiệp công lập</t>
  </si>
  <si>
    <t>Nghị quyết số 01/NQ-CP về nhiệm vụ, giải pháp chủ yếu thực hiện Kế hoạch phát triển kinh tế - xã hội và Dự toán ngân sách nhà nước năm 2021</t>
  </si>
  <si>
    <t>Quyết định số 1656/QĐ-TTg về việc điều chỉnh mức cho vay đối với học sinh, sinh viên</t>
  </si>
  <si>
    <t>Quyết định số 1659/QĐ-TTg về việc phê duyệt đề án “Chương trình quốc gia về học tập ngoại ngữ cho cán bộ, công chức, viên chức giai đoạn 2019-2030"</t>
  </si>
  <si>
    <t>Nghị định số 5/2019/NĐ-CP về kiểm toán nội bộ</t>
  </si>
  <si>
    <t>Nghị định số 13/2019/NĐ-CP về doanh nghiệp khoa học và công nghệ</t>
  </si>
  <si>
    <t>uật, văn bản của ĐHQGHN liên quan đến hoạt động của Trường (Thông báo tháng 10/2025)</t>
  </si>
  <si>
    <t>Nghị định số 135/2018/NĐ-CP về việc sửa đổi, bổ sung một số điều của Nghị định 46/2017/NĐ-CP ngày 21/04/2017 của Chính phủ quy định điều kiện đầu tư và hoạt động trong lĩnh vực giáo dục</t>
  </si>
  <si>
    <t>Quyết định số 28/2018/QĐ-TTg về việc gửi, nhận văn bản điện tử giữa các cơ quan trong hệ thống hành chính Nhà nước</t>
  </si>
  <si>
    <t>22/2018/NĐ-CP</t>
  </si>
  <si>
    <t>72/2018/NĐ-CP</t>
  </si>
  <si>
    <t>28/2018/QĐ-TTg</t>
  </si>
  <si>
    <t>86/2018/NĐ- CP</t>
  </si>
  <si>
    <t>Quyết định số 199/QĐ-TTg về việc phê duyệt Phương án đơn giản hóa đối với nhóm thủ tục hành chính, quy định liên quan đến lý lịch tư pháp và yêu cầu nộp bản sao giấy tờ có công chứng, chứng thực</t>
  </si>
  <si>
    <t>Quyết định số 1665/QĐ-TTg về việc phê duyệt Đề án “Hỗ trợ học sinh, sinh viên khởi nghiệp đến năm 2025”</t>
  </si>
  <si>
    <t>Quyết định số 751/QĐ-TTg về việc điều chỉnh mức cho vay tín dụng đối với học sinh, sinh viên theo quy định tại Khoản 1 Điều 5 Quyết định 157/2007/QĐ-TTg của Thủ tướng Chính phủ</t>
  </si>
  <si>
    <t>Quyết định số 521/QĐ-TTg về việc phê duyệt Đề án thí điểm đổi mới cơ chế hoạt động của Trường Đại học Luật Thành phố Hồ Chí Minh</t>
  </si>
  <si>
    <t>Thông tư số 08/2017/TT-BLĐTBXH quy định chuẩn về chuyên môn, nghiệp vụ của nhà giáo giáo dục nghề nghiệp</t>
  </si>
  <si>
    <t>130/KH-BCĐTKNQ18</t>
  </si>
  <si>
    <t>Thông tư số 100/2025/TT-BTC về việc hướng dẫn việc lập dự toán, quản lý, sử dụng và quyết toán kinh phí dành cho công tác đào tạo, bồi dưỡng công chức, viên chức trong đó có hướng dẫn lập dự toán, phân bổ và quyết toán kinh phí đào tạo, bồi dưỡng.</t>
  </si>
  <si>
    <t>Còn hiệu lực đến 31/12/2025</t>
  </si>
  <si>
    <t>Quyết định số 2108/QĐ-BGDĐT về việc công bố Bộ thủ tục hành chính được chuẩn hóa thuộc phạm vi, chức năng quản lý của Bộ Giáo dục và Đào tạo</t>
  </si>
  <si>
    <t>Quy định số 377-QĐ/TW về việc phân cấp quản lý cán bộ và quy hoạch, bổ nhiệm, giới thiệu ứng cử, tạm đình chỉ công tác, cho thôi giữ chức vụ, từ chức, miễn nhiệm đối với cán bộ</t>
  </si>
  <si>
    <t>205-KL/TW</t>
  </si>
  <si>
    <t>53-CT/TW</t>
  </si>
  <si>
    <t xml:space="preserve">Chỉ thị </t>
  </si>
  <si>
    <t xml:space="preserve"> Trung ương</t>
  </si>
  <si>
    <t>43-HD/BTCTW</t>
  </si>
  <si>
    <t>10072-CV/BTCTW</t>
  </si>
  <si>
    <t>2923-CV/BTGDVTW</t>
  </si>
  <si>
    <t>110/2025/UBTVQH15</t>
  </si>
  <si>
    <t xml:space="preserve"> 293/2025/NĐ-CP</t>
  </si>
  <si>
    <t>278/2025/NĐ-CP</t>
  </si>
  <si>
    <t xml:space="preserve">205/2025/NĐ-CP </t>
  </si>
  <si>
    <t>190/2025/NĐ-CP</t>
  </si>
  <si>
    <t>286/2025/NĐ-CP</t>
  </si>
  <si>
    <t>283/2025/NĐ-CP</t>
  </si>
  <si>
    <t>103/2025/TT-BCA</t>
  </si>
  <si>
    <t xml:space="preserve"> 27/2025/TT-BKHCN</t>
  </si>
  <si>
    <t>28/2025/TT-BKHCN</t>
  </si>
  <si>
    <t>3463/QĐ-BKHCN</t>
  </si>
  <si>
    <t xml:space="preserve"> Nghị định</t>
  </si>
  <si>
    <t xml:space="preserve">Quyết định 156/QĐ-HĐPH về việc phê duyệt Kế hoạch nhiệm vụ trọng tâm quý IV năm 2025 </t>
  </si>
  <si>
    <t xml:space="preserve"> Ban Tuyên giáo và Dân vận Trung ương</t>
  </si>
  <si>
    <t xml:space="preserve">  Uỷ ban Thường vụ Quốc hội</t>
  </si>
  <si>
    <t>Thay thế Nghị định số 74/2024/NĐ-CP</t>
  </si>
  <si>
    <t>Những văn bản quy phạm pháp luật, văn bản của ĐHQGHN liên quan đến hoạt động của Trường (Thông báo tháng 11/2025)</t>
  </si>
  <si>
    <t>74/2024/NĐ-CP</t>
  </si>
  <si>
    <t>Kết luận số 205-KL/TW của Bộ Chính trị về một số giải pháp đột phá trong tuyển dụng, bố trí, sử dụng, đãi ngộ cán bộ</t>
  </si>
  <si>
    <t>293/2025/NĐ-CP</t>
  </si>
  <si>
    <t>Nghị định số 205/2025/NĐ-CP về việc sửa đổi, bổ sung một số điều của Nghị định số 111/2015/NĐ-CP ngày 03 tháng 11 năm 2025 của Chính phủ về phát triển công nghiệp hỗ trợ</t>
  </si>
  <si>
    <r>
      <rPr>
        <u/>
        <sz val="10"/>
        <rFont val="Arial"/>
        <family val="2"/>
      </rPr>
      <t>Những văn bản quy phạm pháp luật, văn bản của ĐHQGHN liên quan đến hoạt động của Trường (cập nhật nửa đầu tháng 02/2025)</t>
    </r>
  </si>
  <si>
    <r>
      <rPr>
        <u/>
        <sz val="10"/>
        <rFont val="Arial"/>
        <family val="2"/>
      </rPr>
      <t>Những văn bản quy phạm pháp luật, văn bản của ĐHQGHN liên quan đến hoạt động của Trường (cập nhật nửa cuối tháng 03/2025)</t>
    </r>
  </si>
  <si>
    <r>
      <rPr>
        <u/>
        <sz val="10"/>
        <rFont val="Arial"/>
        <family val="2"/>
      </rPr>
      <t>Những văn bản quy phạm pháp luật, văn bản của ĐHQGHN liên quan đến hoạt động của Trường (cập nhật nửa đầu tháng 04/2025)</t>
    </r>
  </si>
  <si>
    <r>
      <rPr>
        <u/>
        <sz val="10"/>
        <rFont val="Arial"/>
        <family val="2"/>
      </rPr>
      <t>Những văn bản quy phạm pháp luật, văn bản của ĐHQGHN liên quan đến hoạt động của Trường (cập nhật nửa sau tháng 04/2025)</t>
    </r>
  </si>
  <si>
    <t>TS&amp;TT</t>
  </si>
  <si>
    <t>Tạp chí xuất bản</t>
  </si>
  <si>
    <t>Truyền thông và Quản trị thương hiệu</t>
  </si>
  <si>
    <t>Trung tâm Hỗ trợ và hướng nghiệp</t>
  </si>
  <si>
    <t>HTTTKT&amp;QL</t>
  </si>
  <si>
    <t>Tổ chức cán bộ</t>
  </si>
  <si>
    <t>Xúc tiến đầu tư</t>
  </si>
  <si>
    <t>GDTC&amp;TT</t>
  </si>
  <si>
    <t>Trung tâm Hệ thông thông tin kinh tế và quản lý</t>
  </si>
  <si>
    <t>143/2020/NĐ-CP </t>
  </si>
  <si>
    <t>Nghị định số 186/2013/NĐ-CP về Đại học Quốc gia Hà Nội</t>
  </si>
  <si>
    <t xml:space="preserve">Bộ Chính trị </t>
  </si>
  <si>
    <t xml:space="preserve">245/2025/QH15 </t>
  </si>
  <si>
    <t>210-KL/TW</t>
  </si>
  <si>
    <t>20/2025/TT-BTP</t>
  </si>
  <si>
    <t>296/2025/NĐ-CP</t>
  </si>
  <si>
    <t>245/2025/QH15</t>
  </si>
  <si>
    <t>19/2025/TT-BTP</t>
  </si>
  <si>
    <t>303/2025/NĐ-CP</t>
  </si>
  <si>
    <t>38/2025/TT-NHNN</t>
  </si>
  <si>
    <t>66.7/2025/NQ-CP</t>
  </si>
  <si>
    <t>Quyết định số 2500/QĐ-TTg của Thủ tướng Chính phủ về việc ban hành danh mục bí mật Nhà nước lĩnh vực tổ chức, cán bộ, lao động và xã hội</t>
  </si>
  <si>
    <t>2500/QĐ-TTg</t>
  </si>
  <si>
    <t>285/2025/NĐ-CP</t>
  </si>
  <si>
    <t>Nghị định số 285/2025/NĐ-CP của Chính phủ về việc bãi bỏ một số Nghị định của Chính phủ</t>
  </si>
  <si>
    <t>24/2025/TT-BKHCN</t>
  </si>
  <si>
    <t>Thông tư số 42/2016/TT-BLĐTBXH của Bộ Lao động Thương binh và Xã hội về việc quy định mức điều chỉnh tiền lương và thu nhập tháng đã đóng bảo hiểm xã hội</t>
  </si>
  <si>
    <t>Công văn số 5276/BHXH-CSYT về việc đảm bảo quyền và nghĩa vụ của người bệnh bảo hiểm y tế (BHYT) khi đang điều trị nhưng thẻ BHYT hết hạn sử dụng</t>
  </si>
  <si>
    <t>Công văn số 5286/CT-TNCN về việc quyết toán thuế TNCN và cấp MS Thuế Người phụ thuộc</t>
  </si>
  <si>
    <t>Công văn số 2873/BHXH-BT về việc tham gia BHYT học sinh, sinh viên năm học 2018 – 2019</t>
  </si>
  <si>
    <t>Công văn số 538/QLCL-QLVBCC về việc thông báo của Cục Quản lý chất lượng về Danh sách các đơn vị đủ điều kiện tổ chức thi, cấp chứng chỉ ngoại ngữ theo Khung năng lực ngoại ngữ 6 bậc dùng cho Việt Nam và chứng chỉ ứng dụng công nghệ thông tin</t>
  </si>
  <si>
    <t>Công văn số 8662/VPCP-KGVX về việc nghỉ Tết Âm lịch và nghỉ lễ Quốc khánh năm 2024</t>
  </si>
  <si>
    <t>Công văn số 614/BGDĐT-KHCNMT về việc Hướng dẫn tổ chức Giải thưởng Khoa học và Công nghệ dành cho sinh viên trong các cơ sở GDĐH năm 2025</t>
  </si>
  <si>
    <t>Công văn số 1250/BGDĐT-TCCB về việc hướng dẫn khen thưởng các tập thể, cá nhân có nhiều thành tích trong thực hiện Nghị quyết số 18-NQ/TW</t>
  </si>
  <si>
    <t>Công văn số 168/BHXH-QLT về việc sử dụng phôi thẻ BHYT</t>
  </si>
  <si>
    <t>Công văn số 425/CT-NVT ngày 02/4/2025 của Cục thuế về việc hướng dẫn triển khai quy trình hoàn thuế TNCN tự động</t>
  </si>
  <si>
    <t>Công văn số 4133/TLĐ-ToC về việc sắp xếp tổ chức bộ máy công đoàn theo tinh thần Nghị quyết số 60-NQ/TW</t>
  </si>
  <si>
    <t>Công văn số 1804/BHXH-QLT ngày 4/8/2025 về việc sử dụng số định danh cá nhân/CCCD thay mã số BHXH và bộ mã quản lý</t>
  </si>
  <si>
    <t>Công văn số 4725/BGDĐT-PC về việc hướng dẫn nhiệm vụ năm học 2025-2026 về Công tác pháp chế</t>
  </si>
  <si>
    <t>Công văn số 4642/BGDĐT-HSSV về việc cảnh báo thủ đoạn tội phạm lợi dụng không gian mạng để dụ dỗ, lôi kéo học sinh, sinh viên</t>
  </si>
  <si>
    <t>Công văn số 1879/BHXH-CSXH về việc triển khai thí điểm tiếp nhận hồ sơ, chi trả bảo hiểm thất nghiệp theo 6 thủ tục BHTN trên Cổng Dịch vụ công Quốc gia</t>
  </si>
  <si>
    <t>Công văn số 9537/BXD-QLN về việc triển khai thực hiện đánh số và gắn biển số nhà, công trình xây dựng</t>
  </si>
  <si>
    <t>Công văn số 7030/BGDĐT-KHTC về việc thanh toán học phí theo phương thức thanh toán không dùng tiền mặt</t>
  </si>
  <si>
    <t>Công văn số 15385/BTC-QLCS về việc bố trí, xử lý tài sản công khi thực hiện sắp xếp đơn vị hành chính theo mô hình chính quyền địa phương 02 cấp</t>
  </si>
  <si>
    <t>Công văn số 6400/BGDĐT-GDĐH về việc thực hiện nhiệm vụ năm học 2025 -2026 đối với giáo dục đại học, cao đẳng sư phạm</t>
  </si>
  <si>
    <t>Công văn số 10072-CV/BTCTW về việc kiểm điểm, đánh giá, xếp loại 2025.</t>
  </si>
  <si>
    <t>Công văn số 2923-CV/BTGDVTW về việc thông báo Hội nghị lần thứ 14 Ban Chấp hành Trung ương Đảng khóa XIII</t>
  </si>
  <si>
    <t>Quyết định số 117/QĐ-TTg về việc phê duyệt Đề án "Tăng cường ứng dụng công nghệ thông tin trong quản lý và hỗ trợ các hoạt động dạy - học, nghiên cứu khoa học góp phần nâng cao chất lượng giáo dục và đào tạo giai đoạn 2016-2020, định hướng đến năm 2025".</t>
  </si>
  <si>
    <t>Thông tư số 06/2017/TT-BLĐTBXH về việc quy định về tuyển dụng, sử dụng, bồi dưỡng đối với nhà giáo giáo dục nghề nghiệp, áp dụng với nhà giáo giảng dạy trong các cơ sở giáo dục nghề nghiệp</t>
  </si>
  <si>
    <t>Thông tư số 07/2017/TT-BLĐTBXH về việc quy định chế độ làm việc của nhà giáo giáo dục nghề nghiệp</t>
  </si>
  <si>
    <t>Nghị định số 44/2017/NĐCP về việc quy định mức đóng BHXH bắt buộc vào quỹ bảo hiểm tai nạn lao động, bệnh nghề nghiệp</t>
  </si>
  <si>
    <t>Nghị định số 46/2017/NĐCP về việc quy định về điều kiện đầu tư và hoạt động trong lĩnh vực giáo dục</t>
  </si>
  <si>
    <t>Nghị định số 47/2017/NĐ-CP về việc quy định mức lương cơ sở đối với cán bộ, công chức, viên chức và lực lượng vũ trang</t>
  </si>
  <si>
    <t>Quyết định số 59/2016/QĐ-TTg của Thủ tướng Chính phủ về việc về việc ban hành Danh mục bí mật nhà nước độ Tối mật trong ngành giáo dục và đào tạo</t>
  </si>
  <si>
    <t>Quyết định số 186/QĐ-TTg về việc về việc ban hành Danh mục Dịch vụ sự nghiệp công sử dụng ngân sách nhà nước thuộc lĩnh vực giáo dục và đào tạo</t>
  </si>
  <si>
    <t>Quyết định số 1665/QĐ-UBND về việc về việc ban hành quy tắc ứng xử nơi công cộng trên địa bàn thành phố Hà Nội</t>
  </si>
  <si>
    <t>Quyết định số 391/QĐ-TTg về việc ban hành Quy chế tổ chức và hoạt động của Trường Đại học Việt Nhật</t>
  </si>
  <si>
    <t>Quyết định số 705/QĐ-TTg của Thủ tướng Chính phủ về về việc ban hành Chương trình phổ biến, giáo dục pháp luật giai đoạn 2017 - 2021</t>
  </si>
  <si>
    <t>Quyết định số 37/2018/QĐ-TTg về việc ban hành quy định tiêu chuẩn, thủ tục xét công nhận đạt tiêu chuẩn và bổ nhiệm chức danh giáo sư, phó giáo sư; thủ tục xét hủy bỏ công nhận chức danh và miễn nhiệm chức danh giáo sư, phó giáo sư</t>
  </si>
  <si>
    <t>Quyết định số 1195-QĐ/UBKTTW về việc về việc ban hành Quy trình giải quyết khiếu nại kỷ luật đảng đối với đảng viên</t>
  </si>
  <si>
    <t>Quyết định số 04/2021/QĐ-TTg về việc ban hành Điều lệ tổ chức và hoạt động của Quỹ Đổi mới công nghệ quốc gia</t>
  </si>
  <si>
    <t>Thông tư số 08/2021/TT-BGDĐT về việc ban hành Quy chế đào tạo trình độ đại học do Bộ Giáo dục và Đào tạo về việc ban hành</t>
  </si>
  <si>
    <t>Nghị định số 109/2022/NĐ-CP về việc ban hành quy định về hoạt động khoa học và công nghệ trong cơ sở giáo dục đại học</t>
  </si>
  <si>
    <t>Quyết định số 135/QĐ-TTg về về việc ban hành kế hoạch thực hiện cải cách chính sách tiền lương đối với cán bộ, công chức, viên chức, lực lượng vũ trang và người lao động trong doanh nghiệp</t>
  </si>
  <si>
    <t>Quyết định số 298/QĐ-TTg về về việc ban hành danh sách các Đơn vị sự nghiệp công lập trực thuộc Bộ Giáo dục và Đào tạo</t>
  </si>
  <si>
    <t>Thông tư số 06/2025/TT-BCA về việc bãi bỏ một số văn bản quy phạm pháp luật do Bộ trưởng Bộ Công an về việc ban hành</t>
  </si>
  <si>
    <t>Quyết định số 108/QĐ-TCT về việc ban hành Quy trình hoàn thuế thu nhập cá nhân tự động năm 2025</t>
  </si>
  <si>
    <t>Quyết định số 389/QĐ-BGDĐT về việc ban hành Kế hoạch triển khai công tác pháp chế năm 2025 của Bộ giáo dục và đào tạo</t>
  </si>
  <si>
    <t>Quyết định số 403/QĐ-BGDĐT về việc về việc ban hành Kế hoạch phổ biến, giáo dục pháp luật của ngành Giáo dục năm 2025</t>
  </si>
  <si>
    <t>Quyết định số 738/QĐ-BGDĐT về việc ban hành kế hoạch hợp nhất văn bản quy phạm pháp luật, pháp điển hệ thống quy phạm pháp luật và cập nhất văn bản trên cơ sở dữ liệu quốc gia về văn bản pháp luật thuộc trách nhiệm của Bộ Giáo dục và Đào tạo năm 2025</t>
  </si>
  <si>
    <t>Thông tư số 001/2025/TT-BNV ngày 17/3/2025 của Bộ Nội vụ về việc về việc ban hành Nội quy và Quy chế tuyển dụng, nâng ngạch, xét thăng hạng công chức, viên chức</t>
  </si>
  <si>
    <t>Quyết định số 982/QĐ-BGDĐT ngày 14/4/2025 của Bộ Giáo dục và Đào tạo về việc công bố thủ tục hành chính mới về việc ban hành trong lĩnh vực giáo dục và đào tạo thuộc hệ thống giáo dục quốc dân thuộc phạm vi,chức năng quản lý của Bộ giáo dục và đào tạo</t>
  </si>
  <si>
    <t>Quyết định số 1016/QĐ-BGDĐT ngày 16/4/2025 của Bộ Giáo dục và Đào tạo về việc về việc ban hành Kế hoạch của Bộ Giáo dục và Đào tạo thực hiện Chỉ thị số 05/CT-TTg ngày 01/3/2025 của Thủ tướng Chính phủ về các nhiệm vụ, giải pháp trọng tâm, đột phá thúc đẩy tăng trưởng kinh tế và đẩy mạnh giải ngân đầu tư, bảo đảm mục tiêu tăng trưởng cả nước năm 2025 đạt 8% trở lên</t>
  </si>
  <si>
    <t>Thông tư số 06/2020/TT-BNV về việc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t>
  </si>
  <si>
    <t>Quyết định số 331-QĐ/TW về việc ban hành quy trình mẫu thực hiện kiểm tra, giám sát của các cơ quan tham mưu, giúp việc cấp ủy</t>
  </si>
  <si>
    <t>Quyết định số 1575/QĐ-TTg về Kế hoạch triển khai thi hành Luật Cán bộ, công chức năm 2025 do Thủ tướng Chính phủ về việc ban hành</t>
  </si>
  <si>
    <t>Quyết định số 1630/QĐ-TTg năm 2025 về Danh mục bí mật nhà nước của Đảng do Thủ tướng Chính phủ về việc ban hành</t>
  </si>
  <si>
    <t>Quyết định số 1818/QĐ-BGDĐT ngày 30/6/2025 về việc về việc ban hành Quy chế đánh giá, xếp loại chất lượng hằng năm đối với đơn vị và công chức, viên chức, người lao động của Bộ Giáo dục và Đào tạo</t>
  </si>
  <si>
    <t xml:space="preserve">Quyết định số 2222/QĐ-BHXH về về việc ban hành Quy trình giải quyết hưởng các chế độ bảo hiểm xã hội, chi trả các chế độ bảo hiểm xã hội, bảo hiểm thất nghiệp </t>
  </si>
  <si>
    <t>Quyết định số 1723/QĐ-TTg về việc ban hành Danh sách các đơn vị sự nghiệp công lập trực thuộc Bộ Giáo dục và Đào tạo</t>
  </si>
  <si>
    <t>Quyết định số 2205/QĐ-BKHCN về việc về việc ban hành Quy trình nội bộ giải quyết thủ tục hành chính thuộc phạm vi chức năng của Bộ Khoa học và Công nghệ (lĩnh vực hoạt động khoa học và công nghệ)</t>
  </si>
  <si>
    <t>Quyết định số 2358/QĐ-BGDĐT về việc ban hành Kế hoạch nhiệm vụ, giải pháp trọng tâm năm học 2025-2026 của ngành Giáo dục</t>
  </si>
  <si>
    <t>Quyết định số 30/2025/QĐ-TTg về việc ban hành Quy chế phối hợp trong đấu tranh, ngăn chặn hoạt động của tổ chức, cá nhân ở nước ngoài tài trợ tiền, tài sản cho đối tượng trong nước hoạt động xâm phạm an ninh quốc gia, khủng bố</t>
  </si>
  <si>
    <t>Quyết định số 2750/QĐ-BGDĐT về việc công bố thủ tục hành chính mới về việc ban hành; thủ tục hành chính được thay thế lĩnh vực giáo dục và đào tạo thuộc hệ thống giáo dục quốc dân thuộc phạm vi chức năng quản lý của Bộ Giáo dục và Đào tạo</t>
  </si>
  <si>
    <t>Thông tư số 103/2025/TT-BCA về việc ban hành quy chuẩn kỹ thuật quốc gia về trang bị, bố trí phương tiện phòng cháy, chữa cháy, cứu nạn, cứu hộ cho nhà và công trình</t>
  </si>
  <si>
    <t>Thông tư số 24/2025/TT-BKHCN về việc về việc ban hành bảng phân loại lĩnh vực khoa học và công nghệ</t>
  </si>
  <si>
    <t>Thông tư số 38/2025/TT-NHNN của Ngân hàng nhà nước Việt Nam về việc ban hành quy chế kiểm soát nội bộ ngân hàng nhà nước Việt Nam</t>
  </si>
  <si>
    <t>Quyết định số 2500/QĐ-TTg của Thủ tướng Chính phủ về việc về việc ban hành danh mục bí mật Nhà nước lĩnh vực tổ chức, cán bộ, lao động và xã hội</t>
  </si>
  <si>
    <t>Quyết định số 18/2017/QĐ-TTg về việc quy định về liên thông giữa trình độ trung cấp, trình độ cao đẳng với trình độ đại học.</t>
  </si>
  <si>
    <t>Nghị định số 80/2017/NĐ-CP về việc quy định về môi trường giáo dục an toàn, lành mạnh, thân thiện, phòng, chống bạo lực học đường</t>
  </si>
  <si>
    <t>Nghị định số 88/2017/NĐ-CP về việc sửa đổi, bổ sung một số điều của Nghị định số 56/2015/NĐ-CP ngày 09/6/2015 của Chính phủ về đánh giá và phân loại cán bộ, công chức, viên chức</t>
  </si>
  <si>
    <t>Nghị định số 101/2017/NĐ-CP về việc đào tạo, bồi dưỡng cán bộ công chức, viên chức</t>
  </si>
  <si>
    <t>Nghị định số 91/2017/NĐ-CP về việc quy định chi tiết thi hành một số điều của Luật thi đua, khen thưởng</t>
  </si>
  <si>
    <t>Nghị quyết số 89/NQ-CP về việc đơn giản hóa thủ tục hành chính, giấy tờ công dân liên quan đến quản lý dân cư thuộc phạm vi chức năng quản lý nhà nước của Bộ Giáo dục và Đào tạo</t>
  </si>
  <si>
    <t>Nghị Quyết số 19-NQ/TW Hội nghị lần thứ sáu của Ban chấp hành TƯ khóa XII về việc tiếp tục đổi mới hệ thống tổ chức và quản lý, nâng cao chất lượng và hiệu quả hoạt động của các đơn vị sự nghiệp công lập</t>
  </si>
  <si>
    <t>Nghị định số 140/2017/NĐ-CP về việc chính sách thu hút, tạo nguồn cán bộ từ sinh viên tốt nghiệp xuất sắc, cán bộ khoa học trẻ</t>
  </si>
  <si>
    <t>Quy định số 102-QĐ/TW của Ban chấp hành Trung ương về việc xử lý kỷ luật đảng viên vi phạm</t>
  </si>
  <si>
    <t>Nghị quyết số 08/NQ-CP về việc Chương trình hành động của Chính phủ thực hiện Nghị quyết số 19-NQ/TW ngày 25 tháng 10 năm 2017 của Hội nghị lần thứ sáu Ban Chấp hành Trung ương khóa XII về tiếp tục đổi mới hệ thống tổ chức và quản lý, nâng cao chất lượng và hiệu quả hoạt động của các đơn vị sự nghiệp công lập</t>
  </si>
  <si>
    <t>Nghị định số 22/2018/NĐ-CP về việc Quy định chi tiết một số điều và biện pháp thi hành Luật sở hữu trí tuệ năm 2005 và Luật sửa đổi, bổ sung một số điều của Luật sở hữu trí tuệ năm 2009 về quyền tác giả, quyền liên quan</t>
  </si>
  <si>
    <t>Nghị định số 72/2018/NĐ-CP về việc quy định mức lương cơ sở đối với cán bộ, công chức, viên chức và lực lượng vũ trang.</t>
  </si>
  <si>
    <t>Nghị định số 86/2018/NĐ- CP về việc quy định về hợp tác, đầu tư của nước ngoài trong lĩnh vực giáo dục</t>
  </si>
  <si>
    <t>Nghị định số 113/2018/NĐ-CP về việc sửa đổi, bổ sung một số điều của Nghị định số 108/2014/NĐ-CP  ngày 20/11/2014 của Chính phủ về chính sách tinh giản biên chế</t>
  </si>
  <si>
    <t>Chỉ thị số 28/CT-TTg về việc đẩy mạnh bồi dưỡng trước khi bổ nhiệm chức vụ lãnh đạo, quản lý đối với CB, CC, VC</t>
  </si>
  <si>
    <t>Nghị định số 143/2018/NĐ-CP về việc quy định chi tiết Luật bảo hiểm xã hội và Luật an toàn, vệ sinh lao động về BHXH bắt buộc cho NLĐ là công dân nước ngoài làm việc tại Việt Nam.</t>
  </si>
  <si>
    <t>Nghị định số 148/2018/NĐ-CP về việc sửa đổi, bổ sung một số điều của Nghị định số 05/2015/NĐ-CP ngày 12/01/2015 của Chính phủ quy định chi tiết và hướng dẫn thi hành một số nội dung của Bộ luật lao động</t>
  </si>
  <si>
    <t>Quyết định số 1299/QĐ-TTg về việc phê duyệt đề án “Xây dựng văn hóa ứng xử trong trường học giai đoạn 2018 - 2025”</t>
  </si>
  <si>
    <t>Thông tư số 17/2018/TT-BLĐTBXH về việc quy định về tự kiểm tra việc thực hiện pháp luật lao động của doanh nghiệp</t>
  </si>
  <si>
    <t>Nghị định số 146/2018/NĐ-CP về việc quy định chi tiết và hướng dẫn biện pháp thi hành một số điều của Luật bảo hiểm y tế</t>
  </si>
  <si>
    <t>Nghị định số 153/2018/NĐ-CP về việc quy định chính sách điều chỉnh lương hưu đối với lao động nữ bắt đầu hưởng lương hưu trong giai đoạn từ năm 2018 đến năm 2021 có thời gian đóng bảo hiểm xã hội từ đủ 20 năm đến 29 năm 6 tháng</t>
  </si>
  <si>
    <t>Thông tư số 27/2018/TT-BGDĐT về việc sửa đổi, bổ sung điểm a khoản 3 điều 1 Thông tư liên tịch số 68/2011/TTLT-BGDĐT-BNV-BTC-BLĐTBXH ngày 30/12/2011 của Bộ Giáo dục và Đào tạo, Bộ Nội vụ, Bộ Tài chính, Bộ Lao động - Thương binh và Xã hội hướng dẫn thực hiện một số điều của nghị định số 54/2011/NĐ-CP ngày 04/7/2011 của Chính phủ về chế độ phụ cấp thâm niên đối với nhà giáo và điểm a khoản 2 mục i Thông tư liên tịch số 01/2006/TTLT-BGDĐT-BNV-BTC ngày 23/01/2006 của Bộ Giáo dục và Đào tạo, Bộ Nội vụ, Bộ Tài chính hướng dẫn thực hiện quyết định số 244/QĐ-TTG ngày 06/10/2005 của Thủ tướng Chính phủ về chế độ phụ cấp ưu đãi đối với nhà giáo đang trực tiếp giảng dạy trong các cơ sở giáo dục công lập</t>
  </si>
  <si>
    <t>Nghị định số 161/2018/NĐ-CP về việc sửa đổi, bổ sung một số quy định về tuyển dụng công chức, viên chức, nâng ngạch công chức, thăng hạng viên chức và thực hiện chế độ hợp đồng một số loại công việc trong cơ quan hành chính nhà nước, đơn vị sự nghiệp công lập</t>
  </si>
  <si>
    <t>Quyết định số 69/QĐ-TTg về việc phê duyệt Đề án nâng cao chất lượng giáo dục đại học giai đoạn 2019 - 2025</t>
  </si>
  <si>
    <t>Nghị định số 10/2019/NĐ-CP về việc thực hiện quyền, trách nhiệm của đại diện chủ sở hữu nhà nước</t>
  </si>
  <si>
    <t>Nghị định số 17/2019/NĐ-CP về việc sửa đổi, bổ sung một số điều của Nghị định số 07/2017/NĐ-CP ngày 25/01/2017 của Chính phủ quy định trình tự, thủ tục thực hiện thí điểm cấp thị thực điện tử cho người nước ngoài nhập cảnh Việt Nam</t>
  </si>
  <si>
    <t>Nghị định số 31/2019/NĐ-CP về việc quy định chi tiết một số điều và biện pháp tổ chức thi hành Luật Tố cáo</t>
  </si>
  <si>
    <t>Nghị định số 38/2019/NĐ-CP về việc quy định mức lương cơ sở đối với cán bộ, công chức, viên chức và lực lượng vũ trang</t>
  </si>
  <si>
    <t>Nghị định số 59/2019/NĐ-CP về việc quy định chi tiết một số điều và biện pháp thi hành Luật Phòng, chống tham nhũng</t>
  </si>
  <si>
    <t>Nghị định số 63/2019/NĐ-CP về việc quy định xử phạt vi phạm hành chính trong lĩnh vực quản lý, sử dụng tài sản công; thực hành tiết kiệm, chống lãng phí; dự trữ quốc gia; kho bạc nhà nước</t>
  </si>
  <si>
    <t>Nghị định số 60/2019/NĐ-CP về việc sửa đổi, bổ sung một số điều của Nghị định số 78/2014/NĐ-CP ngày 30 tháng 7 năm 2014 của Chính phủ về Giải thưởng Hồ Chí Minh, Giải thưởng Nhà nước và các giải thưởng khác về khoa học và công nghệ</t>
  </si>
  <si>
    <t>Nghị định số 68/2019/NĐ-CP về việc uản lý chi phí đầu tư xây dựng chính thức có hiệu lực thi hành</t>
  </si>
  <si>
    <t>Nghị định số 99/2019/NĐ-CP về việc quy định chi tiết và hướng dẫn thi hành một số điều của Luật sửa đổi, bổ sung một số điều của Luật Giáo dục đại học</t>
  </si>
  <si>
    <t>Thông tư số 09/2019/TT-BXD về việc Hướng dẫn xác định và quản lý chi phí đầu tư xây dựng</t>
  </si>
  <si>
    <t>Nghị định số 14/2020/NĐ-CP về việc Quy định chế độ trợ cấp đối với nhà giáo đã nghỉ hưu chưa được hưởng chế độ phụ cấp thâm niên trong lương hưu</t>
  </si>
  <si>
    <t>Nghị định số 28/2020/NĐ-CP về việc quy định xử phạt VPHC trong lĩnh vực lao động, BHXH, đưa người lao động Việt Nam đi làm việc ở nước ngoài theo hợp đồng</t>
  </si>
  <si>
    <t>Nghị định số 27/2020/NĐ-CP về việc sửa đổi, bổ sung một số điều của Nghị định số 40/2014/NĐ-CP ngày 12 tháng 5 năm 2014 của Chính phủ quy định việc sử dụng, trọng dụng cá nhân hoạt động khoa học và công nghệ và Nghị định số 87/2014/NĐ-CP ngày 22 tháng 9 năm 2014 của Chính phủ quy định về thu hút cá nhân hoạt động khoa học và công nghệ là người Việt Nam ở nước ngoài và chuyên gia nước ngoài tham gia hoạt động khoa học và công nghệ tại Việt Nam</t>
  </si>
  <si>
    <t>Nghị định số 84/2020/NĐ-CP của Chính phủ về việc quy định chi tiết một số điều của Luật giáo dục năm 2019</t>
  </si>
  <si>
    <t>Nghị định số 90/2020/NĐ-CP về việc đánh giá, xếp loại chất lượng cán bộ, công chức, viên chức</t>
  </si>
  <si>
    <t>Nghị định số 112/2020/NĐ-CP về việc xử lý kỷ luật cán bộ, công chức, viên chức</t>
  </si>
  <si>
    <t>Nghị định số 115/2020/NĐ-CP về việc quy định về tuyển dụng, sử dụng và quản lý viên chức</t>
  </si>
  <si>
    <t>Nghị định số 110/2020/NĐ-CP về việc quy định chế độ khen thưởng đối với học sinh, sinh viên, học viên đoạt giải trong các kỳ thi quốc gia, quốc tế</t>
  </si>
  <si>
    <t>Nghị định số 120/2020/NĐ-CP về việc quy định về thành lập, tổ chức lại, giải thể đơn vị sự nghiệp công lập</t>
  </si>
  <si>
    <t>Nghị định số 135/2020/NĐ-CP về việc quy định về tuổi nghỉ hưu với người lao động</t>
  </si>
  <si>
    <t>Nghị định số 141/2020/NĐ-CP về việc Quy định chế độ cử tuyển đối với học sinh, sinh viên dân tộc thiểu số</t>
  </si>
  <si>
    <t>Nghị định số 143/2020/NĐ-CP về việc sửa đổi, bổ sung mội số điều của Nghị định số 108/2014/NĐ-CP ngày 20 tháng 11 năm 2014 của Chính phủ về chính sách tinh giản biên chế và Nghị định số 113/2018/NĐ-CP ngày 31 tháng 8 năm 2018 của Chính phủ sửa đổi, bổ sung một số điều của Nghị định số 108/2014/NĐ-CP ngày 20 tháng 11 năm 2014 của Chính phủ về chính sách tinh giản biên chế</t>
  </si>
  <si>
    <t>Nghị định số 150/2020/NĐ-CP của Chính phủ về việc chuyển đơn vị sự nghiệp công lập thành công ty cổ phần</t>
  </si>
  <si>
    <t>Nghị định số 152/2020/NĐ-CP về việc quy định về NLĐ nước ngoài làm việc tại Việt Nam và tuyển dụng, quản lý NLĐ Việt Nam làm việc cho tổ chức, cá nhân nước ngoài tại Việt Nam</t>
  </si>
  <si>
    <t>Nghị định số 04/2021/NĐ-CP về việc quy định về xử phạt vi phạm hành chính lĩnh vực giáo dục</t>
  </si>
  <si>
    <t>Nghị định số 06/2021/NĐ-CP về việc quy định chi tiết một số nội dung về quản lý chất lượng, thi công xây dựng và bảo trì công trình xây dựng</t>
  </si>
  <si>
    <t>Nghị định số 15/2021/NĐ-CP về việc quy định chi tiết một số nội dung về quản lý dự án đầu tư xây dựng</t>
  </si>
  <si>
    <t>Nghị định số 23/2021/NĐ-CP về việc quy định chi tiết khoản 3 điều 37 và điều 39 của Luật việc làm về trung tâm dịch vụ việc làm, doanh nghiệp hoạt động dịch vụ việc làm</t>
  </si>
  <si>
    <t>Nghị quyết số 13/NQ-CP về việc thông qua hồ sơ xây dựng Nghị định Bảo vệ dữ liệu cá nhân</t>
  </si>
  <si>
    <t>Chỉ thị số 17/CT-TTg về việc Tăng cường chỉ đạo, phối hợp tổ chức kỳ thi tốt nghiệp trung học phổ thông và tuyển sinh đại học, giáo dục nghề nghiệp năm 2023</t>
  </si>
  <si>
    <t>Nghị định số 48/2023/NĐ-CP về việc sửa đổi, bổ sung một số điều của nghị định số 90/2020/NĐ-CP ngày 13 tháng 8 năm 2020 về đánh giá, xếp loại chất lượng cán bộ, công chức, viên chức</t>
  </si>
  <si>
    <t>Nghị định số 72/2023/NĐ-CP về việc quy định về tiêu chuẩn, định mức sử dụng xe ô tô</t>
  </si>
  <si>
    <t>Nghị định số 98/2023/NĐ-CP về việc quy định chi tiết thi hành một số điều của luật thi đua, khen thưởng</t>
  </si>
  <si>
    <t>Nghị định số 35/2024/NĐ-CP về việc quy định về xét tặng danh hiệu “Nhà giáo nhân dân” , “Nhà giáo ưu tú”.</t>
  </si>
  <si>
    <t>Thông báo số 383/TB-VPCP về việc tóm tắt kết luận của Phó Thủ tướng Chính phủ Lê Thành Long tại cuộc họp về tình hình xây dựng thể chế của ngành Giáo dục và Đào tạo</t>
  </si>
  <si>
    <t>Nghị định số 114/2024/NĐ-CP về việc sửa đổi, bổ sung một số điều của Nghị định số 151/2017/NĐ-CP ngày 26/12/2017 của Chính phủ quy định chi tiết một số điều của Luật Quản lý, sử dụng tài sản công 2017</t>
  </si>
  <si>
    <t>Chỉ thị số 35/CT-TTg về việc xử lý cán bộ, công chức, viên chức và chiến sĩ trong lực lượng vũ trang vi phạm quy định về điều khiển phương tiện giao thông mà trong máu hoặc hơi thở có nồng độ cồn; không hợp tác với lực lượng chức năng trong xử lý vi phạm</t>
  </si>
  <si>
    <t>Nghị định số 147/2024/NĐ-CP về việc quản lý, cung cấp và sử dụng dịch vụ Internet và thông tin trên mạng thay thế Nghị định số 72/2013/NĐ-CP và Nghị định số 27/2018/NĐ-CP</t>
  </si>
  <si>
    <t>Thông báo số 522/TB-VPCP về việc kết luận của Thủ tướng Chính phủ Phạm Minh Chính tại phiên họp của Ủy ban Quốc gia Đổi mới Giáo dục và Đào tạo về định hướng giải pháp thực hiện đổi mới giáo dục và đào tạo theo Kết luận số 91-KL/TW của Bộ Chính trị</t>
  </si>
  <si>
    <t>Nghị định số 168/2024/NĐ-CP về việc quy định về xử phạt vi phạm hành chính về trật tự, an toàn giao thông trong lĩnh vực giao thông đường bộ; trừ điểm, phục hồi điểm giấy phép lái xe</t>
  </si>
  <si>
    <t>Nghị định số 180/2024/NĐ-CP về việc quy định về chính sách giảm thuế giá trị gia tăng theo Nghị quyết 174/2024/QH15 ngày 30/11/2024 của Quốc hội</t>
  </si>
  <si>
    <t>Nghị định số 179/2024/NĐ-CP về việc quy định chính sách thu hút, trọng dụng người có tài năng làm việc trong cơ quan, tổ chức, đơn vị của Đảng Cộng sản Việt Nam, Nhà nước, Mặt trận Tổ quốc Việt Nam và các tổ chức chính trị - xã hội</t>
  </si>
  <si>
    <t>Thông tư số 02/2025/TT-BGDĐT về việc Quy định Khung năng lực số cho người học</t>
  </si>
  <si>
    <t>Thông tư số 03/2025/TT-BGDĐT về việc Hướng dẫn về Hội đồng quản lý đơn vị sự nghiệp công lập trong lĩnh vực giáo dục và đào tạo</t>
  </si>
  <si>
    <t>Quyết định số 391/QĐ-BGDĐT về việc Phê duyệt liên kết tổ chức thi, cấp chứng chỉ năng lực ngoại ngữ tiếng Đức TELC</t>
  </si>
  <si>
    <t>Thông tư số 04/2025/TT-BGDĐT Quy định về việc kiểm định chất lượng chương trình đào tạo các trình độ của giáo dục đại học</t>
  </si>
  <si>
    <t>Nghị định số 37/2025/NĐ-CP về việc Quy định chức năng, nhiệm vụ, quyền hạn và cơ cấu tổ chức của Bộ giáo dục và đào tạo</t>
  </si>
  <si>
    <t>Quyết định số 452/QĐ-TTg về việc Phê duyệt Quy hoạch mạng lưới cơ sở giáo dục đại học và sư phạm thời kỳ 2021-2030, tầm nhìn đến năm 2050</t>
  </si>
  <si>
    <t>Thông tư số 06/2025/TT-BGDĐT về việc sửa đổi, bổ sung một số điều của quy chế tuyển sinh đại học, tuyển sinh cao đẳng ngành giáo dục mầm non về việc ban hành kèm theo thông tư số 08/2022/TT-BGDĐT ngày 06 tháng 6 năm 2022 của bộ trưởng bộ giáo dục và đào tạo</t>
  </si>
  <si>
    <t>Hướng dẫn số 15/HD/UBKTTW về việc sửa đổi, bổ sung hướng dẫn số 05-HD/UBKTTW, ngày 22/11/2022 của Uỷ ban kiểm tra trung ương về thực hiện một số điều trong quy định số 69-QĐ/TW, ngày 06/7/2022 của Bộ Chính trị về kỷ luật tổ chức Đảng, Đảng viên vi phạm</t>
  </si>
  <si>
    <t>Nghị định số 68/2025/NĐ-CP về việc sửa đổi, bổ sung một số điều của Nghị định số 118/2021/NĐ-CP ngày 23 tháng 12 năm 2021 của Chính phủ quy định chi tiết một số điều và biện pháp thi hành luật xử lý vi phạm hành chính</t>
  </si>
  <si>
    <t>Nghị định số 70/2025/NĐ-CP về việc sửa đổi, bổ sung một số điều của Nghị định số 123/2020/NĐ-CP ngày 19 tháng 10 năm 2020 của Chính phủ quy định về hoá đơn, chứng từ</t>
  </si>
  <si>
    <t>Nghị định 60/2025/NĐ-CP về việc sửa đổi, bổ sung một số điều của Nghị định số 116/2020/NĐ-CP ngày 25/9/2020 của Chính phủ quy định về chính sách hỗ trợ tiền đóng học phí, chi phí sinh hoạt đối với sinh viên sư phạm</t>
  </si>
  <si>
    <t>Thông tư số 12/2025/TT-BTC ngày 19/3/2025 của Bộ Tài chính về việc sửa đổi, bổ sung một số điều của Thông tư số 40/2017/TT-BTC ngày 28/4/2017của Bộ trưởng Bộ Tài chính Quy định chế độ công tác phí, chế độ chi hội nghị</t>
  </si>
  <si>
    <t>Thông tư số 002/2025/TT-BNV ngày 04/4/2025 của Bộ Nội vụ về việc sửa đổi, bổ sung một số điều của Thông tư số 01/2025/TT-BNV ngày 17/01/2025 của Bộ trưởng Bộ Nội vụ hướng dẫn thực hiện chính sách, chế độ đối với cán bộ, công chức, viên chức và người lao động trong thực hiện sắp xếp tổ chức bộ máy của hệ thống chính trị</t>
  </si>
  <si>
    <t>Kế hoạch số 403/KH-BGDĐT ngày 9/4/2025 của Bộ Giáo dục và Đào tạo về việc tổ chức thanh tra, kiểm tra Kỳ thi tốt nghiệp trung học phổ thông năm 2025</t>
  </si>
  <si>
    <t>Nghị quyết số 68-NQ/TW của Bộ Chính trị về việc phát triển kinh tế tư nhân</t>
  </si>
  <si>
    <t>Thông tư số 02/2025/TT-BTP ngày 31/3/2025 của Bộ Tư pháp về việc hướng dẫn vị trí việc làm về công tác pháp chế trong cơ quan, tổ chức hành chính và đơn vị sự nghiệp công lập</t>
  </si>
  <si>
    <t>Thông tư số 07/2025/TT-BGDĐT ngày 18/4/2025 của Bộ Giáo dục và Đào tạo về việc quy định liên kết đào tạo giữa cơ sở giáo dục đại học Việt Nam và cơ sở giáo dục đại học nước ngoài trình độ đại học, thạc sĩ và tiến sĩ</t>
  </si>
  <si>
    <t>Nghị định số 92/2025/NĐ-CP ngày 25/4/2025 của Chính phủ về việc quy định về chế độ, chính sách đối với chuyên gia cao cấp là cán bộ, công chức, viên chức</t>
  </si>
  <si>
    <t>Luật số 41/2024/QH15 về Luật Bảo hiểm xã hội 2024</t>
  </si>
  <si>
    <t>Thông tư số 08/2025/TT-BGDĐT ngày 12/5/2025 của Bộ GD&amp;ĐT về việc quy định thời hạn lưu trữ hồ sơ, tài liệu thuộc lĩnh vực giáo dục và đào tạo</t>
  </si>
  <si>
    <t>Thông tư số 27/2016/TT-BGDĐT về việc Quy định thời hạn bảo quản tài liệu chuyên môn nghiệp vụ của ngành Giáo dục</t>
  </si>
  <si>
    <t>Quốc hội khóa 15 thông qua Luật số 73/2025/QH15 về Luật Nhà giáo - luật chuyên ngành đầu tiên quy định đầy đủ về vị trí pháp lý, quyền, nghĩa vụ và các chính sách dành cho đội ngũ nhà giáo</t>
  </si>
  <si>
    <t>Quyết định số 294-QĐ/TW về việc quy định Thi hành Điều lệ Đảng do Ban chấp hành Trung ương về việc ban hành</t>
  </si>
  <si>
    <t>Nghị định số 142/2025/NĐ-CP về việc quy định về phân định thẩm quyền của chính quyền địa phương hai cấp trong lĩnh vực quản lý nhà nước của Bộ Giáo dục và Đào tạo</t>
  </si>
  <si>
    <t>Nghị định số 150/2025/NĐ-CP về việc quy định tổ chức các cơ quan chuyên môn thuộc Ủy ban nhân dân tỉnh, thành phố trực thuộc trung ương và Ủy ban nhân dân xã, phường, đặc khu thuộc tỉnh, thành phố trực thuộc trung ương</t>
  </si>
  <si>
    <t>Nghị định số 154/2025/NĐ-CP quy định vềviệc tinh giản biên chế</t>
  </si>
  <si>
    <t>Nghị định số 127/2018/NĐ-CP về việc quy định trách nhiệm quản lý nhà nước đối với giáo dục</t>
  </si>
  <si>
    <t>Nghị định số 45/2025/NĐ-CP về việc quy định tổ chức các cơ quan chuyên môn thuộc Ủy ban nhân dân tỉnh, thành phố trực thuộc trung ương và Ủy ban nhân dân huyện, quận, thị xã, thành phố thuộc tỉnh, thành phố thuộc thành phố trực thuộc trung ương</t>
  </si>
  <si>
    <t>Nghị định số 120/2025/NĐ-CP về việc quy định về phân định thẩm quyền của chính quyền địa phương 02 cấp trong lĩnh vực quản lý nhà nước của Bộ Tư pháp</t>
  </si>
  <si>
    <t>Nghị định số 121/2025/NĐ-CP về việc quy định về phân quyền, phân cấp trong lĩnh vực quản lý nhà nước của Bộ Tư pháp</t>
  </si>
  <si>
    <t>Nghị định số 122/2025/NĐ-CP về việc quy định về phân quyền, phân cấp trong lĩnh vực quản lý thuế</t>
  </si>
  <si>
    <t>Nghị định số 124/2025/NĐ-CP về việc quy định về phân quyền, phân cấp; phân định thẩm quyền của chính quyền địa phương 02 cấp trong lĩnh vực công tác dân tộc, tín ngưỡng, tôn giáo</t>
  </si>
  <si>
    <t>Nghị định số 125/2025/NĐ-CP về việc quy định về phân định thẩm quyền của chính quyền địa phương 02 cấp trong lĩnh vực quản lý nhà nước của Bộ Tài chính</t>
  </si>
  <si>
    <t>Nghị định số 126/2025/NĐ-CP về việc quy định về phân quyền, phân cấp trong lĩnh vực dự trữ quốc gia</t>
  </si>
  <si>
    <t>Nghị định số 127/2025/NĐ-CP về việc quy định về phân cấp thẩm quyền quản lý nhà nước trong lĩnh vực quản lý, sử dụng tài sản công</t>
  </si>
  <si>
    <t>Nghị định số 128/2025/NĐ-CP về việc quy định về phân quyền, phân cấp trong quản lý nhà nước lĩnh vực nội vụ</t>
  </si>
  <si>
    <t>Nghị định số 129/2025/NĐ-CP về việc quy định về phân định thẩm quyền của chính quyền địa phương 02 cấp trong lĩnh vực quản lý nhà nước của Bộ Nội vụ</t>
  </si>
  <si>
    <t>Nghị định số 130/2025/NĐ-CP về việc quy định về phân quyền, phân cấp trong lĩnh vực thống kê</t>
  </si>
  <si>
    <t>Nghị định số 131/2025/NĐ-CP về việc quy định phân định thẩm quyền của chính quyền địa phương 02 cấp trong lĩnh vực quản lý nhà nước của Bộ Nông nghiệp và môi trường</t>
  </si>
  <si>
    <t>Nghị định số 132/2025/NĐ-CP về việc quy định về phân định thẩm quyền của chính quyền địa phương 02 cấp trong lĩnh vực quản lý nhà nước của Bộ Khoa học và Công nghệ</t>
  </si>
  <si>
    <t>Nghị định số 133/2025/NĐ-CP về việc quy định về phân quyền, phân cấp trong lĩnh vực quản lý nhà nước của Bộ Khoa học và Công nghệ</t>
  </si>
  <si>
    <t>Nghị định số 134/2025/NĐ-CP về việc quy định về phân quyền, phân cấp trong lĩnh vực đối ngoại</t>
  </si>
  <si>
    <t>Nghị định số 136/2025/NĐ-CP về việc quy định phân quyền, phân cấp trong lĩnh vực nông nghiệp và môi trường</t>
  </si>
  <si>
    <t>Nghị định số 137/2025/NĐ-CP về việc quy định về phân định thẩm quyền của chính quyền địa phương 02 cấp trong lĩnh vực văn hóa, thể thao và du lịch</t>
  </si>
  <si>
    <t>Nghị định số 138/2025/NĐ-CP về việc quy định về phân quyền, phân cấp trong lĩnh vực văn hóa, thể thao và du lịch</t>
  </si>
  <si>
    <t>Nghị định số 139/2025/NĐ-CP về việc quy định về phân định thẩm quyền của chính quyền địa phương 02 cấp trong lĩnh vực quản lý nhà nước của Bộ Công Thương</t>
  </si>
  <si>
    <t>Nghị định số 140/2025/NĐ-CP về việc quy định về phân định thẩm quyền của chính quyền địa phương 02 cấp trong lĩnh vực quản lý nhà nước của Bộ Xây dựng</t>
  </si>
  <si>
    <t>Nghị định số 141/2025/NĐ-CP về việc quy định về phân định thẩm quyền của chính quyền địa phương 02 cấp trong lĩnh vực quản lý nhà nước của Thanh tra Chính phủ</t>
  </si>
  <si>
    <t>Nghị định số 143/2025/NĐ-CP về việc quy định về phân quyền, phân cấp trong lĩnh vực quản lý nhà nước của Bộ Giáo dục và Đào tạo</t>
  </si>
  <si>
    <t>Nghị định số 144/2025/NĐ-CP về việc quy định về phân quyền, phân cấp trong lĩnh vực quản lý nhà nước của Bộ Xây dựng</t>
  </si>
  <si>
    <t>Nghị định số 145/2025/NĐ-CP về việc quy định về phân định thẩm quyền của chính quyền địa phương 02 cấp, phân quyền, phân cấp trong lĩnh vực quy hoạch đô thị và nông thôn</t>
  </si>
  <si>
    <t>Nghị định số 146/2025/NĐ-CP về việc quy định về phân quyền, phân cấp trong lĩnh vực công nghiệp và thương mại</t>
  </si>
  <si>
    <t>Nghị định số 147/2025/NĐ-CP về việc quy định về phân định thẩm quyền của chính quyền địa phương 02 cấp trong lĩnh vực quản lý nhà nước của Bộ Y tế</t>
  </si>
  <si>
    <t>Nghị định số 148/2025/NĐ-CP về việc quy định về phân quyền, phân cấp trong lĩnh vực y tế</t>
  </si>
  <si>
    <t>Nghị định số 151/2025/NĐ-CP về việc quy định về phân định thẩm quyền của chính quyền địa phương 02 cấp, phân quyền, phân cấp trong lĩnh vực đất đai</t>
  </si>
  <si>
    <t>Nghị định số 158/2025/NĐ-CP về việc quy định chi tiết và hướng dẫn thi hành một số điều của Luật Bảo hiểm xã hội về bảo hiểm xã hội bắt buộc</t>
  </si>
  <si>
    <t xml:space="preserve">Thông tư số 34/2025/TT-BTC về việc sửa đổi, bổ sung một số điều của Thông tư 07/2025/TT-BTC ngày 24/01/2025 của Bộ Tài chính hướng dẫn việc xác định nguồn kinh phí và việc lập dự toán, quản lý, sử dụng và quyết toán kinh phí thực hiện chính sách quy định tại Nghị định số 178/2024/NĐ-CP ngày 31/12/2024 của Chính phủ về chính sách, chế độ đối với cán bộ, công chức, viên chức, người lao động và lực lượng vũ trang trong thực hiện sắp xếp tổ chức bộ máy của hệ thống chính trị </t>
  </si>
  <si>
    <t>Nghị định số 153/2025/NĐ-CP về việc sửa đổi, bổ sung một số điều của Nghị định số 72/2023/NĐ-CP ngày 26/9/2923 của Chính phủ quy định tiêu chuẩn, định mức sử dụng xe ô tô</t>
  </si>
  <si>
    <t>Nghị định số 155/2025/NĐ-CP về việc​ quy định tiêu chuẩn, định mức sử dụng trụ sở làm việc, cơ sở hoạt động sự nghiệp</t>
  </si>
  <si>
    <t>Nghị định số 152/2017/NĐ-CP về việc quy định tiêu chuẩn, định mức sử dụng trụ sở làm việc, cơ sở hoạt động sự nghiệp</t>
  </si>
  <si>
    <t>Quyết định số 15/2025/QĐ-TTg về việc quy định về tiêu chuẩn, định mức sử dụng máy móc, thiết bị do Thủ tướng Chính phủ về việc ban hành</t>
  </si>
  <si>
    <t>Quyết định số 50/2017/QĐ-TTg về việc quy định tiêu chuẩn, định mức sử dụng máy móc, thiết bị do Thủ tướng Chính phủ về việc ban hành</t>
  </si>
  <si>
    <t>Nghị định số 172/2025/NĐ-CP về việc quy định về xử lý kỷ luật cán bộ, công chức</t>
  </si>
  <si>
    <t>Văn bản hợp nhất số 5/VBHN-BNV năm 2023 hợp nhất Nghị định về việc xử lý kỷ luật cán bộ, công chức, viên chức do Bộ Nội vụ về việc ban hành</t>
  </si>
  <si>
    <t>Luật số 90/2025/QH15 về việc sửa đổi, bổ sung một số điều của Luật Đấu thầu, Luật Đầu tư theo phương thức đối tác công tư, Luật Hải quan, Luật thuế GTGT, Luật thuế xuất khẩu, thuế nhập khẩu, Luật Đầu tư, Luật Đầu tư công, Luật Quản lý, sử dụng tài sản công</t>
  </si>
  <si>
    <t>Nghị định số 179/2025/NĐ-CP về việc quy định về mức hỗ trợ đối với người làm công tác chuyên trách về chuyển đổi số, an toàn thông tin mạng, an ninh mạng</t>
  </si>
  <si>
    <t>Nghị định số 201/2025/NĐ-CP về việc quy định chức năng, nhiệm vụ và quyền hạn của Đại học Quốc gia</t>
  </si>
  <si>
    <t>Luật số 91/2025/QH15 về việc Bảo vệ dữ liệu cá nhân 2025</t>
  </si>
  <si>
    <t>Thông tư số 12/2025/TT-BNV về việc quy định chi tiết một số điều của Luật Bảo hiểm xã hội về bảo hiểm xã hội bắt buộc do Bộ trưởng Bộ Nội vụ về việc ban hành</t>
  </si>
  <si>
    <t>Nghị định số 188/2025/NĐ-CP về việc quy định chi tiết và hướng dẫn thi hành một số điều của Luật Bảo hiểm y tế</t>
  </si>
  <si>
    <t>Luật số 74/2025/QH15 về Luật Việc làm 2025</t>
  </si>
  <si>
    <t>Luật số 38/2013/QH13 về Luật Việc làm 2013</t>
  </si>
  <si>
    <t>Nghị định số 186/2025/NĐ-CP về việc quy định chi tiết một số điều của Luật Quản lý, sử dụng tài sản công</t>
  </si>
  <si>
    <t>Nghị định số 214/2025/NĐ-CP về việc quy định chi tiết một số điều và biện pháp thi hành Luật Đấu thầu về lựa chọn nhà thầu</t>
  </si>
  <si>
    <t>Nghị định số 24/2024/NĐ-CP về việc quy định chi tiết một số điều và biện pháp thi hành Luật Đấu thầu về lựa chọn nhà thầu</t>
  </si>
  <si>
    <t>Quyết định số 61/QĐ-TLĐ năm 2025 về việc điều chỉnh giảm mức đóng đoàn phí công đoàn do Tổng Liên đoàn Lao động Việt Nam về việc ban hành</t>
  </si>
  <si>
    <t>Nghị định số 219/2025/NĐ-CP về việc quy định về người lao động nước ngoài làm việc tại Việt Nam</t>
  </si>
  <si>
    <t>Nghị định số 222/2025/NĐ-CP về việc quy định việc dạy và học bằng tiếng nước ngoài trong cơ sở giáo dục</t>
  </si>
  <si>
    <t>Quyết định số 2757/QĐ-BTC về việc công bố thủ tục hành chính được sửa đổi, bổ sung, bãi bỏ trong lĩnh vực đấu thầu thuộc phạm vi chức năng quản lý của Bộ Tài chính</t>
  </si>
  <si>
    <t>Thông tư số 15/2025/TT-BNV về việc Quy định biện pháp để tổ chức, hướng dẫn thi hành Luật Thi đua, khen thưởng 2022 và Nghị định 152/2025/NĐ-CP ngày 14/6/2025 quy định về phân cấp, phân quyền trong lĩnh vực thi đua, khen thưởng; quy định chi tiết và hướng dẫn thi hành một số điều của Luật Thi đua, khen thưởng</t>
  </si>
  <si>
    <t>Chỉ thị số 51-CT/TW của Ban Bí thư về việc đổi Thẻ đảng viên</t>
  </si>
  <si>
    <t>Công điện số 139/CĐ-TTg về việc Tăng cường công tác bảo đảm an ninh, trật tự dịp Lễ Quốc khánh 02/9</t>
  </si>
  <si>
    <t>Nghị quyết số 71-NQ/TW của Bộ Chính trị về việc đột phá phát triển giáo dục và đào tạo</t>
  </si>
  <si>
    <t>Kết luận số 185-KL/TW của Bộ Chính trị, Ban Bí thư về việc tăng cường lãnh đạo, chỉ đạo công tác tổ chức đại hội đảng bộ các cấp tiến tới Đại hội đại biểu toàn quốc lần thứ XIV của Đảng</t>
  </si>
  <si>
    <t>Thông tư số 24/2025/TT-BXD về việc hướng dẫn một số thông tin chi tiết trong hệ thống thông tin, Cơ sở dữ liệu quốc gia về hoạt động xây dựng</t>
  </si>
  <si>
    <t>Quyết định số 29/2025/QĐ-TTg về việc tín dụng đối với học sinh, sinh viên, học viên thạc sĩ, nghiên cứu sinh học các ngành khoa học, công nghệ, kỹ thuật và toán</t>
  </si>
  <si>
    <t>Nghị định số 237/2025/NĐ-CP về việc sửa đổi, bổ sung một số điều của Nghị định số 105/2012/NĐ-CP ngày 17/12/2012 của Chính phủ về tổ chức lễ tang cán bộ, công chức, viên chức</t>
  </si>
  <si>
    <t>Nghị định số 238/2025/NĐ-CP về việc quy định về chính sách học phí, miễn, giảm, hỗ trợ học phí, hỗ trợ chi phí học tập và giá dịch vụ trong lĩnh vực giáo dục, đào tạo</t>
  </si>
  <si>
    <t>Nghị định số 239/2025/NĐ-CP về việc sửa đổi bổ sung một số điều của nghị định số 21/2021/NĐ-CP ngày 26/3/2021 của Chính phủ quy định chi tiết và hướng dẫn thi hành một số điều của Luật đầu tư</t>
  </si>
  <si>
    <t>Thông tư số 16/2025/TT-BGDĐ về việc quy định về liên kết tổ chức thi cấp chứng chỉ năng lực ngoại ngữ của nước ngoài</t>
  </si>
  <si>
    <t>Quyết định số 1891/QĐ-TTg về việc phê duyệt Phương án cắt giảm, đơn giản hóa thủ tục hành chính liên quan đến hoạt động sản xuất, kinh doanh thuộc phạm vi chức năng quản lý của Bộ Công an năm 2025</t>
  </si>
  <si>
    <t>Quy định số 365-QĐ/TW về tiêu chuẩn chức danh cán bộ thuộc diện Ban Chấp hành Trung ương Đảng, Bộ Chính trị, Ban Bí thư quản lý và khung tiêu chuẩn chức danh cán bộ lãnh đạo, quản lý các cấp</t>
  </si>
  <si>
    <t>Nghị định số 249/2025/NĐ-CP về việc quy định cơ chế, chính sách thu hút chuyên gia khoa học, công nghệ, đổi mới sáng tạo và chuyển đổi số</t>
  </si>
  <si>
    <t>Thông tư số 18/2025/TT-BGDĐT về việc hướng dẫn về công tác tư vấn học đường và công tác xã hội trong trường học</t>
  </si>
  <si>
    <t>Thông tư số 21/2025/TT-BGDĐT về việc quy định chế độ trả tiền lương dạy thêm giờ đối với nhà giáo trong các cơ sở giáo dục công lập</t>
  </si>
  <si>
    <t>Thông tư số 25/2025/TT-NHNN về việc sửa đổi, bổ sung một số điều của Thông tư 17/2024/TT-NHNN về việc mở và sử dụng tài khoản thanh toán tại tổ chức cung ứng dịch vụ thanh toán</t>
  </si>
  <si>
    <t>Kế hoạch số 130/KH-BCĐTKNQ1 về việc tổng kết việc thực hiện Nghị quyết số 18-NQ/TW về sắp xếp đơn vị sự nghiệp công lập, doanh nghiệp Nhà nước, tổ chức bên trong hệ thống hành chính Nhà nước</t>
  </si>
  <si>
    <t>Kết luận số 197-KL/TW của Bộ Chính trị, Ban Bí thư vềviệc thực hiện một số nội dung, nhiệm vụ trọng tâm trong hoat động của tổ chức cơ sở đảng thời gian tới</t>
  </si>
  <si>
    <t>Thông tư số 15/2024/TT-NHNN về việc quy định về cung ứng dịch vụ thanh toán không dùng tiền mặt</t>
  </si>
  <si>
    <t>Nghị định số 257/2025/NĐ-CP về việc hướng dẫn thực hiện dự án áp dụng loại hợp đồng Xây dựng - Chuyển giao</t>
  </si>
  <si>
    <t>Nghị quyết số 306/NQ-CP về việc điều chỉnh Quy hoạch tổng thể quốc gia thời kỳ 2021-2030 tầm nhìn đến năm 2050</t>
  </si>
  <si>
    <t>Thông tư số 16/2025/TT-BNV về việc hướng dẫn mẫu hợp đồng thực hiện nhiệm vụ của công chức</t>
  </si>
  <si>
    <t>Quyết định 2972/QĐ-BGDĐT về việc ban hành quy chế phổ biến thông tin thống kê của Bộ Giáo dục và Đào tạo</t>
  </si>
  <si>
    <t>Chỉ thị số 53-CT/TW của Bộ Chính trị về việc tăng cường sự lãnh đạo của Đảng đối với việc thực hiện trách nhiệm giải trình của cơ quan, tổ chức, cá nhân trong hoạt động công vụ</t>
  </si>
  <si>
    <t>Hướng dẫn 43-HD/BTCTW về việc hướng dẫn một số nội dung về kiểm điểm và đánh giá, xếp loại chất lượng đối với tập thể, cá nhân trong hệ thống chính trị</t>
  </si>
  <si>
    <t>Nghị quyết số 110/2025/UBTVQH15 về việc điều chỉnh mức giảm trừ gia cảnh của thuế thu nhập cá nhân</t>
  </si>
  <si>
    <t>Nghị định số 293/2025/NĐ-CP về việc quy định mức lương tối thiểu đối với người lao động làm việc theo hợp đồng lao động</t>
  </si>
  <si>
    <t>Nghị định số 278/2025/NĐ-CP về việc quy định về kết nối, chia sẻ dữ liệu bắt buộc giữa các cơ quan thuộc hệ thống chính trị</t>
  </si>
  <si>
    <t>Nghị định số 190/2025/NĐ-CP về việc sửa đổi, bổ sung một số điều của Nghị định số 118/2021/NĐ-CP ngày 23 tháng 12 năm 2021 của Chính phủ quy định chi tiết một số điều và biện pháp thi hành luật xử lý vi phạm hành Chính phủ được sửa đổi, bổ sung theo Nghị định số 68/2025/NĐ-CP ngày 18 tháng 3 năm 2025 của Chính phủ và Nghị định số 120/2021/NĐ-CP ngày 24 tháng 12 năm 2021 của Chính phủ quy định chế độ áp dụng biện pháp xử lý hành chính giáo dục tại xã, phường, thị trấn</t>
  </si>
  <si>
    <t>Nghị định số 286/2025/NĐ-CP của Chính phủ về việc sửa đổi, bổ sung một số điều của các Nghị định về quản lý, sử dụng tài sản công</t>
  </si>
  <si>
    <t>Nghị định số 283/2025/NĐ-CP về việc sửa đổi, bổ sung một số điều của Nghị định số 120/2020/NĐ-CP ngày 07 tháng 10 năm 2020 của Chính phủ quy định về thành lập, tổ chức lại, giải thể đơn vị sự nghiệp công lập</t>
  </si>
  <si>
    <t>Thông tư số 27/2025/TT-BKHCN về việc quy định về bài báo khoa học và đánh giá, xếp loại tạp chí khoa học Việt Nam</t>
  </si>
  <si>
    <t>Thông tư số 28/2025/TT-BKHCN về việc quy định định dạng thông tin trên chứng thư chữ ký</t>
  </si>
  <si>
    <t>Quyết định số 3463/QĐ-BKHCN về việc ban hành quy chế xây dựng, quản lý, vận hành và xử lý sáng kiến trên Cổng Sáng kiến khoa học, công nghệ, đổi mới sáng tạo và chuyển đổi số</t>
  </si>
  <si>
    <t>Nghị quyết số 245/2025/QH15 của Quốc hội về việc dự toán ngân sách nhà nước năm 2026</t>
  </si>
  <si>
    <t>Kết luận số 210-KL/TW của Ban Chấp hành Trung ương Đảng khóa XIII về việc tiếp tục xây dựng, hoàn thiện tổ chức bộ máy của hệ thống chính trị trong thời gian tới</t>
  </si>
  <si>
    <t>Thông tư số 20/2025/TT-BTP của Bộ Tư pháp về việc quy định chi tiết thi hành một số điều của Nghị định số 19/2020/NĐ-CP về kiểm tra, xử lý kỷ luật trong thi hành pháp luật về xử lý vi phạm hành chính, được sửa đổi, bổ sung bởi Nghị định số 93/2025/NĐ-CP</t>
  </si>
  <si>
    <t>Nghị định số 296/2025/NĐ-CP của Chính phủ về việc quy định về cưỡng chế thi hành quyết định xử phạt vi phạm hành chính</t>
  </si>
  <si>
    <t>Thông tư số 19/2025/TT-BTP của Bộ Tư pháp về việc sửa đổi, bổ sung một số điều của Thông tư số 01/2023/TT-BTP ngày 16 tháng 01 năm 2023 của bộ trưởng Bộ Tư pháp quy định chế độ báo cáo công tác thi hành pháp luật về xử lý vi phạm hành chính</t>
  </si>
  <si>
    <t>Nghị định số 303/2025/NĐ-CP của Chính phủ về việc quy định chức năng, nhiệm vụ, quyền hạn và cơ cấu tổ chức của Bộ, cơ quan ngang Bộ</t>
  </si>
  <si>
    <t>Nghị quyết số 66.7/2025/NQ-CP của Chính phủ về việc quy định cắt giảm, đơn giản hóa thủ tục hành chính dựa trên dữ liệu</t>
  </si>
  <si>
    <t>Thông tư số 04/2025/TT-BGDĐT về việc Quy định về kiểm định chất lượng chương trình đào tạo các trình độ của giáo dục đại học</t>
  </si>
  <si>
    <t>Thông tư số 06/2025/TT-BGDĐT về việc sửa đổi, bổ sung một số điều của quy chế tuyển sinh đại học, tuyển sinh cao đẳng ngành giáo dục mầm non ban hành kèm theo thông tư số 08/2022/TT-BGDĐT ngày 06 tháng 6 năm 2022 của bộ trưởng bộ giáo dục và đào tạo</t>
  </si>
  <si>
    <t>Nghị định số 142/2025/NĐ-CP quy định về việc phân định thẩm quyền của chính quyền địa phương hai cấp trong lĩnh vực quản lý nhà nước của Bộ Giáo dục và Đào tạo</t>
  </si>
  <si>
    <t>Nghị định số 155/2025/NĐ-CP​ về việc quy định tiêu chuẩn, định mức sử dụng trụ sở làm việc, cơ sở hoạt động sự nghiệp</t>
  </si>
  <si>
    <t>Quyết định số 15/2025/QĐ-TTg về việc quy định về tiêu chuẩn, định mức sử dụng máy móc, thiết bị do Thủ tướng Chính phủ ban hành</t>
  </si>
  <si>
    <t>Quyết định số 50/2017/QĐ-TTg về việc quy định tiêu chuẩn, định mức sử dụng máy móc, thiết bị do Thủ tướng Chính phủ ban hành</t>
  </si>
  <si>
    <t>Văn bản hợp nhất số 5/VBHN-BNV năm 2023 hợp nhất Nghị định về việc xử lý kỷ luật cán bộ, công chức, viên chức do Bộ Nội vụ ban hành</t>
  </si>
  <si>
    <t>Văn bản hợp nhất số 5512/VBHN-BLĐTBXH về việc quy định về người lao động nước ngoài làm việc tại Việt Nam và tuyển dụng, quản lý người lao động Việt Nam làm việc cho tổ chức, cá nhân nước ngoài tại Việt Nam</t>
  </si>
  <si>
    <t>Quy định số 350/QĐ-TW về việc đối tượng, tiêu chuẩn và phân cấp đào tạo lý luận chính trị</t>
  </si>
  <si>
    <t xml:space="preserve">Nghị định số 74/2024/NĐ-CP về việc quy định mức lương tối thiểu đối với người lao động làm việc theo hợp đồng lao động
</t>
  </si>
  <si>
    <t>Nghị định 283/2025/NĐ-CP về việc sửa đổi quy định về thành lập, tổ chức lại, giải thể đơn vị sự nghiệp công lập</t>
  </si>
  <si>
    <t>Nghị định số 120/2020/NĐ-CP về việc quy định về thành lập, tổ chức lại, giải thể đơn vị sự nghiệp công lập</t>
  </si>
  <si>
    <t>Nghị định số 296/2025/NĐ-CP của Chính phủ quy định về việc cưỡng chế thi hành quyết định xử phạt vi phạm hành chính</t>
  </si>
  <si>
    <t>45/2025/TT-NHNN</t>
  </si>
  <si>
    <t>34/2025/TT-BKHCN</t>
  </si>
  <si>
    <t>2553/QĐ-TTg</t>
  </si>
  <si>
    <t>23/2025/TT-BGDĐT</t>
  </si>
  <si>
    <t>Viện Đào tạo Quốc tế</t>
  </si>
  <si>
    <t>393/NQ-CP</t>
  </si>
  <si>
    <t>Thông tư số 23/2025/TT-BGDĐT của Bộ Giáo dục và Đào tạo về việc sửa đổi, bổ sung một số điều của quy chế thi chọn học sinh giỏi cấp quốc gia ban hành kèm theo Thông tư số 17/2023/TT-BGDĐT ngày 10 tháng 10 năm 2023 của Bộ trưởng Bộ Giáo dục và Đào tạo</t>
  </si>
  <si>
    <t>Thông tư số 34/2025/TT-BKHCN của Bộ Khoa học và công nghệ về việc quy định về sản phẩm, dịch vụ công nghệ số được hưởng ưu đãi về lựa chọn nhà thầu trong thuê, mua sắm sản phẩm, dịch vụ công nghệ số sử dụng vốn ngân sách nhà nước</t>
  </si>
  <si>
    <t>Quyết định số 2553/QĐ-TTg của Thủ tướng Chính phủ về việc điều chỉnh giảm lãi suất cho vay một số chương trình tín dụng chính sách tại Ngân hàng Chính sách xã hội</t>
  </si>
  <si>
    <t>Thông tư số 45/2025/TT-NHNN của Ngân hàng nhà nước Việt Nam về việc sửa đổi, bổ sung một số điều của Thông tư số 18/2024/TT-NHNN quy định về hoạt động thẻ ngân hàng</t>
  </si>
  <si>
    <t>Nghị quyết số 393/NQ-CP của Chính phủ về dự án Luật viên chức (sửa đổi)</t>
  </si>
  <si>
    <t>44/2025/QĐ-TTg</t>
  </si>
  <si>
    <t>Quyết định số 44/2025/QĐ-TTg của Thủ tướng Chính phủ về việc bãi bỏ một số văn bản quy phạm pháp luật của Thủ tướng Chính phủ</t>
  </si>
  <si>
    <t>2623/QĐ-TTg</t>
  </si>
  <si>
    <t>Quyết định số 2623/QĐ-TTg của Thủ tướng Chính phủ về việc ban hành kế hoạch triển khai thi hành Luật bảo vệ dữ liệu cá nhân</t>
  </si>
  <si>
    <t>Quốc hội thông qua Luật Viên chức sửa đổi</t>
  </si>
  <si>
    <t>Quốc hội thông qua Luật sửa đổi, bổ sung một số điều của Luật Giáo dục</t>
  </si>
  <si>
    <t>Quốc hội thông qua Luật Giáo dục đại học (sửa đổi)</t>
  </si>
  <si>
    <t>Quốc hội thông qua Luật Giáo dục nghề nghiệp (sửa đổi)</t>
  </si>
  <si>
    <t>Quốc hội thông qua Luật Bảo vệ bí mật Nhà nước (sửa đổi)</t>
  </si>
  <si>
    <t>Quốc hội thông qua Luật Tiết kiệm, chống lãng phí</t>
  </si>
  <si>
    <t>Quốc hội thông qua Luật bảo vệ dữ liệu cá nhân</t>
  </si>
  <si>
    <t>Luật sửa đổi, bổ sung một số điều của Luật Tiếp công dân, Luật Khiếu nại, Luật Tố cáo</t>
  </si>
  <si>
    <t>Nghị định 318/2025/NĐ-CP của Chính phủ về hướng dẫn Luật Việc làm về đăng ký lao động và hệ thống thông tin thị trường lao động.</t>
  </si>
  <si>
    <t xml:space="preserve"> 318/2025/NĐ-CP</t>
  </si>
  <si>
    <t>Quyết định 44/2025/QĐ-TTg của Thủ tướng Chính phủ về việc bãi bỏ một số văn bản quy phạm pháp luật của Thủ tướng Chính phủ</t>
  </si>
  <si>
    <t xml:space="preserve"> 44/2025/QĐ-TTg </t>
  </si>
  <si>
    <t>Thông tư 4/2025/TT-VPCP của Văn phòng Chính phủ quy định về thông tin, dữ liệu được kết nối, chia sẻ giữa Cổng Dịch vụ công quốc gia</t>
  </si>
  <si>
    <t xml:space="preserve"> 4/2025/TT-VPCP</t>
  </si>
  <si>
    <t xml:space="preserve"> 03/VBHN-BNV</t>
  </si>
  <si>
    <t>108/2025/TT-BTC</t>
  </si>
  <si>
    <t>Thông tư 43/2025/TT-BKHCN của Bộ KH&amp;CN quy định quản lý hỗ trợ hoạt động nâng cao năng lực khoa học và công nghệ</t>
  </si>
  <si>
    <t>43/2025/TT-BKHCN</t>
  </si>
  <si>
    <t>Quyết định 3458/QĐ-BTP của Bộ Tư Pháp về việc công bố dữ liệu hộ tịch và hướng dẫn kết nối, khai thác sử dụng dữ liệu hộ tịch thay thế giấy tờ trong giải quyết thủ tục hành chính</t>
  </si>
  <si>
    <t>3458/QĐ-BTP</t>
  </si>
  <si>
    <t>Những văn bản quy phạm pháp luật, văn bản của ĐHQGHN liên quan đến hoạt động của Trường (Thông báo tháng 12/2025)</t>
  </si>
  <si>
    <t>Nghị định số 03/VBHN-BNV của Bộ Nội vụ quy định về thành lập, tổ chức lại, giải thể đơn vị sự nghiệp công lập</t>
  </si>
  <si>
    <t xml:space="preserve"> Thông tư 108/2025/TT-BTC của Bộ Tài Chính hướng dẫn lập báo cáo tài chính hợp nhất cho các đơn vị kế toán hành chính, sự nghiệp của Bộ Tài Chính hướng dẫn lập báo cáo tài chính hợp nhất cho các đơn vị kế toán hành chính, sự nghiệp</t>
  </si>
  <si>
    <t>129/2025/QH15</t>
  </si>
  <si>
    <t>117/2025/QH15</t>
  </si>
  <si>
    <t xml:space="preserve">Quốc hội thông qua Luật thuế thu nhập cá nhân </t>
  </si>
  <si>
    <t>Nghị quyết 80-NQ/TW của Bộ Chính trị về phát triển văn hóa Việt Nam, trong đó có nội dung thống nhất chọn ngày 24/11 hàng năm là Ngày Văn hóa Việt Nam</t>
  </si>
  <si>
    <t>80-NQ/TW</t>
  </si>
  <si>
    <t xml:space="preserve">Luật số 131/2025/QH15 Luật sở hữu trí tuệ sửa đổi </t>
  </si>
  <si>
    <t>131/2025/QH15</t>
  </si>
  <si>
    <t>Luật số 108/2025/QH15 Luật quản lý thuế</t>
  </si>
  <si>
    <t>108/2025/QH1</t>
  </si>
  <si>
    <t>Nghị định 374/2025/NĐ-CP của Chính phủ quy định chi tiết một số điều của Luật Việc làm về bảo hiểm thất nghiệp</t>
  </si>
  <si>
    <t xml:space="preserve"> 374/2025/NĐ-CP</t>
  </si>
  <si>
    <t>Nghị dịnh</t>
  </si>
  <si>
    <t>Thông tư 03/2026/TT-BTC của Bộ Tài chính hướng dẫn nội dung về cơ chế tự chủ tài chính của đơn vị sự nghiệp công lập; xử lý tài sản, tài chính khi tổ chức lại, giải thể đơn vị sự nghiệp công lập</t>
  </si>
  <si>
    <t>03/2026/TT-BT</t>
  </si>
  <si>
    <t>Thông tư 146/2025/TT-BTС của Bộ Tài Chính quy định chế độ, lập dự toán, quản lý sử dụng và quyết toán kinh phí đào tạo du học sinh Việt Nam ở nước ngoài bằng ngân sách nhà nước</t>
  </si>
  <si>
    <t xml:space="preserve"> 146/2025/TT-BTС</t>
  </si>
  <si>
    <t>Thông tư 120/2025/TT-BTC của Bộ Tài Chính hướng dẫn Luật Quản lý sử dụng tài sản công</t>
  </si>
  <si>
    <t>120/2025/TT-BTC</t>
  </si>
  <si>
    <t>Những văn bản quy phạm pháp luật, văn bản của ĐHQGHN liên quan đến hoạt động của Trường (Thông báo tháng 01/2026)</t>
  </si>
  <si>
    <t>136/2025/QH15</t>
  </si>
  <si>
    <t>109/2025/QH15</t>
  </si>
  <si>
    <t>110/2025/QH15</t>
  </si>
  <si>
    <t>124/2025/QH15</t>
  </si>
  <si>
    <t xml:space="preserve">399-QĐ/TW </t>
  </si>
  <si>
    <t xml:space="preserve">Ban chấp hành Trung ương </t>
  </si>
  <si>
    <t>399-QĐ/TW</t>
  </si>
  <si>
    <t xml:space="preserve">116/2025/QH15 </t>
  </si>
  <si>
    <t>Luật an ninh mạng</t>
  </si>
  <si>
    <t>116/2025/QH15</t>
  </si>
  <si>
    <t>373/2025/NĐ-CP</t>
  </si>
  <si>
    <t xml:space="preserve">Nghị định 373/2025/NĐ-CP của Chính phủ về sửa đổi, bổ sung hướng dẫn Luật quản lý Thuế </t>
  </si>
  <si>
    <t>Nghị định 282/2025/NĐ-CP của Chính phủ về quy định xử phạt vi phạm hành chính trong lĩnh vực an ninh, trật tự, an toàn xã hội; phòng, chống tệ nạn xã hội; phòng, chống bạo lực gia đình</t>
  </si>
  <si>
    <t xml:space="preserve"> 282/2025/NĐ-CP</t>
  </si>
  <si>
    <t>Nghị định 310/2025/NĐ-CP của Chính phủ về sửa đổi, bổ sung một số điều về quy định xử phạt vi phạm hành chính về thuế, hóa đơn trong đó có nội dung về mức xử phạt hành vi không lập hóa đơn</t>
  </si>
  <si>
    <t xml:space="preserve">310/2025/NĐ-CP </t>
  </si>
  <si>
    <t>Thông tư 03/2026/TT-BTC của Bộ Tài chính về hướng dẫn nội dung về cơ chế tự chủ tài chính của đơn vị sự nghiệp công lập; xử lý tài sản, tài chính khi tổ chức lại, giải thể đơn vị sự nghiệp công lập</t>
  </si>
  <si>
    <t>03/2026/TT-BTC</t>
  </si>
  <si>
    <t>Thông tư 146/2025/TT-BTС của Bộ Tài chính về quy định chế độ, lập dự toán, quản lý sử dụng và quyết toán kinh phí đào tạo du học sinh Việt Nam ở nước ngoài bằng ngân sách nhà nước</t>
  </si>
  <si>
    <t>146/2025/TT-BTС</t>
  </si>
  <si>
    <t>Bộ tài chính</t>
  </si>
  <si>
    <t>Những văn bản quy phạm pháp luật, văn bản của ĐHQGHN liên quan đến hoạt động của Trường (Thông báo tháng 02/2026)</t>
  </si>
  <si>
    <t>Quy định 399-QĐ/TW về thể loại, thẩm quyền ban hành và thể thức văn bản của Đảng</t>
  </si>
  <si>
    <t>Bộ chính trị</t>
  </si>
  <si>
    <t>Quy định 06-QĐ/TW của Ban Chấp hành Trung ương về quản lý và sử dụng thẻ Đảng viên</t>
  </si>
  <si>
    <t>06-QĐ/TW</t>
  </si>
  <si>
    <t xml:space="preserve">Quyết định 01-QĐ/TW của Ban Chấp hành Trung ương quy định về chế độ đảng phí </t>
  </si>
  <si>
    <t>01-QĐ/TW</t>
  </si>
  <si>
    <t>Nghị định 51/2026/NĐ-CP của Chính phủ về sửa đổi, bổ sung quy định về bồi hoàn học bổng và chi phí đào tạo</t>
  </si>
  <si>
    <t>51/2026/NĐ-CP</t>
  </si>
  <si>
    <t>Nghị định 31/2026/NĐ-CP của Chính phủ quy định xử phạt vi phạm hành chính trong lĩnh vực lưu trữ</t>
  </si>
  <si>
    <t>31/2026/NĐ-CP</t>
  </si>
  <si>
    <t>Chỉ thị 03/CT-TTg của Chính phủ ngăn chặn, đẩy lùi bạo lực học đường</t>
  </si>
  <si>
    <t>03/CT-TTg</t>
  </si>
  <si>
    <t>Thông tư 03/2026/TT-BGDĐT của Bộ GD&amp;ĐT quy định quy tắc ứng xử của nhà giáo</t>
  </si>
  <si>
    <t>03/2026/TT-BGDĐT</t>
  </si>
  <si>
    <t>Thông tư 09/2026/TT-BTC của Bộ Tài chính quy định về việc tạo lập sổ bảo hiểm xã hội, thẻ bảo hiểm y tế bản điện tử</t>
  </si>
  <si>
    <t xml:space="preserve"> 09/2026/TT-BTC</t>
  </si>
  <si>
    <t>Những văn bản quy phạm pháp luật, văn bản của ĐHQGHN liên quan đến hoạt động của Trường (cập nhật nửa sau tháng 02/2026) (ueb.edu.vn)</t>
  </si>
  <si>
    <t xml:space="preserve">Quyết định 342-QĐ/TW của Bộ chính trị quy định về chế độ đảng phí </t>
  </si>
  <si>
    <t>Quyết định 01-QĐ/TW của Ban Chấp hành Trung ương quy định về chế độ đảng phí</t>
  </si>
  <si>
    <t>342-QĐ/TW</t>
  </si>
  <si>
    <t xml:space="preserve">342-QĐ/TW </t>
  </si>
  <si>
    <t xml:space="preserve"> Nghị định 51/2026/NĐ-CP của Chính phủ về sửa đổi Nghị định 143/2013/NĐ-CP quy định về bồi hoàn học bổng và chi phí đào tạo</t>
  </si>
  <si>
    <t>Nghị định số 143/2013/NĐ-CP của Chính phủ quy định về bồi hoàn học bổng và chi phí đào tạo</t>
  </si>
  <si>
    <t>143/2013/NĐ-CP</t>
  </si>
  <si>
    <t>43/2013/NĐ-CP</t>
  </si>
  <si>
    <t>Thông tư 03/2026/TT-BGDĐT của Bộ giáo dục và Đào tạo về quy định quy tắc ứng xử của nhà giáo</t>
  </si>
  <si>
    <t>Quyết định 16/2008/QĐ-BGDĐT của Bộ giáo dục và Đào tạo quy định quy tắc ứng xử của nhà giáo</t>
  </si>
  <si>
    <t>16/2008/QĐ-BGDĐT</t>
  </si>
  <si>
    <t xml:space="preserve">Những văn bản quy phạm pháp luật, văn bản của ĐHQGHN liên quan đến hoạt động của Trường (cập nhật nửa sau tháng 02/2026) </t>
  </si>
  <si>
    <t>Luật viên chức (sửa đổi) 2025 và</t>
  </si>
  <si>
    <t>Luật Viên chức 2010 (sửa đổi bổ sung năm 2019)</t>
  </si>
  <si>
    <t xml:space="preserve">Luật Giáo dục 2025 </t>
  </si>
  <si>
    <t>Luật Giáo dục 2019</t>
  </si>
  <si>
    <t>Luật Giáo dục đại học 2012 sửa đổi bổ sung 2018</t>
  </si>
  <si>
    <t>Luật Bảo vệ bí mật nhà nước 2018</t>
  </si>
  <si>
    <t xml:space="preserve">Luật Bảo vệ bí mật nhà nước (sửa đổi) 2025 </t>
  </si>
  <si>
    <t>Luật Thực hành tiết kiệm, chống lãng phí 2013</t>
  </si>
  <si>
    <t xml:space="preserve">Luật Tiết kiệm, chống lãng phí 2025 </t>
  </si>
  <si>
    <t xml:space="preserve">Luật Bảo vệ dữ liệu cá nhân 2025 </t>
  </si>
  <si>
    <t>Nghị định 13/2023/NĐ-CP về bảo vệ dữ liệu cá nhân</t>
  </si>
  <si>
    <t>Những văn bản quy phạm pháp luật, văn bản của ĐHQGHN liên quan đến hoạt động của Trường</t>
  </si>
  <si>
    <t>52/2019/QH14</t>
  </si>
  <si>
    <t>123/2025/QH15</t>
  </si>
  <si>
    <t>43/2019/QH14</t>
  </si>
  <si>
    <t>34/2018/QH14</t>
  </si>
  <si>
    <t>125/2025/QH15</t>
  </si>
  <si>
    <t>29/2018/QH14</t>
  </si>
  <si>
    <t xml:space="preserve"> 44/2013/QH13 </t>
  </si>
  <si>
    <t xml:space="preserve"> 13/2023/NĐ-CP</t>
  </si>
  <si>
    <t>Nghị quyết 10/2026/NQ-CP của Chính phủ về việc tiếp tục áp dụng văn bản hướng dẫn một số luật đã được sửa đổi, bổ sung hoặc thay thế</t>
  </si>
  <si>
    <t>10/2026/NQ-CP </t>
  </si>
  <si>
    <t>10/2026/NQ-CP</t>
  </si>
  <si>
    <t>66/2026/NĐ-CP</t>
  </si>
  <si>
    <t>Nghị định 66/2026/NĐ-CP của Chính phủ quy định chi tiết một số điều của Luật Giáo dục</t>
  </si>
  <si>
    <t>Thông tư 10/2026/TT-BGDĐT của Bộ Giáo dục và Đào tạo ban hành Quy chế văn bằng, chứng chỉ của hệ thống giáo dục quốc dân</t>
  </si>
  <si>
    <t>10/2026/TT-BGDĐT</t>
  </si>
  <si>
    <t>Thông tư 13/2026/TT-BGDĐT của Bộ Giáo dục và Đào tạo sửa đổi, bổ sung một số điều của Quy chế thi tốt nghiệp trung học phổ thông</t>
  </si>
  <si>
    <t>13/2026/TT-BGDĐT</t>
  </si>
  <si>
    <t>Quyết định 423/QĐ-BVHTTDL của Bộ Văn hóa - Thể thao và Du Lịch ban hành Bộ Quy tắc ứng xử văn hóa trên môi trường số</t>
  </si>
  <si>
    <t>423/QĐ-BVHTTDL</t>
  </si>
  <si>
    <t>Công văn 1296/CT-NVT của Cục Thuế về việc hướng dẫn quyết toán thuế thu nhập cá nhân đối với thu nhập từ tiền lương và tiền công</t>
  </si>
  <si>
    <t>1296/CT-NVT</t>
  </si>
  <si>
    <t>Cục Thuế</t>
  </si>
  <si>
    <t>Những văn bản quy phạm pháp luật, văn bản của ĐHQGHN liên quan đến hoạt động của Trường (cập nhật nửa đầu tháng 03/2026)</t>
  </si>
  <si>
    <t>Nghị định 84/2020/NĐ-CP của Chính phủ quy định chi tiếtmột số điều của Luật giáo dục năm 2019</t>
  </si>
  <si>
    <t xml:space="preserve"> 84/2020/NĐ-CP</t>
  </si>
  <si>
    <t>Thông tư 21/2019/TT-BGDĐT của Bộ Giáo dục và Đào tạo ban hành Quy chế quản lý bằng tốt nghiệp trung học cơ sở, bằng tốt nghiệp trung học phổ thông, bằng tốt nghiệp trung cấp sư phạm, bằng tốt nghiệp cao đẳng sư phạm, văn bằng giáo dục đại học và chứng chỉ của hệ thống giáo dục quốc dân</t>
  </si>
  <si>
    <t>21/2019/TT-BGDĐT</t>
  </si>
  <si>
    <t>Nghị quyết số 02-NQ/TW của Bộ Chính trị về xây dựng và phát triển Thủ đô Hà Nội trong kỷ nguyên mới</t>
  </si>
  <si>
    <t>02-NQ/TW</t>
  </si>
  <si>
    <t>Quy định 19-QĐ/TW của BCH Trung ương Đảng về Công tác chính trị, tư tưởng trong Đảng</t>
  </si>
  <si>
    <t>19-QĐ/TW</t>
  </si>
  <si>
    <t>Quy định 20-QĐ/TW của BCH Trung ương Đảng về Thi hành điều lệ Đảng</t>
  </si>
  <si>
    <t>20-QĐ/TW</t>
  </si>
  <si>
    <t>Nghị định 93/2026/NĐ-CP của Chính phủ Quy định chi tiết và hướng dẫn thi hành một số điều của Luật Nhà giáo</t>
  </si>
  <si>
    <t>93/2026/NĐ-CP</t>
  </si>
  <si>
    <t xml:space="preserve">Chính phủ </t>
  </si>
  <si>
    <t>Nghị định 125/2026/NĐ-CP của Chính phủ Quy định về hoạt động khoa học, công nghệ và đổi mới sáng tạo trong cơ sở giáo dục đại học</t>
  </si>
  <si>
    <t>125/2026/NĐ-CP</t>
  </si>
  <si>
    <t>Nghị định số 85/2026/NĐ-CP của Chính phủ Quy định chi tiết và hướng dẫn thi hành một số điều của Luật Bảo hiểm xã hội về bảo hiểm hưu trí bổ sung tự nguyện</t>
  </si>
  <si>
    <t>85/2026/NĐ-CP</t>
  </si>
  <si>
    <t>Nghị định số 84/2026/NĐ-CP của Chính phủ Sửa đổi, bổ sung một số điều của các Nghị định của Chính phủ trong lĩnh vực quản lý nợ công</t>
  </si>
  <si>
    <t>84/2026/NĐ-CP</t>
  </si>
  <si>
    <t>Thông tư số 16/2026/TT-BGDĐT của Bộ Giáo dục và Đào tạo Quy định về công tác hướng nghiệp và phân luồng giáo dục</t>
  </si>
  <si>
    <t>16/2026/TT-BGDĐT</t>
  </si>
  <si>
    <t>Thông tư 17/2026/TT-BGDĐT của Bộ Giáo dục và Đào tạo Quy định tiêu chuẩn người đứng đầu và cấp phó của người đứng đầu cơ sở giáo dục đại học, cơ sở giáo dục nghề nghiệp.</t>
  </si>
  <si>
    <t>17/2026/TT-BGDĐT</t>
  </si>
  <si>
    <t>Thông tư 20/2026/TT-BGDĐT của Bộ Giáo dục và Đào tạo Quy định về kiểm định chất lượng cơ sở giáo dục đại học</t>
  </si>
  <si>
    <t>20/2026/TT-BGDĐT</t>
  </si>
  <si>
    <t>Thông tư 26/2026/TT-BGDĐT của Bộ Giáo dục và Đào tạo Quy định chuẩn nghề nghiệp giảng viên đại học</t>
  </si>
  <si>
    <t>26/2026/TT-BGDĐT</t>
  </si>
  <si>
    <t>Những văn bản quy phạm pháp luật, văn bản của ĐHQGHN liên quan đến hoạt động của Trường (cập nhật nửa đầu tháng 04/2026)</t>
  </si>
  <si>
    <t>Nghị định số 84/2020/NĐ-CP của Chính phủ quy định chi tiết một số điều của Luật Giáo dục</t>
  </si>
  <si>
    <t xml:space="preserve">Hết hiệu lực </t>
  </si>
  <si>
    <t>Thông tư 09/2024/TT-BKHCN quy định quản lý nhiệm vụ khoa học và công nghệ cấp tỉnh, cấp cơ sở sử dụng ngân sách nhà nước do Bộ trưởng Bộ Khoa học và Công nghệ ban hành</t>
  </si>
  <si>
    <t xml:space="preserve"> 09/2024/TT-BKHCN</t>
  </si>
  <si>
    <t>44/2025/TT-BKHCN</t>
  </si>
  <si>
    <t>Thông tư 44/2025/TT-BKHCN quy định quản lý nhiệm vụ khoa học và công nghệ do Bộ Khoa học và Công nghệ tài trợ, đặt hàng.</t>
  </si>
  <si>
    <t>38/2025/TT-BKHCN</t>
  </si>
  <si>
    <t>Thông tư 39/2025/TT-BKHCN hướng dẫn về lập dự toán, quản lý sử dụng và quyết toán nội dung chi ngân sách nhà nước thực hiện nhiệm vụ khoa học, công nghệ và đổi mới sáng tạo</t>
  </si>
  <si>
    <t>Thông tư 38/2025/TT-BKHCN quy định lập dự toán, quản lý sử dụng và quyết toán kinh phí ngân sách nhà nước đối với một số nội dung chi quản lý hoạt động khoa học, công nghệ và đổi mới sáng tạo</t>
  </si>
  <si>
    <t>39/2025/TT-BKHCN</t>
  </si>
  <si>
    <t>Luật Khoa học, công nghệ và đổi mới sáng tạo 2025</t>
  </si>
  <si>
    <t>93/2025/QH15</t>
  </si>
  <si>
    <t>231/2025/NĐ-CP</t>
  </si>
  <si>
    <t>Nghị định số 231/2025/NĐ-CP  quy định về tuyển chọn, sử dụng Tổng công trình sư, Kiến trúc sư trưởng về khoa học, công nghệ, đổi mới sáng tạo và chuyển đổi số quốc gia</t>
  </si>
  <si>
    <t>Nghị định 262/2025/NĐ-CP hướng dẫn Luật Khoa học, Công nghệ và đổi mới sáng tạo về thông tin, thống kê, đánh giá, chuyển đổi số và các vấn đề chung.</t>
  </si>
  <si>
    <t xml:space="preserve">262/2025/NĐ-CP </t>
  </si>
  <si>
    <t>09/2024/TT-BKHCN</t>
  </si>
  <si>
    <t>Thông tư số 10/2024/TT-BKHCN sửa đổi, bổ sung một số điều của các Thông tư quy định quản lý nhiệm vụ khoa học và công nghệ và hoạt động nâng cao năng lực khoa học và công nghệ quốc gia do Quỹ Phát triển khoa học và công nghệ Quốc gia tài trợ, hỗ trợ</t>
  </si>
  <si>
    <t>10/2024/TT-BKHCN</t>
  </si>
  <si>
    <t>Những văn bản quy phạm pháp luật, văn bản của ĐHQGHN liên quan đến hoạt động của Trường (cập nhật nửa đầu tháng 05/2026)</t>
  </si>
  <si>
    <t>Thông tư 35/2026/TT-BGDĐT của Bộ GD&amp;ĐT hướng dẫn một số nội dung trong hoạt động đầu tư theo phương thức đối tác công tư trong lĩnh vực giáo dục và đào tạo</t>
  </si>
  <si>
    <t xml:space="preserve"> 35/2026/TT-BGDĐT</t>
  </si>
  <si>
    <t>Thông tư 31/2026/TT-BGDĐT của Bộ GD&amp;ĐT quy định mã số, bổ nhiệm chức danh và xếp lương đối với nhà giáo trong cơ sở giáo dục công lập</t>
  </si>
  <si>
    <t>31/2026/TT-BGDĐT</t>
  </si>
  <si>
    <t>Thông tư 33/2026/TT-BGDĐT của Bộ GD&amp;ĐT về khung năng lực ngoại ngữ dùng cho Việt Nam</t>
  </si>
  <si>
    <t xml:space="preserve">33/2026/TT-BGDĐT </t>
  </si>
  <si>
    <t>Thông tư 17/2026/TT-BKHCN của Bộ KH&amp;CN về điều lệ mẫu về tổ chức và hoạt động của Quỹ phát triển khoa học, công nghệ và đổi mới sáng tạo của Bộ, cơ quan ngang Bộ, cơ quan thuộc Chính phủ, cơ quan khác ở trung ương, UBND cấp tỉnh</t>
  </si>
  <si>
    <t xml:space="preserve">17/2026/TT-BKHCN </t>
  </si>
  <si>
    <t>Công văn 2304/BGDĐT-GDĐH của Bộ GD&amp;ĐT về việc hướng dẫn tuyển sinh đại học, tuyển sinh cao đẳng 2026</t>
  </si>
  <si>
    <t>2304/BGDĐT-GDĐH</t>
  </si>
  <si>
    <t>Quy định 21-QĐ/TW của Ban chấp hành Trung ương về công tác kiểm tra giám sát và kỷ luật của Đảng</t>
  </si>
  <si>
    <t xml:space="preserve"> 21-QĐ/TW</t>
  </si>
  <si>
    <t xml:space="preserve">TCNS </t>
  </si>
  <si>
    <t>Quy định 22-QĐ/TW của Ban chấp hành Trung ương về công tác kiểm tra giám sát và kỷ luật của Đảng</t>
  </si>
  <si>
    <t xml:space="preserve"> 22-QĐ/TW</t>
  </si>
  <si>
    <t>Nghị định 159/2026/NĐ-CP về giảng viên đồng cơ hữu trong các cơ sở giáo dục nghề nghiệp, cơ sở giáo dục đại học công lập.</t>
  </si>
  <si>
    <t>Nghị định 60/2021/NĐ-CP về giảng viên đồng cơ hữu trong các cơ sở giáo dục nghề nghiệp, cơ sở giáo dục đại học công lập.</t>
  </si>
  <si>
    <t>Nghị định 64/2014/NĐ-CP quy định chi tiết Luật Tiếp công dân.</t>
  </si>
  <si>
    <t>Nghị định 154/2026/NĐ-CP quy định chi tiết Luật Tiếp công dân.</t>
  </si>
  <si>
    <t>60/2021/NĐ-CP</t>
  </si>
  <si>
    <t>154/2026/NĐ-CP</t>
  </si>
  <si>
    <t>64/2014/NĐ-CP</t>
  </si>
  <si>
    <t xml:space="preserve"> 159/2026/NĐ</t>
  </si>
  <si>
    <t>Văn bản hợp nhất 112/VBHN-VPQH về Luật Thuế thu nhập cá nhân</t>
  </si>
  <si>
    <t>112/VBHN-VPQH</t>
  </si>
  <si>
    <t>Nghị định 159/2026/NĐ-CP của Chính phủ quy định về giảng viên đồng cơ hữu trong các cơ sở giáo dục nghề nghiệp, cơ sở giáo dục đại học công lập</t>
  </si>
  <si>
    <t xml:space="preserve"> 159/2026/NĐ-CP</t>
  </si>
  <si>
    <t>Nghị định 168/2026/NĐ-CP của Chính phủ quy định chi tiết một số điều và biện pháp tổ chức, hướng dẫn thi hành Luật Dân số</t>
  </si>
  <si>
    <t>168/2026/NĐ-CP</t>
  </si>
  <si>
    <t>Nghị định 337/2025/NĐ-CP của Chính phủ quy định về hợp đồng lao động điện tử</t>
  </si>
  <si>
    <t>337/2025/NĐ-CP</t>
  </si>
  <si>
    <t>Nghị định 154/2026/NĐ-CP của Chính phủ quy định chi tiết một số điều và biện pháp tổ chức thi hành Luật Tiếp công dân</t>
  </si>
  <si>
    <t>Nghị định 182/2026/NĐ-CP của Chính phủ quy định chế độ phụ cấp ưu đãi theo nghề đối với nhà giáo, cán bộ quản lý cơ sở giáo dục và nhân sự hỗ trợ giáo dục công tác trong các cơ sở giáo dục công lập</t>
  </si>
  <si>
    <t>182/2026/NĐ-CP</t>
  </si>
  <si>
    <t>Thông tư 40/2026/TT-BGDĐT của Bộ Giáo dục và Đào tạo quy định về công tác sinh viên</t>
  </si>
  <si>
    <t>40/2026/TT-BGDĐT</t>
  </si>
  <si>
    <t xml:space="preserve"> Luật Tiếp cận thông tin</t>
  </si>
  <si>
    <t>01/2026/QH16</t>
  </si>
  <si>
    <t>Nghị định số 199/2026/NĐ-CP quy định chính sách hỗ trợ phục vụ</t>
  </si>
  <si>
    <t>199/2026/NĐ-CP</t>
  </si>
  <si>
    <t>Nghị định số 197/2026/NĐ-CP quy định Cơ sở dữ liệu quốc gia về tiếp công dân, xử lý đơn, giải quyết khiếu nại, tố cáo</t>
  </si>
  <si>
    <t>197/2026/NĐ-CP</t>
  </si>
  <si>
    <t>Thông tư số 44/2026/TT-BGDĐT quy định về trình tự, thủ tục xây dựng, thẩm định, ban hành, quản lý, tổ chức thực hiện và đánh giá chương trình khoa học, công nghệ và đổi mới sáng tạo của Bộ Giáo dục và Đào tạo</t>
  </si>
  <si>
    <t xml:space="preserve"> 44/2026/TT-BGDĐT</t>
  </si>
  <si>
    <t>09/06/202</t>
  </si>
  <si>
    <t>45/2026/TT-BGDĐ</t>
  </si>
  <si>
    <t>Thông tư số 27/2026/TT-BXD quy định phân cấp thẩm quyền của Bộ trưởng Bộ Xây dựng trong lĩnh vực quản lý, sử dụng tài sản công</t>
  </si>
  <si>
    <t>27/2026/TT-BXD</t>
  </si>
  <si>
    <t>Thông tư số 45/2026/TT-BGDĐT sửa đổi, bổ sung một số điều hướng dẫn chức năng, nhiệm vụ, quyền hạn của Sở Giáo dục và Đào tạo thuộc Ủy ban nhân dân tỉnh, thành phố trực thuộc trung ương và Phòng Văn hóa - Xã hội thuộc Ủy ban nhân dân xã, phường, đặc khu thuộc tỉnh, thành phố trực thuộc trung ương trong lĩnh vực giáo dục và đào tạo</t>
  </si>
  <si>
    <t>Luật Tiếp cận thông tin số 01/2026/QH16</t>
  </si>
  <si>
    <t xml:space="preserve">Luật Tiếp cận thông tin số 104/2016/QH13 </t>
  </si>
  <si>
    <t>Quyết định số 269/2005/QĐ-TTg về chế độ phụ cấp phục vụ</t>
  </si>
  <si>
    <t>104/2016/QH13</t>
  </si>
  <si>
    <t>Nghị định số 199/2026/NĐ-CP của Chính phủ Chính sách hỗ trợ phục vụ</t>
  </si>
  <si>
    <t>269/2005/QĐ-TTg</t>
  </si>
  <si>
    <t>44/2026/TT-BGDĐT</t>
  </si>
  <si>
    <t>Thông tư số 44/2026/TT-BGDĐT về chương trình KH&amp;CN của Bộ GD&amp;ĐT</t>
  </si>
  <si>
    <t>09/2018/TT-BGDĐT</t>
  </si>
  <si>
    <t>Thông tư số 09/2018/TT-BGDĐT về chương trình KH&amp;CN của Bộ GD&amp;ĐT</t>
  </si>
  <si>
    <t xml:space="preserve">Nghị định số 199/2026/NĐ-CP quy định chính sách hỗ trợ phục vụ </t>
  </si>
  <si>
    <t>Thông tư số 09/2018/TT-BGDĐT về quản lý chương trình KH&amp;CN cấp Bộ</t>
  </si>
  <si>
    <t xml:space="preserve">Thông tư số 44/2026/TT-BGDĐT về quản lý chương trình KH&amp;CN cấp Bộ
</t>
  </si>
  <si>
    <t>Nghị quyết 30/2026/NQ-CP ngày 16/6/2026 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1/1/2026.</t>
  </si>
  <si>
    <t xml:space="preserve"> 16/06/2026</t>
  </si>
  <si>
    <t xml:space="preserve">30/2026/NQ-CP </t>
  </si>
  <si>
    <t>Thông tư 66/2026/TT-BTC hướng dẫn xác định nhu cầu, nguồn và phương thức chỉ thực hiện mức lương cơ sở và chế độ tiền thưởng theo Nghị định 161/2026/NĐ-CP và điều chỉnh trợ cấp hằng tháng đối với cán bộ xã đã nghỉ việc theo Nghị định 162/2026/NĐ-CP .</t>
  </si>
  <si>
    <t>66/2026/TT-BTC</t>
  </si>
  <si>
    <t>Nghị quyết số 30/2026/NQ-CP của Chính phủ về việc tiếp tục hiệu lực của một số Nghị định thuộc trách nhiệm quản lý nhà nước của Bộ GD&amp;ĐT</t>
  </si>
  <si>
    <t>30/2026/NQ-CP</t>
  </si>
  <si>
    <t>Nghị định số 225/2026/NĐ-CP của Chính phủ quy định chức năng, nhiệm vụ, quyền hạn và cơ cấu tổ chức của Bộ KH&amp;CN</t>
  </si>
  <si>
    <t xml:space="preserve">225/2026/NĐ-CP </t>
  </si>
  <si>
    <t>229/2026/NĐ-CP</t>
  </si>
  <si>
    <t>Nghị định số 229/2026/NĐ-CP quy định về tổ chức và hoạt động của Quỹ Phát triển khoa học và công nghệ Quốc gia</t>
  </si>
  <si>
    <t xml:space="preserve"> 25/06/2026</t>
  </si>
  <si>
    <t>184/2026/NĐ-CP</t>
  </si>
  <si>
    <t xml:space="preserve"> 47/2026/TT-BGDĐT</t>
  </si>
  <si>
    <t>Nghị định số 184/2026/NĐ-CP sửa đổi, bổ sung một số điều của Nghị định số 59/2019/NĐ-CP quy định chi tiết một số điều và biện pháp thi hành Luật Phòng, chống tham nhũng</t>
  </si>
  <si>
    <t>Thông tư số 47/2026/TT-BGDĐT bãi bỏ một số văn bản quy phạm pháp luật do Bộ trưởng Bộ Giáo dục và Đào tạo ban hành trong lĩnh vực giáo dục</t>
  </si>
  <si>
    <t>Thông tư 52/2026/TT-BGDĐT quy định về liên thông giữa trung học nghề, trung cấp, cao đẳng và đại học</t>
  </si>
  <si>
    <t xml:space="preserve">52/2026/TT-BGDĐT </t>
  </si>
  <si>
    <t xml:space="preserve"> Thay thế 27/2017/TT-BLĐTBXH</t>
  </si>
  <si>
    <t>Nghị định 267/2026/NĐ-CP hướng dẫn việc áp dụng hình thức kỷ luật và bồi thường thiệt hại đối với hành vi gây lãng phí và hành vi vi phạm trong tổ chức thực hiện phòng, chống lãng phí</t>
  </si>
  <si>
    <t>267/2026/NĐ-CP</t>
  </si>
  <si>
    <t>Thông tư 94/2026/TT-BTC quy định về quản lý tuân thủ, quản lý rủi ro trong quản lý thuế.</t>
  </si>
  <si>
    <t>94/2026/TT-BTC</t>
  </si>
  <si>
    <t>Thông tư 31/2021/TT-BTC quy định về áp dụng quản lý rủi ro trong quản lý thuế</t>
  </si>
  <si>
    <t>31/2021/TT-BTC</t>
  </si>
  <si>
    <t>Thông tư 90/2026/TT-BTC ngày 30/6/2026 quy định về đăng ký thuế</t>
  </si>
  <si>
    <t>90/2026/TT-BTC</t>
  </si>
  <si>
    <t>Thông tư 86/2024/TT-BTC quy định về đăng ký thuế do Bộ trưởng Bộ Tài chính ban hành</t>
  </si>
  <si>
    <t>86/2024/TT-BTC</t>
  </si>
  <si>
    <t>06/02/205</t>
  </si>
  <si>
    <t>Nghị quyết 180/NQ-CP ngày 6/7/2026 về Phiên họp Chính phủ thường kỳ tháng 6 năm 2026 và Hội nghị trực tuyển Chính phủ với địa phương</t>
  </si>
  <si>
    <t>180/NQ-CP</t>
  </si>
  <si>
    <t>Thông tư 39/2026/TT-BKHCN ngày 1/7/2026 quy định lập và quản lý chi phí trong hoạt động đầu tư, mua sắm, thuê dịch vụ cho chuyển đổi số sử dụng ngân sách nhà nước, trong đó có quy định nội dung chi ứng dụng, phát triển trí tuệ nhân tạo trong cơ quan nhà nước</t>
  </si>
  <si>
    <t>39/2026/TT-BKHCN</t>
  </si>
  <si>
    <t>Quyết định 204-QĐ/TW ngày 26/6/2026 về Quy chế phối hợp công tác giữa đảng ủy bộ, ngành Trung ương với cấp ủy cấp trên trực tiếp của tổ chức đảng trong cơ sở giáo dục đại học công lập.</t>
  </si>
  <si>
    <t xml:space="preserve">204-QĐ/TW </t>
  </si>
  <si>
    <t>Nghị định 260/2026/NĐ-CP hướng dẫn Luật Công nghệ cao 2025.</t>
  </si>
  <si>
    <t xml:space="preserve"> 260/2026/NĐ-CP</t>
  </si>
  <si>
    <t>Thông tư 49/2026/TT-BGDĐT ngày 30/6/2026 quy định ứng dụng công nghệ trong giáo dục đại học, giáo dục nghề nghiệp</t>
  </si>
  <si>
    <t>49/2026/TT-BGDĐ</t>
  </si>
  <si>
    <t xml:space="preserve"> Nghị định 252/2026/NĐ-CP quy định chi tiết một số điều và biện pháp để tổ chức, hướng dẫn thi hành Luật Quản lý thuế 2025</t>
  </si>
  <si>
    <t>252/2026/NĐ-CP</t>
  </si>
  <si>
    <t xml:space="preserve">Luật quản lý thuế </t>
  </si>
  <si>
    <t>108/2025/QH15</t>
  </si>
  <si>
    <t>38/2019/QH14</t>
  </si>
  <si>
    <t>Luật quản lý thuế 2019</t>
  </si>
  <si>
    <t xml:space="preserve">Thông tư 50/2026/TT-BGDĐT hướng dẫn triển khai đào tạo trình độ tiến sĩ, trình độ thạc sĩ cho giảng viên các cơ sở giáo dục đại học theo Quyết định 89/QĐ-TTg </t>
  </si>
  <si>
    <t>50/2026/TT-BGDĐT</t>
  </si>
  <si>
    <t>258/2026/NÐ-CP</t>
  </si>
  <si>
    <t>Nghị định 258/2026/NÐ-CP hướng dẫn cơ chế, chính sách phát huy nguồn lực nhằm nâng cao hiệu quả hội nhập quốc tế theo Nghị quyết 250/2025/QH15</t>
  </si>
  <si>
    <t>Quyết định 33/2026/QĐ-TTg về Danh mục hệ thống trí tuệ nhân tạo có rủi ro cao</t>
  </si>
  <si>
    <t xml:space="preserve">33/2026/QĐ-TTg </t>
  </si>
  <si>
    <t>Nghị định 234/2026/NĐ-CP quy định về xử lý kỷ luật viên chức</t>
  </si>
  <si>
    <t>234/2026/NĐ-CP</t>
  </si>
  <si>
    <t>Nghị định 235/2026/NĐ-CP về hợp đồng thực hiện công việc trong đơn vị sự nghiệp công lập.</t>
  </si>
  <si>
    <t>235/2026/NĐ-CP</t>
  </si>
  <si>
    <t>Những văn bản quy phạm pháp luật, văn bản của ĐHQGHN liên quan đến hoạt động của Trường (cập nhật nửa đầu tháng 07/2026)</t>
  </si>
  <si>
    <t>Thông tư 53/2026/TT-BGDĐT của Bộ GD&amp;ĐT về Quy chế tuyển sinh và đào tạo sau đại học</t>
  </si>
  <si>
    <t>53/2026/TT-BGDĐT</t>
  </si>
  <si>
    <t>Thông tư 54/2026/TT-BGDĐT ngày 30/6/2026 quy định về Chương trình đào tạo các trình độ của giáo dục đại học</t>
  </si>
  <si>
    <t>54/2026/TT-BGDĐT</t>
  </si>
  <si>
    <t>Quyết định 38/2026/QĐ-TTg quy định Khung cơ cấu hệ thống giáo dục quốc dân.</t>
  </si>
  <si>
    <t>38/2026/QĐ-TTg</t>
  </si>
  <si>
    <t>Nghị quyết 66.22 /2026/NQ-CP về phát triển công dân số</t>
  </si>
  <si>
    <t>66.22/2026/NQ-CP</t>
  </si>
  <si>
    <t>Thông tư 58/2026/TT-BGDĐT nội dung quy chế tổ chức và hoạt động của cơ sở giáo dục đại học</t>
  </si>
  <si>
    <t>58/2026/TT-BGDĐT</t>
  </si>
  <si>
    <t>Thông tư 59/2026/TT-BGDĐT quy định về nhà giáo hợp đồng toàn thời gian sau khi nghỉ hưu và nhà giáo thỉnh giảng</t>
  </si>
  <si>
    <t>59/2026/TT-BGDĐT</t>
  </si>
  <si>
    <t>Quyết định số 874/QĐ-BNV công bố thủ tục hành chính nội bộ giữa các cơ quan hành chính nhà nước</t>
  </si>
  <si>
    <t>874/QĐ-BNV</t>
  </si>
  <si>
    <t>Nghị quyết 66.24 /2026/NQ-CP xử lý khó khăn, vướng mắc trong quy định về lập, phân bổ và giao dự toán chi sự nghiệp cho hoạt động khoa học, công nghệ và đổi mới sáng tạo.</t>
  </si>
  <si>
    <t> 66.24/2026/NQ-CP</t>
  </si>
  <si>
    <t>Thông tư 61/2026/TT-BGDĐT quy định nguyên tắc khai thác, sử dụng tài nguyên giáo dục mở trong hoạt động giáo dục đại học</t>
  </si>
  <si>
    <t>61/2026/TT-BGDĐT</t>
  </si>
  <si>
    <t xml:space="preserve"> 01/09/2026</t>
  </si>
  <si>
    <t>44/2011/TT-BGDĐT</t>
  </si>
  <si>
    <t>Thông tư 17/2021/TT-BGDĐT quy định về chương trình đào tạo các trình độ của giáo dục đại học</t>
  </si>
  <si>
    <t>Thông tư 54/2026/TT-BGDĐT quy định về chương trình đào tạo các trình độ của giáo dục đại học</t>
  </si>
  <si>
    <t>Thông tư 44/2011/TT-BGDĐT ban hành quy định về chế độ thỉnh giảng trong các cơ sở giáo dục</t>
  </si>
  <si>
    <t>17/2021/TT-BGDĐT</t>
  </si>
  <si>
    <t>Quyết định số 1981/QĐ-TTg quy định Khung cơ cấu hệ thống giáo dục quốc dân</t>
  </si>
  <si>
    <t>Quyết định số 38/2026/QĐ-TTg quy định Khung cơ cấu hệ thống giáo dục quốc dân</t>
  </si>
  <si>
    <t xml:space="preserve">38/2026/QĐ-TTg </t>
  </si>
  <si>
    <t>1981/QĐ-TTg</t>
  </si>
  <si>
    <t xml:space="preserve"> 18/10/2016</t>
  </si>
  <si>
    <t xml:space="preserve"> 5243/BGDĐT-NGCBQLGD</t>
  </si>
  <si>
    <t>Công văn hướng dẫn thực hiện công tác quản lý đội ngũ nhà giáo, cán bộ quản lý cơ sở giáo dục và nhân sự hỗ trợ giáo dục</t>
  </si>
  <si>
    <t xml:space="preserve"> 31/CT-TTg</t>
  </si>
  <si>
    <t>Chỉ thị 31/CT-TTg năm 2026 thực hiện các nhiệm vụ trọng tâm năm học 2026-2027 do Thủ tướng Chính phủ ban hành</t>
  </si>
  <si>
    <t>308/2026/NĐ-CP</t>
  </si>
  <si>
    <t>Nghị định 308/2026/NĐ-CP hướng dẫn Luật Giáo dục nghề nghiệp về chính sách hỗ trợ của Nhà nước đối với doanh nghiệp và Quỹ đào tạo nhân lực của doanh nghiệp</t>
  </si>
  <si>
    <t>Quyết định 1528/QĐ-TTg năm 2026 phê duyệt Chương trình quốc gia phát triển nhân lực trí tuệ nhân tạo đến năm 2030, định hướng đến năm 2035 do Thủ tướng Chính phủ ban hành</t>
  </si>
  <si>
    <t>1528/QĐ-TTg</t>
  </si>
  <si>
    <t>Thông tư 65/2026/TT-BGDĐT quy định về điều kiện, trình tự, thủ tục, thẩm quyền công nhận văn bằng do cơ sở giáo dục nước ngoài cấp để sử dụng tại Việt Nam do Bộ trưởng Bộ Giáo dục và Đào tạo ban hành</t>
  </si>
  <si>
    <t>65/2026/TT-BGDĐT</t>
  </si>
  <si>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t>
  </si>
  <si>
    <t>49/2026/TT-BKHCN</t>
  </si>
  <si>
    <t>Thông tư 66/2026/TT-BGDĐT hướng dẫn tiêu chuẩn, định mức sử dụng máy móc, thiết bị chuyên dùng trong lĩnh vực giáo dục và đào tạo do Bộ trưởng Bộ Giáo dục và Đào tạo ban hành</t>
  </si>
  <si>
    <t>66/2026/TT-BGDĐT</t>
  </si>
  <si>
    <t>Thông tư 16/2019/TT-BGDĐT hướng dẫn tiêu chuẩn, định mức sử dụng máy móc, thiết bị chuyên dùng thuộc lĩnh vực giáo dục và đào tạo.</t>
  </si>
  <si>
    <t xml:space="preserve">16/2019/TT-BGDĐT </t>
  </si>
  <si>
    <t>48/2026/TT-BKHC</t>
  </si>
  <si>
    <t>Quy định trình tự, thủ tục xét tài trợ, đặt hàng và ký hợp đồng thực hiện nhiệm vụ nghiên cứu/phát triển công nghệ chiến lược</t>
  </si>
  <si>
    <t>Thông tư 13/2021/TT-BGDĐT về điều kiện, trình tự, thủ tục, thẩm quyền công nhận văn bằng do cơ sở giáo dục nước ngoài cấp để sử dụng tại Việt Nam</t>
  </si>
  <si>
    <t>13/2021/TT-BGDĐT</t>
  </si>
  <si>
    <t>Thông tư 65/2026/TT-BGDĐT về điều kiện, trình tự, thủ tục, thẩm quyền công nhận văn bằng do cơ sở giáo dục nước ngoài cấp để sử dụng tại Việt Nam</t>
  </si>
  <si>
    <t>317/2026/NĐ-CP</t>
  </si>
  <si>
    <t>Quy định về tổ chức, quản lý và sử dụng quỹ học bổng quốc gia</t>
  </si>
  <si>
    <t>Những văn bản quy phạm pháp luật, văn bản của ĐHQGHN liên quan đến hoạt động của Trường (Thông báo tháng 08/2026)</t>
  </si>
  <si>
    <t>6044/BKHCN-CNCNTT</t>
  </si>
  <si>
    <t>Về việc đôn đốc ứng dụng công nghệ, số, trí tuệ nhân tạo hỗ trợ tổng rà soát hệ thống văn bản quy phạm pháp luật</t>
  </si>
  <si>
    <t>Những văn bản quy phạm pháp luật, văn bản của ĐHQGHN liên quan đến hoạt động của Trường (cập nhật nửa sau tháng 06/2026)</t>
  </si>
  <si>
    <t>Những văn bản quy phạm pháp luật, văn bản của ĐHQGHN liên quan đến hoạt động của Trường (cập nhật nửa đầu tháng 06/2026)</t>
  </si>
  <si>
    <t>Những văn bản quy phạm pháp luật, văn bản của ĐHQGHN liên quan đến hoạt động của Trường (Thông báo nửa đầu tháng 07/2026)</t>
  </si>
  <si>
    <t>Những văn bản quy phạm pháp luật, văn bản của ĐHQGHN liên quan đến hoạt động của Trường (nửa sau tháng 7)</t>
  </si>
  <si>
    <t>204-QĐ/TW</t>
  </si>
  <si>
    <t>258/2026/NĐ-CP</t>
  </si>
  <si>
    <t>260/2026/NĐ-CP</t>
  </si>
  <si>
    <t>33/2026/QĐ-TTg</t>
  </si>
  <si>
    <t>52/2026/TT-BGDDT</t>
  </si>
  <si>
    <t>49/2026/TT-BGDDT</t>
  </si>
  <si>
    <t>50/2026/TT-BGDDT</t>
  </si>
  <si>
    <t>54/2026/TT-BGDDT</t>
  </si>
  <si>
    <t>38/2026/QD-TTg</t>
  </si>
  <si>
    <t>66.24/2026/NQ-CP</t>
  </si>
  <si>
    <t>2422/QĐ-BGDĐT</t>
  </si>
  <si>
    <t>31/CT-TTg</t>
  </si>
  <si>
    <t xml:space="preserve"> 48/2026/TT-BKHCN</t>
  </si>
  <si>
    <t>47/2026/TT-BGDĐT</t>
  </si>
  <si>
    <t>225/2026/NĐ-CP</t>
  </si>
  <si>
    <t>282/2025/NĐ-CP</t>
  </si>
  <si>
    <t>310/2025/NĐ-CP</t>
  </si>
  <si>
    <t>146/2025/TT-BTC</t>
  </si>
  <si>
    <t>09/2026/TT-BTC</t>
  </si>
  <si>
    <t>262/2025/NĐ-CP</t>
  </si>
  <si>
    <t>35/2026/TT-BGDĐT</t>
  </si>
  <si>
    <t xml:space="preserve"> 31/2026/TT-BGDĐT</t>
  </si>
  <si>
    <t>33/2026/TT-BGDĐT</t>
  </si>
  <si>
    <t>17/2026/TT-BKHCN</t>
  </si>
  <si>
    <t>2304/QĐ-UBND</t>
  </si>
  <si>
    <t>21-QĐ/TW</t>
  </si>
  <si>
    <t>159/2026/NĐ-CP</t>
  </si>
  <si>
    <t>Hướng dẫn về quy chế và tổ chức hoạt động của cơ sở giáo dục đại học</t>
  </si>
  <si>
    <t>45/2026/TT-BGDĐT</t>
  </si>
  <si>
    <t>Thông tư 58/2026/TT-BGDĐT hướng dẫn về quy chế và tổ chức hoạt động của cơ sở giáo dục đại học</t>
  </si>
  <si>
    <t>10/2020/TT-BGDĐT</t>
  </si>
  <si>
    <t>Thông tư 10/2020/TT-BGDĐT ban hành quy chế tổ chức và hoạt động của đại học vùng và các cơ sở giáo dục đại học thành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</si>
</sst>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0"/>
      <color rgb="FF000000"/>
      <name val="Arial"/>
      <charset val="134"/>
      <scheme val="minor"/>
    </font>
    <font>
      <b/>
      <sz val="10"/>
      <color theme="1"/>
      <name val="Arial"/>
      <family val="2"/>
      <scheme val="minor"/>
    </font>
    <font>
      <sz val="10"/>
      <color theme="1"/>
      <name val="Arial"/>
      <family val="2"/>
      <scheme val="minor"/>
    </font>
    <font>
      <sz val="10"/>
      <color theme="1"/>
      <name val="Arial"/>
      <family val="2"/>
    </font>
    <font>
      <u/>
      <sz val="10"/>
      <color theme="10"/>
      <name val="Arial"/>
      <family val="2"/>
      <scheme val="minor"/>
    </font>
    <font>
      <sz val="10"/>
      <color rgb="FFFF0000"/>
      <name val="Arial"/>
      <family val="2"/>
      <scheme val="minor"/>
    </font>
    <font>
      <u/>
      <sz val="10"/>
      <color rgb="FF1155CC"/>
      <name val="Arial"/>
      <family val="2"/>
    </font>
    <font>
      <sz val="10"/>
      <color rgb="FF000000"/>
      <name val="Arial"/>
      <family val="2"/>
      <scheme val="minor"/>
    </font>
    <font>
      <sz val="10"/>
      <color rgb="FFFF0000"/>
      <name val="Arial"/>
      <family val="2"/>
    </font>
    <font>
      <b/>
      <sz val="10"/>
      <color theme="1"/>
      <name val="Arial"/>
      <family val="2"/>
    </font>
    <font>
      <sz val="10"/>
      <name val="Arial"/>
      <family val="2"/>
    </font>
    <font>
      <sz val="10"/>
      <color rgb="FF000000"/>
      <name val="Arial"/>
      <family val="2"/>
      <scheme val="major"/>
    </font>
    <font>
      <b/>
      <sz val="10"/>
      <name val="Arial"/>
      <family val="2"/>
      <scheme val="minor"/>
    </font>
    <font>
      <u/>
      <sz val="10"/>
      <name val="Arial"/>
      <family val="2"/>
    </font>
    <font>
      <u/>
      <sz val="10"/>
      <name val="Arial"/>
      <family val="2"/>
      <scheme val="minor"/>
    </font>
    <font>
      <sz val="10"/>
      <name val="Arial"/>
      <family val="2"/>
      <scheme val="minor"/>
    </font>
    <font>
      <strike/>
      <sz val="10"/>
      <name val="Arial"/>
      <family val="2"/>
      <scheme val="minor"/>
    </font>
    <font>
      <sz val="10"/>
      <name val="Roboto"/>
    </font>
    <font>
      <u/>
      <sz val="10"/>
      <name val="Roboto"/>
    </font>
    <font>
      <sz val="10"/>
      <name val="Arial"/>
      <family val="2"/>
      <scheme val="major"/>
    </font>
    <font>
      <u/>
      <sz val="10"/>
      <color theme="1"/>
      <name val="Arial"/>
      <family val="2"/>
      <scheme val="minor"/>
    </font>
    <font>
      <sz val="8"/>
      <name val="Arial"/>
      <family val="2"/>
      <scheme val="minor"/>
    </font>
    <font>
      <strike/>
      <u/>
      <sz val="10"/>
      <color theme="1"/>
      <name val="Arial"/>
      <family val="2"/>
      <scheme val="minor"/>
    </font>
    <font>
      <u/>
      <sz val="10"/>
      <color rgb="FFFF0000"/>
      <name val="Arial"/>
      <family val="2"/>
      <scheme val="minor"/>
    </font>
    <font>
      <sz val="10"/>
      <color rgb="FF000000"/>
      <name val="Arial"/>
      <family val="2"/>
      <charset val="163"/>
      <scheme val="minor"/>
    </font>
  </fonts>
  <fills count="38">
    <fill>
      <patternFill patternType="none"/>
    </fill>
    <fill>
      <patternFill patternType="gray125"/>
    </fill>
    <fill>
      <patternFill patternType="solid">
        <fgColor rgb="FFFFF2CC"/>
        <bgColor rgb="FFFFF2CC"/>
      </patternFill>
    </fill>
    <fill>
      <patternFill patternType="solid">
        <fgColor theme="6" tint="0.79995117038483843"/>
        <bgColor indexed="64"/>
      </patternFill>
    </fill>
    <fill>
      <patternFill patternType="solid">
        <fgColor rgb="FF0000FF"/>
        <bgColor rgb="FF0000FF"/>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theme="6" tint="0.79998168889431442"/>
        <bgColor rgb="FFFFF2CC"/>
      </patternFill>
    </fill>
    <fill>
      <patternFill patternType="solid">
        <fgColor theme="0"/>
        <bgColor indexed="64"/>
      </patternFill>
    </fill>
    <fill>
      <patternFill patternType="solid">
        <fgColor theme="4" tint="0.79998168889431442"/>
        <bgColor rgb="FFCFE2F3"/>
      </patternFill>
    </fill>
    <fill>
      <patternFill patternType="solid">
        <fgColor theme="6" tint="0.79998168889431442"/>
        <bgColor rgb="FFCFE2F3"/>
      </patternFill>
    </fill>
    <fill>
      <patternFill patternType="solid">
        <fgColor theme="8" tint="0.59999389629810485"/>
        <bgColor rgb="FFCFE2F3"/>
      </patternFill>
    </fill>
    <fill>
      <patternFill patternType="solid">
        <fgColor theme="8" tint="0.59999389629810485"/>
        <bgColor rgb="FFFFF2CC"/>
      </patternFill>
    </fill>
    <fill>
      <patternFill patternType="solid">
        <fgColor theme="8" tint="0.59999389629810485"/>
        <bgColor rgb="FFFFFF00"/>
      </patternFill>
    </fill>
    <fill>
      <patternFill patternType="solid">
        <fgColor theme="5" tint="0.59999389629810485"/>
        <bgColor rgb="FFCFE2F3"/>
      </patternFill>
    </fill>
    <fill>
      <patternFill patternType="solid">
        <fgColor theme="5" tint="0.59999389629810485"/>
        <bgColor rgb="FFFFF2CC"/>
      </patternFill>
    </fill>
    <fill>
      <patternFill patternType="solid">
        <fgColor theme="7" tint="0.79998168889431442"/>
        <bgColor rgb="FFCFE2F3"/>
      </patternFill>
    </fill>
    <fill>
      <patternFill patternType="solid">
        <fgColor theme="7" tint="0.79998168889431442"/>
        <bgColor rgb="FFFFF2CC"/>
      </patternFill>
    </fill>
    <fill>
      <patternFill patternType="solid">
        <fgColor rgb="FFFFC000"/>
        <bgColor rgb="FFCFE2F3"/>
      </patternFill>
    </fill>
    <fill>
      <patternFill patternType="solid">
        <fgColor rgb="FFFFC000"/>
        <bgColor rgb="FFFFF2CC"/>
      </patternFill>
    </fill>
    <fill>
      <patternFill patternType="solid">
        <fgColor theme="6" tint="0.39997558519241921"/>
        <bgColor rgb="FFCFE2F3"/>
      </patternFill>
    </fill>
    <fill>
      <patternFill patternType="solid">
        <fgColor theme="6" tint="0.39997558519241921"/>
        <bgColor rgb="FFFFF2CC"/>
      </patternFill>
    </fill>
    <fill>
      <patternFill patternType="solid">
        <fgColor rgb="FF92D050"/>
        <bgColor rgb="FFCFE2F3"/>
      </patternFill>
    </fill>
    <fill>
      <patternFill patternType="solid">
        <fgColor rgb="FF92D050"/>
        <bgColor rgb="FFFFF2CC"/>
      </patternFill>
    </fill>
    <fill>
      <patternFill patternType="solid">
        <fgColor theme="4" tint="0.39997558519241921"/>
        <bgColor rgb="FFCFE2F3"/>
      </patternFill>
    </fill>
    <fill>
      <patternFill patternType="solid">
        <fgColor rgb="FFFFFF66"/>
        <bgColor rgb="FFCFE2F3"/>
      </patternFill>
    </fill>
    <fill>
      <patternFill patternType="solid">
        <fgColor rgb="FFFFFF66"/>
        <bgColor rgb="FFFFF2CC"/>
      </patternFill>
    </fill>
    <fill>
      <patternFill patternType="solid">
        <fgColor rgb="FFFFFF66"/>
        <bgColor rgb="FFFFFF00"/>
      </patternFill>
    </fill>
    <fill>
      <patternFill patternType="solid">
        <fgColor rgb="FFFFFF66"/>
        <bgColor rgb="FFFF0000"/>
      </patternFill>
    </fill>
    <fill>
      <patternFill patternType="solid">
        <fgColor rgb="FFFFFF66"/>
        <bgColor indexed="64"/>
      </patternFill>
    </fill>
    <fill>
      <patternFill patternType="solid">
        <fgColor rgb="FFFFF2CC"/>
        <bgColor rgb="FFFF0000"/>
      </patternFill>
    </fill>
    <fill>
      <patternFill patternType="solid">
        <fgColor rgb="FFFFF2CC"/>
        <bgColor indexed="64"/>
      </patternFill>
    </fill>
    <fill>
      <patternFill patternType="solid">
        <fgColor rgb="FFFFFFCC"/>
        <bgColor indexed="64"/>
      </patternFill>
    </fill>
    <fill>
      <patternFill patternType="solid">
        <fgColor theme="0"/>
        <bgColor rgb="FFCFE2F3"/>
      </patternFill>
    </fill>
    <fill>
      <patternFill patternType="solid">
        <fgColor theme="0"/>
        <bgColor rgb="FFFFF2CC"/>
      </patternFill>
    </fill>
    <fill>
      <patternFill patternType="solid">
        <fgColor theme="0"/>
        <bgColor rgb="FFFFFF00"/>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Alignment="0" applyProtection="0"/>
  </cellStyleXfs>
  <cellXfs count="237">
    <xf numFmtId="0" fontId="0" fillId="0" borderId="0" xfId="0"/>
    <xf numFmtId="0" fontId="1" fillId="0" borderId="0" xfId="0" applyFont="1" applyAlignment="1">
      <alignment horizontal="center"/>
    </xf>
    <xf numFmtId="0" fontId="3" fillId="0" borderId="0" xfId="0" applyFont="1"/>
    <xf numFmtId="0" fontId="0" fillId="0" borderId="2" xfId="0" applyBorder="1"/>
    <xf numFmtId="0" fontId="0" fillId="0" borderId="2" xfId="0" applyBorder="1" applyAlignment="1">
      <alignment horizontal="center"/>
    </xf>
    <xf numFmtId="0" fontId="2"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wrapText="1"/>
    </xf>
    <xf numFmtId="0" fontId="2" fillId="0" borderId="2" xfId="0" applyFont="1" applyBorder="1" applyAlignment="1">
      <alignment wrapText="1"/>
    </xf>
    <xf numFmtId="0" fontId="0" fillId="0" borderId="0" xfId="0"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vertical="center"/>
    </xf>
    <xf numFmtId="0" fontId="0" fillId="0" borderId="2" xfId="0" applyBorder="1" applyAlignment="1">
      <alignment vertical="center"/>
    </xf>
    <xf numFmtId="0" fontId="9" fillId="0" borderId="0" xfId="0" applyFont="1" applyAlignment="1">
      <alignment vertical="top"/>
    </xf>
    <xf numFmtId="0" fontId="3" fillId="0" borderId="0" xfId="0" applyFont="1" applyAlignment="1">
      <alignment vertical="top"/>
    </xf>
    <xf numFmtId="0" fontId="9" fillId="6" borderId="1" xfId="0" applyFont="1" applyFill="1" applyBorder="1" applyAlignment="1">
      <alignment horizontal="center" vertical="top" wrapText="1"/>
    </xf>
    <xf numFmtId="0" fontId="3" fillId="7" borderId="1" xfId="0" applyFont="1" applyFill="1" applyBorder="1" applyAlignment="1">
      <alignment vertical="top" wrapText="1"/>
    </xf>
    <xf numFmtId="0" fontId="3" fillId="7" borderId="1" xfId="0" applyFont="1" applyFill="1" applyBorder="1" applyAlignment="1">
      <alignment vertical="top"/>
    </xf>
    <xf numFmtId="0" fontId="3" fillId="7" borderId="1" xfId="0" applyFont="1" applyFill="1" applyBorder="1" applyAlignment="1">
      <alignment horizontal="center" vertical="top" wrapText="1"/>
    </xf>
    <xf numFmtId="0" fontId="8" fillId="7" borderId="1" xfId="0" applyFont="1" applyFill="1" applyBorder="1" applyAlignment="1">
      <alignment vertical="top" wrapText="1"/>
    </xf>
    <xf numFmtId="0" fontId="9" fillId="7"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xf>
    <xf numFmtId="0" fontId="9" fillId="6" borderId="1" xfId="0" applyFont="1" applyFill="1" applyBorder="1" applyAlignment="1">
      <alignment horizontal="center" wrapText="1"/>
    </xf>
    <xf numFmtId="0" fontId="3" fillId="2" borderId="1" xfId="0" applyFont="1" applyFill="1" applyBorder="1" applyAlignment="1">
      <alignment horizontal="center" vertical="top" wrapText="1"/>
    </xf>
    <xf numFmtId="0" fontId="3" fillId="5" borderId="1" xfId="0" applyFont="1" applyFill="1" applyBorder="1" applyAlignment="1">
      <alignment vertical="top" wrapText="1"/>
    </xf>
    <xf numFmtId="0" fontId="3" fillId="5" borderId="1" xfId="0" applyFont="1" applyFill="1" applyBorder="1" applyAlignment="1">
      <alignment vertical="top"/>
    </xf>
    <xf numFmtId="0" fontId="3" fillId="5" borderId="1" xfId="0" applyFont="1" applyFill="1" applyBorder="1" applyAlignment="1">
      <alignment horizontal="center" vertical="top" wrapText="1"/>
    </xf>
    <xf numFmtId="0" fontId="9" fillId="5" borderId="1" xfId="0" applyFont="1" applyFill="1" applyBorder="1" applyAlignment="1">
      <alignment vertical="top" wrapText="1"/>
    </xf>
    <xf numFmtId="0" fontId="15" fillId="12" borderId="2" xfId="0" applyFont="1" applyFill="1" applyBorder="1" applyAlignment="1">
      <alignment horizontal="center" vertical="center" wrapText="1"/>
    </xf>
    <xf numFmtId="0" fontId="12" fillId="0" borderId="2" xfId="0" applyFont="1" applyBorder="1" applyAlignment="1">
      <alignment horizontal="center" vertical="center" wrapText="1"/>
    </xf>
    <xf numFmtId="14" fontId="12" fillId="0" borderId="2" xfId="0" applyNumberFormat="1" applyFont="1" applyBorder="1" applyAlignment="1">
      <alignment horizontal="center" vertical="center" wrapText="1"/>
    </xf>
    <xf numFmtId="0" fontId="15" fillId="10" borderId="2" xfId="0" applyFont="1" applyFill="1" applyBorder="1" applyAlignment="1">
      <alignment horizontal="center" vertical="center" wrapText="1"/>
    </xf>
    <xf numFmtId="14" fontId="15" fillId="10" borderId="2" xfId="0" applyNumberFormat="1" applyFont="1" applyFill="1" applyBorder="1" applyAlignment="1">
      <alignment horizontal="center" vertical="center" wrapText="1"/>
    </xf>
    <xf numFmtId="0" fontId="15" fillId="11" borderId="2" xfId="0" applyFont="1" applyFill="1" applyBorder="1" applyAlignment="1">
      <alignment horizontal="center" vertical="center" wrapText="1"/>
    </xf>
    <xf numFmtId="0" fontId="15" fillId="8" borderId="2" xfId="0" applyFont="1" applyFill="1" applyBorder="1" applyAlignment="1">
      <alignment horizontal="center" vertical="center" wrapText="1"/>
    </xf>
    <xf numFmtId="14" fontId="15" fillId="8" borderId="2" xfId="0" applyNumberFormat="1" applyFont="1" applyFill="1" applyBorder="1" applyAlignment="1">
      <alignment horizontal="center" vertical="center" wrapText="1"/>
    </xf>
    <xf numFmtId="14" fontId="15" fillId="12" borderId="2" xfId="0" applyNumberFormat="1" applyFont="1" applyFill="1" applyBorder="1" applyAlignment="1">
      <alignment horizontal="center" vertical="center" wrapText="1"/>
    </xf>
    <xf numFmtId="0" fontId="15" fillId="13" borderId="2" xfId="0" applyFont="1" applyFill="1" applyBorder="1" applyAlignment="1">
      <alignment horizontal="center" vertical="center" wrapText="1"/>
    </xf>
    <xf numFmtId="0" fontId="15" fillId="14" borderId="2" xfId="0" applyFont="1" applyFill="1" applyBorder="1" applyAlignment="1">
      <alignment horizontal="center" vertical="center" wrapText="1"/>
    </xf>
    <xf numFmtId="14" fontId="15" fillId="14" borderId="2" xfId="0" applyNumberFormat="1" applyFont="1" applyFill="1" applyBorder="1" applyAlignment="1">
      <alignment horizontal="center" vertical="center" wrapText="1"/>
    </xf>
    <xf numFmtId="0" fontId="15" fillId="15" borderId="2" xfId="0" applyFont="1" applyFill="1" applyBorder="1" applyAlignment="1">
      <alignment horizontal="center" vertical="center" wrapText="1"/>
    </xf>
    <xf numFmtId="0" fontId="15" fillId="16" borderId="2" xfId="0" applyFont="1" applyFill="1" applyBorder="1" applyAlignment="1">
      <alignment horizontal="center" vertical="center" wrapText="1"/>
    </xf>
    <xf numFmtId="14" fontId="15" fillId="16" borderId="2" xfId="0" applyNumberFormat="1" applyFont="1" applyFill="1" applyBorder="1" applyAlignment="1">
      <alignment horizontal="center" vertical="center" wrapText="1"/>
    </xf>
    <xf numFmtId="0" fontId="15" fillId="17" borderId="2" xfId="0" applyFont="1" applyFill="1" applyBorder="1" applyAlignment="1">
      <alignment horizontal="center" vertical="center" wrapText="1"/>
    </xf>
    <xf numFmtId="14" fontId="15" fillId="17" borderId="2" xfId="0" applyNumberFormat="1" applyFont="1" applyFill="1" applyBorder="1" applyAlignment="1">
      <alignment horizontal="center" vertical="center" wrapText="1"/>
    </xf>
    <xf numFmtId="0" fontId="15" fillId="18" borderId="2" xfId="0" applyFont="1" applyFill="1" applyBorder="1" applyAlignment="1">
      <alignment horizontal="center" vertical="center" wrapText="1"/>
    </xf>
    <xf numFmtId="0" fontId="15" fillId="19" borderId="2" xfId="0" applyFont="1" applyFill="1" applyBorder="1" applyAlignment="1">
      <alignment horizontal="center" vertical="center" wrapText="1"/>
    </xf>
    <xf numFmtId="0" fontId="15" fillId="20" borderId="2" xfId="0" applyFont="1" applyFill="1" applyBorder="1" applyAlignment="1">
      <alignment horizontal="center" vertical="center" wrapText="1"/>
    </xf>
    <xf numFmtId="14" fontId="15" fillId="20" borderId="2" xfId="0" applyNumberFormat="1" applyFont="1" applyFill="1" applyBorder="1" applyAlignment="1">
      <alignment horizontal="center" vertical="center" wrapText="1"/>
    </xf>
    <xf numFmtId="0" fontId="15" fillId="21" borderId="2" xfId="0" applyFont="1" applyFill="1" applyBorder="1" applyAlignment="1">
      <alignment horizontal="center" vertical="center" wrapText="1"/>
    </xf>
    <xf numFmtId="14" fontId="15" fillId="21" borderId="2" xfId="0" applyNumberFormat="1" applyFont="1" applyFill="1" applyBorder="1" applyAlignment="1">
      <alignment horizontal="center" vertical="center" wrapText="1"/>
    </xf>
    <xf numFmtId="0" fontId="15" fillId="22" borderId="2" xfId="0" applyFont="1" applyFill="1" applyBorder="1" applyAlignment="1">
      <alignment horizontal="center" vertical="center" wrapText="1"/>
    </xf>
    <xf numFmtId="0" fontId="15" fillId="23" borderId="2" xfId="0" applyFont="1" applyFill="1" applyBorder="1" applyAlignment="1">
      <alignment horizontal="center" vertical="center" wrapText="1"/>
    </xf>
    <xf numFmtId="0" fontId="15" fillId="24" borderId="2" xfId="0" applyFont="1" applyFill="1" applyBorder="1" applyAlignment="1">
      <alignment horizontal="center" vertical="center" wrapText="1"/>
    </xf>
    <xf numFmtId="14" fontId="15" fillId="24" borderId="2" xfId="0" applyNumberFormat="1" applyFont="1" applyFill="1" applyBorder="1" applyAlignment="1">
      <alignment horizontal="center" vertical="center" wrapText="1"/>
    </xf>
    <xf numFmtId="0" fontId="15" fillId="25" borderId="2" xfId="0" applyFont="1" applyFill="1" applyBorder="1" applyAlignment="1">
      <alignment horizontal="center" vertical="center" wrapText="1"/>
    </xf>
    <xf numFmtId="14" fontId="15" fillId="25" borderId="2" xfId="0" applyNumberFormat="1" applyFont="1" applyFill="1" applyBorder="1" applyAlignment="1">
      <alignment horizontal="center" vertical="center" wrapText="1"/>
    </xf>
    <xf numFmtId="0" fontId="10" fillId="25" borderId="2" xfId="0" applyFont="1" applyFill="1" applyBorder="1" applyAlignment="1">
      <alignment horizontal="center" vertical="center" wrapText="1"/>
    </xf>
    <xf numFmtId="0" fontId="15" fillId="26" borderId="2" xfId="0" applyFont="1" applyFill="1" applyBorder="1" applyAlignment="1">
      <alignment horizontal="center" vertical="center" wrapText="1"/>
    </xf>
    <xf numFmtId="0" fontId="15" fillId="27" borderId="2" xfId="0" applyFont="1" applyFill="1" applyBorder="1" applyAlignment="1">
      <alignment horizontal="center" vertical="center" wrapText="1"/>
    </xf>
    <xf numFmtId="14" fontId="15" fillId="27" borderId="2" xfId="0" applyNumberFormat="1" applyFont="1" applyFill="1" applyBorder="1" applyAlignment="1">
      <alignment horizontal="center" vertical="center" wrapText="1"/>
    </xf>
    <xf numFmtId="0" fontId="15" fillId="27" borderId="2" xfId="0" applyFont="1" applyFill="1" applyBorder="1" applyAlignment="1">
      <alignment horizontal="center" vertical="center"/>
    </xf>
    <xf numFmtId="0" fontId="16" fillId="27" borderId="2" xfId="0" applyFont="1" applyFill="1" applyBorder="1" applyAlignment="1">
      <alignment horizontal="center" vertical="center" wrapText="1"/>
    </xf>
    <xf numFmtId="0" fontId="16" fillId="27" borderId="2" xfId="0" applyFont="1" applyFill="1" applyBorder="1" applyAlignment="1">
      <alignment horizontal="center" vertical="center"/>
    </xf>
    <xf numFmtId="14" fontId="16" fillId="27" borderId="2" xfId="0" applyNumberFormat="1" applyFont="1" applyFill="1" applyBorder="1" applyAlignment="1">
      <alignment horizontal="center" vertical="center" wrapText="1"/>
    </xf>
    <xf numFmtId="0" fontId="10" fillId="27" borderId="2" xfId="0" applyFont="1" applyFill="1" applyBorder="1" applyAlignment="1">
      <alignment horizontal="center" vertical="center"/>
    </xf>
    <xf numFmtId="14" fontId="10" fillId="27" borderId="2" xfId="0" applyNumberFormat="1" applyFont="1" applyFill="1" applyBorder="1" applyAlignment="1">
      <alignment horizontal="center" vertical="center" wrapText="1"/>
    </xf>
    <xf numFmtId="0" fontId="10" fillId="27" borderId="2" xfId="0" applyFont="1" applyFill="1" applyBorder="1" applyAlignment="1">
      <alignment horizontal="center" vertical="center" wrapText="1"/>
    </xf>
    <xf numFmtId="0" fontId="15" fillId="29" borderId="2" xfId="0" applyFont="1" applyFill="1" applyBorder="1" applyAlignment="1">
      <alignment horizontal="center" vertical="center" wrapText="1"/>
    </xf>
    <xf numFmtId="0" fontId="15" fillId="30" borderId="2" xfId="0" applyFont="1" applyFill="1" applyBorder="1" applyAlignment="1">
      <alignment horizontal="center" vertical="center" wrapText="1"/>
    </xf>
    <xf numFmtId="0" fontId="15" fillId="30" borderId="2" xfId="0" applyFont="1" applyFill="1" applyBorder="1" applyAlignment="1">
      <alignment horizontal="center" vertical="center"/>
    </xf>
    <xf numFmtId="14" fontId="15" fillId="30" borderId="2" xfId="0" applyNumberFormat="1" applyFont="1" applyFill="1" applyBorder="1" applyAlignment="1">
      <alignment horizontal="center" vertical="center" wrapText="1"/>
    </xf>
    <xf numFmtId="0" fontId="19" fillId="30" borderId="2" xfId="0" applyFont="1" applyFill="1" applyBorder="1" applyAlignment="1">
      <alignment horizontal="center" vertical="center" wrapText="1"/>
    </xf>
    <xf numFmtId="14" fontId="19" fillId="30" borderId="2" xfId="0" applyNumberFormat="1" applyFont="1" applyFill="1" applyBorder="1" applyAlignment="1">
      <alignment horizontal="center" vertical="center" wrapText="1"/>
    </xf>
    <xf numFmtId="0" fontId="17" fillId="30" borderId="2" xfId="0" applyFont="1" applyFill="1" applyBorder="1" applyAlignment="1">
      <alignment horizontal="center" vertical="center" wrapText="1"/>
    </xf>
    <xf numFmtId="14" fontId="17" fillId="30" borderId="2" xfId="0" applyNumberFormat="1" applyFont="1" applyFill="1" applyBorder="1" applyAlignment="1">
      <alignment horizontal="center" vertical="center" wrapText="1"/>
    </xf>
    <xf numFmtId="0" fontId="12" fillId="4"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8" fillId="2" borderId="2" xfId="0" applyFont="1" applyFill="1" applyBorder="1" applyAlignment="1">
      <alignment horizontal="left" vertical="center" wrapText="1"/>
    </xf>
    <xf numFmtId="0" fontId="15" fillId="2" borderId="2" xfId="0" applyFont="1" applyFill="1" applyBorder="1" applyAlignment="1">
      <alignment horizontal="center" vertical="center"/>
    </xf>
    <xf numFmtId="14" fontId="15" fillId="2" borderId="2" xfId="0" applyNumberFormat="1" applyFont="1" applyFill="1" applyBorder="1" applyAlignment="1">
      <alignment horizontal="center" vertical="center" wrapText="1"/>
    </xf>
    <xf numFmtId="0" fontId="15" fillId="2" borderId="2" xfId="0" applyFont="1" applyFill="1" applyBorder="1" applyAlignment="1">
      <alignment vertical="center" wrapText="1"/>
    </xf>
    <xf numFmtId="0" fontId="14" fillId="2" borderId="2" xfId="1" applyFont="1" applyFill="1" applyBorder="1" applyAlignment="1">
      <alignment horizontal="left" vertical="center"/>
    </xf>
    <xf numFmtId="0" fontId="14" fillId="2" borderId="2" xfId="1" applyFont="1" applyFill="1" applyBorder="1" applyAlignment="1">
      <alignment vertical="center"/>
    </xf>
    <xf numFmtId="0" fontId="15" fillId="2" borderId="2" xfId="0" applyFont="1" applyFill="1" applyBorder="1" applyAlignment="1">
      <alignment horizontal="left" vertical="center" wrapText="1"/>
    </xf>
    <xf numFmtId="0" fontId="14" fillId="2" borderId="2" xfId="1" applyFont="1" applyFill="1" applyBorder="1" applyAlignment="1">
      <alignment horizontal="center" vertical="center" wrapText="1"/>
    </xf>
    <xf numFmtId="0" fontId="14" fillId="2" borderId="2" xfId="1" applyFont="1" applyFill="1" applyBorder="1" applyAlignment="1">
      <alignment horizontal="center" vertical="center"/>
    </xf>
    <xf numFmtId="0" fontId="15" fillId="31" borderId="2" xfId="0" applyFont="1" applyFill="1" applyBorder="1" applyAlignment="1">
      <alignment horizontal="center" vertical="center" wrapText="1"/>
    </xf>
    <xf numFmtId="0" fontId="15" fillId="32" borderId="2" xfId="0" applyFont="1" applyFill="1" applyBorder="1" applyAlignment="1">
      <alignment vertical="center" wrapText="1"/>
    </xf>
    <xf numFmtId="0" fontId="15" fillId="32" borderId="2" xfId="0" applyFont="1" applyFill="1" applyBorder="1" applyAlignment="1">
      <alignment horizontal="center" vertical="center" wrapText="1"/>
    </xf>
    <xf numFmtId="0" fontId="15" fillId="32" borderId="2" xfId="0" applyFont="1" applyFill="1" applyBorder="1" applyAlignment="1">
      <alignment horizontal="center" vertical="center"/>
    </xf>
    <xf numFmtId="14" fontId="15" fillId="32" borderId="2" xfId="0" applyNumberFormat="1" applyFont="1" applyFill="1" applyBorder="1" applyAlignment="1">
      <alignment horizontal="center" vertical="center" wrapText="1"/>
    </xf>
    <xf numFmtId="0" fontId="14" fillId="32" borderId="2" xfId="1" applyFont="1" applyFill="1" applyBorder="1" applyAlignment="1">
      <alignment horizontal="center" vertical="center"/>
    </xf>
    <xf numFmtId="0" fontId="14" fillId="32" borderId="1" xfId="1" applyFont="1" applyFill="1" applyBorder="1" applyAlignment="1">
      <alignment horizontal="left" vertical="center" wrapText="1"/>
    </xf>
    <xf numFmtId="0" fontId="17" fillId="32" borderId="2" xfId="0" applyFont="1" applyFill="1" applyBorder="1" applyAlignment="1">
      <alignment horizontal="center" vertical="center" wrapText="1"/>
    </xf>
    <xf numFmtId="14" fontId="17" fillId="32" borderId="2" xfId="0" applyNumberFormat="1" applyFont="1" applyFill="1" applyBorder="1" applyAlignment="1">
      <alignment horizontal="center" vertical="center" wrapText="1"/>
    </xf>
    <xf numFmtId="0" fontId="14" fillId="32" borderId="2" xfId="1" applyFont="1" applyFill="1" applyBorder="1" applyAlignment="1">
      <alignment horizontal="center" vertical="center" wrapText="1"/>
    </xf>
    <xf numFmtId="0" fontId="14" fillId="32" borderId="8" xfId="1" applyFont="1" applyFill="1" applyBorder="1" applyAlignment="1">
      <alignment horizontal="left" vertical="center" wrapText="1"/>
    </xf>
    <xf numFmtId="0" fontId="14" fillId="32" borderId="8" xfId="1" applyFont="1" applyFill="1" applyBorder="1" applyAlignment="1">
      <alignment vertical="center" wrapText="1"/>
    </xf>
    <xf numFmtId="0" fontId="15" fillId="32" borderId="3" xfId="0" applyFont="1" applyFill="1" applyBorder="1" applyAlignment="1">
      <alignment horizontal="center" vertical="center" wrapText="1"/>
    </xf>
    <xf numFmtId="0" fontId="15" fillId="32" borderId="3" xfId="0" applyFont="1" applyFill="1" applyBorder="1" applyAlignment="1">
      <alignment horizontal="center" vertical="center"/>
    </xf>
    <xf numFmtId="14" fontId="15" fillId="32" borderId="3" xfId="0" applyNumberFormat="1" applyFont="1" applyFill="1" applyBorder="1" applyAlignment="1">
      <alignment horizontal="center" vertical="center" wrapText="1"/>
    </xf>
    <xf numFmtId="0" fontId="19" fillId="32" borderId="2" xfId="0" applyFont="1" applyFill="1" applyBorder="1" applyAlignment="1">
      <alignment horizontal="center" vertical="center" wrapText="1"/>
    </xf>
    <xf numFmtId="0" fontId="14" fillId="32" borderId="3" xfId="1" applyFont="1" applyFill="1" applyBorder="1" applyAlignment="1">
      <alignment horizontal="center" vertical="center"/>
    </xf>
    <xf numFmtId="0" fontId="14" fillId="2" borderId="2" xfId="1" applyFont="1" applyFill="1" applyBorder="1" applyAlignment="1">
      <alignment vertical="center" wrapText="1"/>
    </xf>
    <xf numFmtId="0" fontId="15" fillId="0" borderId="2" xfId="0" applyFont="1" applyBorder="1" applyAlignment="1">
      <alignment horizontal="center" vertical="center" wrapText="1"/>
    </xf>
    <xf numFmtId="0" fontId="15" fillId="2" borderId="2" xfId="0" applyFont="1" applyFill="1" applyBorder="1" applyAlignment="1">
      <alignment vertical="center"/>
    </xf>
    <xf numFmtId="0" fontId="14" fillId="32" borderId="2" xfId="1" applyFont="1" applyFill="1" applyBorder="1" applyAlignment="1">
      <alignment horizontal="left" vertical="center" wrapText="1"/>
    </xf>
    <xf numFmtId="0" fontId="1"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7" xfId="0" applyFont="1" applyBorder="1" applyAlignment="1">
      <alignment horizontal="center" vertical="center"/>
    </xf>
    <xf numFmtId="0" fontId="1" fillId="0" borderId="4" xfId="0" applyFont="1" applyBorder="1" applyAlignment="1">
      <alignment horizontal="center" vertical="center"/>
    </xf>
    <xf numFmtId="0" fontId="15" fillId="32" borderId="2" xfId="0" applyFont="1" applyFill="1" applyBorder="1" applyAlignment="1">
      <alignment horizontal="left" vertical="center" wrapText="1"/>
    </xf>
    <xf numFmtId="0" fontId="17" fillId="32" borderId="2" xfId="0" applyFont="1" applyFill="1" applyBorder="1" applyAlignment="1">
      <alignment horizontal="left" vertical="center" wrapText="1"/>
    </xf>
    <xf numFmtId="0" fontId="15" fillId="32" borderId="3" xfId="0" applyFont="1" applyFill="1" applyBorder="1" applyAlignment="1">
      <alignment horizontal="left" vertical="center" wrapText="1"/>
    </xf>
    <xf numFmtId="0" fontId="0" fillId="0" borderId="2" xfId="0" applyBorder="1" applyAlignment="1">
      <alignment horizontal="left"/>
    </xf>
    <xf numFmtId="0" fontId="2" fillId="2" borderId="2" xfId="0" applyFont="1" applyFill="1" applyBorder="1" applyAlignment="1">
      <alignment horizontal="left" wrapText="1"/>
    </xf>
    <xf numFmtId="0" fontId="18" fillId="27" borderId="2" xfId="0" applyFont="1" applyFill="1" applyBorder="1" applyAlignment="1">
      <alignment horizontal="center" vertical="center" wrapText="1"/>
    </xf>
    <xf numFmtId="0" fontId="14" fillId="28" borderId="2" xfId="1" applyFont="1" applyFill="1" applyBorder="1" applyAlignment="1">
      <alignment horizontal="center" vertical="center" wrapText="1"/>
    </xf>
    <xf numFmtId="0" fontId="2" fillId="32" borderId="2" xfId="0" applyFont="1" applyFill="1" applyBorder="1" applyAlignment="1">
      <alignment horizontal="center" vertical="center" wrapText="1"/>
    </xf>
    <xf numFmtId="0" fontId="20" fillId="32" borderId="2" xfId="1" applyFont="1" applyFill="1" applyBorder="1" applyAlignment="1">
      <alignment horizontal="center" vertical="center" wrapText="1"/>
    </xf>
    <xf numFmtId="0" fontId="2" fillId="30" borderId="2" xfId="0" applyFont="1" applyFill="1" applyBorder="1" applyAlignment="1">
      <alignment horizontal="center" vertical="center" wrapText="1"/>
    </xf>
    <xf numFmtId="0" fontId="2" fillId="0" borderId="4" xfId="0" applyFont="1" applyBorder="1" applyAlignment="1">
      <alignment vertical="center"/>
    </xf>
    <xf numFmtId="0" fontId="2" fillId="0" borderId="8" xfId="0" applyFont="1" applyBorder="1" applyAlignment="1">
      <alignment horizontal="center" vertical="center"/>
    </xf>
    <xf numFmtId="0" fontId="7" fillId="0" borderId="2" xfId="0" applyFont="1" applyBorder="1" applyAlignment="1">
      <alignment vertical="center"/>
    </xf>
    <xf numFmtId="0" fontId="20" fillId="32" borderId="2" xfId="1" applyFont="1" applyFill="1" applyBorder="1" applyAlignment="1">
      <alignment horizontal="left" vertical="center" wrapText="1"/>
    </xf>
    <xf numFmtId="0" fontId="4" fillId="0" borderId="2" xfId="1" applyBorder="1" applyAlignment="1">
      <alignment horizontal="center" vertical="center" wrapText="1"/>
    </xf>
    <xf numFmtId="0" fontId="2" fillId="9" borderId="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5" fillId="9" borderId="2" xfId="0" applyFont="1" applyFill="1" applyBorder="1" applyAlignment="1">
      <alignment horizontal="center" vertical="center"/>
    </xf>
    <xf numFmtId="14" fontId="15" fillId="9" borderId="2" xfId="0" applyNumberFormat="1" applyFont="1" applyFill="1" applyBorder="1" applyAlignment="1">
      <alignment horizontal="center" vertical="center" wrapText="1"/>
    </xf>
    <xf numFmtId="0" fontId="14" fillId="9" borderId="2" xfId="1" applyFont="1" applyFill="1" applyBorder="1" applyAlignment="1">
      <alignment horizontal="center" vertical="center" wrapText="1"/>
    </xf>
    <xf numFmtId="14" fontId="2" fillId="9" borderId="2" xfId="0" applyNumberFormat="1" applyFont="1" applyFill="1" applyBorder="1" applyAlignment="1">
      <alignment horizontal="center" vertical="center" wrapText="1"/>
    </xf>
    <xf numFmtId="0" fontId="2" fillId="9" borderId="2" xfId="0" applyFont="1" applyFill="1" applyBorder="1" applyAlignment="1">
      <alignment horizontal="center" vertical="center"/>
    </xf>
    <xf numFmtId="0" fontId="14" fillId="27" borderId="2" xfId="1" applyFont="1" applyFill="1" applyBorder="1" applyAlignment="1">
      <alignment horizontal="center" vertical="center" wrapText="1"/>
    </xf>
    <xf numFmtId="0" fontId="2" fillId="9" borderId="2" xfId="0" applyFont="1" applyFill="1" applyBorder="1" applyAlignment="1">
      <alignment horizontal="left" vertical="center" wrapText="1"/>
    </xf>
    <xf numFmtId="0" fontId="15" fillId="9" borderId="2" xfId="0" applyFont="1" applyFill="1" applyBorder="1" applyAlignment="1">
      <alignment horizontal="left" vertical="center" wrapText="1"/>
    </xf>
    <xf numFmtId="0" fontId="2" fillId="2" borderId="2" xfId="0" applyFont="1" applyFill="1" applyBorder="1" applyAlignment="1">
      <alignment vertical="center" wrapText="1"/>
    </xf>
    <xf numFmtId="14" fontId="2" fillId="2" borderId="2" xfId="0" applyNumberFormat="1" applyFont="1" applyFill="1" applyBorder="1" applyAlignment="1">
      <alignment vertical="center" wrapText="1"/>
    </xf>
    <xf numFmtId="0" fontId="2" fillId="32" borderId="2" xfId="0" applyFont="1" applyFill="1" applyBorder="1" applyAlignment="1">
      <alignment vertical="center" wrapText="1"/>
    </xf>
    <xf numFmtId="14" fontId="2" fillId="32" borderId="2" xfId="0" applyNumberFormat="1" applyFont="1" applyFill="1" applyBorder="1" applyAlignment="1">
      <alignment horizontal="center" vertical="center" wrapText="1"/>
    </xf>
    <xf numFmtId="0" fontId="2" fillId="32" borderId="2" xfId="0" applyFont="1" applyFill="1" applyBorder="1" applyAlignment="1">
      <alignment horizontal="center" vertical="center"/>
    </xf>
    <xf numFmtId="14" fontId="15" fillId="32" borderId="2" xfId="0" applyNumberFormat="1" applyFont="1" applyFill="1" applyBorder="1" applyAlignment="1">
      <alignment vertical="center" wrapText="1"/>
    </xf>
    <xf numFmtId="14" fontId="2" fillId="32" borderId="2" xfId="0" applyNumberFormat="1" applyFont="1" applyFill="1" applyBorder="1" applyAlignment="1">
      <alignment vertical="center" wrapText="1"/>
    </xf>
    <xf numFmtId="14" fontId="7" fillId="32" borderId="0" xfId="0" applyNumberFormat="1" applyFont="1" applyFill="1" applyAlignment="1">
      <alignment vertical="center"/>
    </xf>
    <xf numFmtId="0" fontId="20" fillId="2" borderId="2" xfId="0" applyFont="1" applyFill="1" applyBorder="1" applyAlignment="1">
      <alignment horizontal="center" vertical="center" wrapText="1"/>
    </xf>
    <xf numFmtId="0" fontId="2" fillId="32" borderId="2" xfId="0" applyFont="1" applyFill="1" applyBorder="1" applyAlignment="1">
      <alignment horizontal="left" vertical="center" wrapText="1"/>
    </xf>
    <xf numFmtId="0" fontId="0" fillId="32" borderId="2" xfId="0" applyFill="1" applyBorder="1" applyAlignment="1">
      <alignment vertical="center"/>
    </xf>
    <xf numFmtId="14" fontId="2" fillId="2" borderId="2" xfId="0" applyNumberFormat="1" applyFont="1" applyFill="1" applyBorder="1" applyAlignment="1">
      <alignment horizontal="center" vertical="center"/>
    </xf>
    <xf numFmtId="14" fontId="2" fillId="2" borderId="2" xfId="0" applyNumberFormat="1" applyFont="1" applyFill="1" applyBorder="1" applyAlignment="1">
      <alignment horizontal="center" wrapText="1"/>
    </xf>
    <xf numFmtId="0" fontId="7" fillId="32" borderId="2" xfId="0" applyFont="1" applyFill="1" applyBorder="1" applyAlignment="1">
      <alignment horizontal="center"/>
    </xf>
    <xf numFmtId="0" fontId="7" fillId="32" borderId="2" xfId="0" applyFont="1" applyFill="1" applyBorder="1" applyAlignment="1">
      <alignment horizontal="center" vertical="center"/>
    </xf>
    <xf numFmtId="0" fontId="2" fillId="2" borderId="2" xfId="0" applyFont="1" applyFill="1" applyBorder="1" applyAlignment="1">
      <alignment horizontal="left" vertical="center" wrapText="1"/>
    </xf>
    <xf numFmtId="14" fontId="2" fillId="0" borderId="2" xfId="0" applyNumberFormat="1" applyFont="1" applyBorder="1" applyAlignment="1">
      <alignment horizontal="center" vertical="center"/>
    </xf>
    <xf numFmtId="14" fontId="2" fillId="33" borderId="2" xfId="0" applyNumberFormat="1" applyFont="1" applyFill="1" applyBorder="1" applyAlignment="1">
      <alignment horizontal="center" vertical="center" wrapText="1"/>
    </xf>
    <xf numFmtId="0" fontId="5" fillId="26" borderId="2" xfId="0" applyFont="1" applyFill="1" applyBorder="1" applyAlignment="1">
      <alignment horizontal="center" vertical="center" wrapText="1"/>
    </xf>
    <xf numFmtId="0" fontId="5" fillId="30" borderId="2" xfId="0" applyFont="1" applyFill="1" applyBorder="1" applyAlignment="1">
      <alignment horizontal="center" vertical="center" wrapText="1"/>
    </xf>
    <xf numFmtId="0" fontId="5" fillId="30" borderId="2" xfId="0" applyFont="1" applyFill="1" applyBorder="1" applyAlignment="1">
      <alignment horizontal="center" vertical="center"/>
    </xf>
    <xf numFmtId="14" fontId="5" fillId="30" borderId="2" xfId="0" applyNumberFormat="1" applyFont="1" applyFill="1" applyBorder="1" applyAlignment="1">
      <alignment horizontal="center" vertical="center" wrapText="1"/>
    </xf>
    <xf numFmtId="0" fontId="5" fillId="0" borderId="2" xfId="0" applyFont="1" applyBorder="1" applyAlignment="1">
      <alignment horizontal="center" vertical="center" wrapText="1"/>
    </xf>
    <xf numFmtId="0" fontId="4" fillId="2" borderId="2" xfId="1" applyFill="1" applyBorder="1" applyAlignment="1">
      <alignment horizontal="center" vertical="center" wrapText="1"/>
    </xf>
    <xf numFmtId="0" fontId="1" fillId="9" borderId="2" xfId="0" applyFont="1" applyFill="1" applyBorder="1" applyAlignment="1">
      <alignment horizontal="center" vertical="center" wrapText="1"/>
    </xf>
    <xf numFmtId="0" fontId="20" fillId="34" borderId="2" xfId="1" applyFont="1" applyFill="1" applyBorder="1" applyAlignment="1">
      <alignment horizontal="center" vertical="center" wrapText="1"/>
    </xf>
    <xf numFmtId="0" fontId="20" fillId="35" borderId="2" xfId="1" applyFont="1" applyFill="1" applyBorder="1" applyAlignment="1">
      <alignment horizontal="center" vertical="center" wrapText="1"/>
    </xf>
    <xf numFmtId="0" fontId="20" fillId="36" borderId="2" xfId="1" applyFont="1" applyFill="1" applyBorder="1" applyAlignment="1">
      <alignment horizontal="center" vertical="center" wrapText="1"/>
    </xf>
    <xf numFmtId="0" fontId="22" fillId="35" borderId="2" xfId="1" applyFont="1" applyFill="1" applyBorder="1" applyAlignment="1">
      <alignment horizontal="center" vertical="center" wrapText="1"/>
    </xf>
    <xf numFmtId="0" fontId="20" fillId="9" borderId="2" xfId="1" applyFont="1" applyFill="1" applyBorder="1" applyAlignment="1">
      <alignment horizontal="center" vertical="center" wrapText="1"/>
    </xf>
    <xf numFmtId="0" fontId="2" fillId="9" borderId="2" xfId="0" applyFont="1" applyFill="1" applyBorder="1" applyAlignment="1">
      <alignment wrapText="1"/>
    </xf>
    <xf numFmtId="0" fontId="20" fillId="9" borderId="2" xfId="1" applyFont="1" applyFill="1" applyBorder="1" applyAlignment="1">
      <alignment horizontal="center" vertical="center"/>
    </xf>
    <xf numFmtId="0" fontId="0" fillId="32" borderId="2" xfId="0" applyFill="1" applyBorder="1" applyAlignment="1">
      <alignment horizontal="center"/>
    </xf>
    <xf numFmtId="0" fontId="0" fillId="32" borderId="2" xfId="0" applyFill="1" applyBorder="1" applyAlignment="1">
      <alignment horizontal="left"/>
    </xf>
    <xf numFmtId="14" fontId="24" fillId="32" borderId="2" xfId="0" applyNumberFormat="1" applyFont="1" applyFill="1" applyBorder="1" applyAlignment="1">
      <alignment horizontal="center"/>
    </xf>
    <xf numFmtId="0" fontId="2" fillId="2" borderId="2" xfId="0" applyFont="1" applyFill="1" applyBorder="1" applyAlignment="1">
      <alignment horizontal="left" vertical="top" wrapText="1"/>
    </xf>
    <xf numFmtId="0" fontId="20" fillId="2" borderId="2" xfId="0" applyFont="1" applyFill="1" applyBorder="1" applyAlignment="1">
      <alignment horizontal="center" vertical="center"/>
    </xf>
    <xf numFmtId="0" fontId="0" fillId="32" borderId="2" xfId="0" applyFill="1" applyBorder="1" applyAlignment="1">
      <alignment horizontal="center" vertical="center"/>
    </xf>
    <xf numFmtId="0" fontId="2" fillId="35" borderId="2" xfId="0" applyFont="1" applyFill="1" applyBorder="1" applyAlignment="1">
      <alignment horizontal="center" vertical="center"/>
    </xf>
    <xf numFmtId="0" fontId="2" fillId="35" borderId="2" xfId="0" applyFont="1" applyFill="1" applyBorder="1" applyAlignment="1">
      <alignment horizontal="center" vertical="center" wrapText="1"/>
    </xf>
    <xf numFmtId="0" fontId="2" fillId="35" borderId="2" xfId="0" applyFont="1" applyFill="1" applyBorder="1" applyAlignment="1">
      <alignment horizontal="left" wrapText="1"/>
    </xf>
    <xf numFmtId="14" fontId="2" fillId="32" borderId="2" xfId="0" applyNumberFormat="1" applyFont="1" applyFill="1" applyBorder="1" applyAlignment="1">
      <alignment horizontal="center" vertical="center"/>
    </xf>
    <xf numFmtId="0" fontId="0" fillId="32" borderId="2" xfId="0" applyFill="1" applyBorder="1"/>
    <xf numFmtId="0" fontId="4" fillId="32" borderId="2" xfId="1" applyFill="1" applyBorder="1" applyAlignment="1">
      <alignment horizontal="center" vertical="center" wrapText="1"/>
    </xf>
    <xf numFmtId="0" fontId="15" fillId="0" borderId="0" xfId="0" applyFont="1" applyAlignment="1">
      <alignment horizontal="center" vertical="center" wrapText="1"/>
    </xf>
    <xf numFmtId="0" fontId="0" fillId="3" borderId="0" xfId="0" applyFill="1"/>
    <xf numFmtId="0" fontId="11" fillId="0" borderId="0" xfId="0" applyFont="1"/>
    <xf numFmtId="0" fontId="5" fillId="0" borderId="0" xfId="0" applyFont="1"/>
    <xf numFmtId="0" fontId="2" fillId="0" borderId="0" xfId="0" applyFont="1" applyAlignment="1">
      <alignment horizontal="center" vertical="center" wrapText="1"/>
    </xf>
    <xf numFmtId="0" fontId="2" fillId="9" borderId="0" xfId="0" applyFont="1" applyFill="1" applyAlignment="1">
      <alignment horizontal="center" vertical="center" wrapText="1"/>
    </xf>
    <xf numFmtId="14" fontId="2" fillId="0" borderId="0" xfId="0" applyNumberFormat="1"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wrapText="1"/>
    </xf>
    <xf numFmtId="0" fontId="2" fillId="9" borderId="0" xfId="0" applyFont="1" applyFill="1" applyAlignment="1">
      <alignment wrapText="1"/>
    </xf>
    <xf numFmtId="0" fontId="0" fillId="9" borderId="0" xfId="0" applyFill="1"/>
    <xf numFmtId="0" fontId="0" fillId="0" borderId="0" xfId="0" applyAlignment="1">
      <alignment horizontal="center"/>
    </xf>
    <xf numFmtId="0" fontId="0" fillId="0" borderId="0" xfId="0" applyAlignment="1">
      <alignment horizontal="left"/>
    </xf>
    <xf numFmtId="0" fontId="15" fillId="0" borderId="0" xfId="0" applyFont="1" applyAlignment="1">
      <alignment horizontal="center" vertical="center"/>
    </xf>
    <xf numFmtId="0" fontId="14" fillId="30" borderId="2" xfId="1" applyFont="1" applyFill="1" applyBorder="1" applyAlignment="1">
      <alignment horizontal="center" vertical="center" wrapText="1"/>
    </xf>
    <xf numFmtId="0" fontId="15" fillId="3"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23" fillId="30" borderId="2" xfId="1" applyFont="1" applyFill="1" applyBorder="1" applyAlignment="1">
      <alignment horizontal="center" vertical="center" wrapText="1"/>
    </xf>
    <xf numFmtId="0" fontId="7" fillId="0" borderId="2" xfId="0" applyFont="1" applyBorder="1" applyAlignment="1">
      <alignment horizontal="center" vertical="center"/>
    </xf>
    <xf numFmtId="0" fontId="4" fillId="0" borderId="2" xfId="1" applyBorder="1" applyAlignment="1">
      <alignment wrapText="1"/>
    </xf>
    <xf numFmtId="0" fontId="4" fillId="37" borderId="2" xfId="1" applyFill="1" applyBorder="1" applyAlignment="1">
      <alignment horizontal="center" vertical="center" wrapText="1"/>
    </xf>
    <xf numFmtId="0" fontId="15" fillId="37" borderId="2" xfId="0" applyFont="1" applyFill="1" applyBorder="1" applyAlignment="1">
      <alignment horizontal="center" vertical="center" wrapText="1"/>
    </xf>
    <xf numFmtId="0" fontId="4" fillId="0" borderId="2" xfId="1" applyBorder="1" applyAlignment="1">
      <alignment horizontal="center" vertical="center"/>
    </xf>
    <xf numFmtId="0" fontId="4" fillId="9" borderId="2" xfId="1" applyFill="1" applyBorder="1" applyAlignment="1">
      <alignment horizontal="center" vertical="center"/>
    </xf>
    <xf numFmtId="0" fontId="4" fillId="9" borderId="2" xfId="1" applyFill="1" applyBorder="1" applyAlignment="1">
      <alignment horizontal="center" vertical="center" wrapText="1"/>
    </xf>
    <xf numFmtId="0" fontId="4" fillId="35" borderId="2" xfId="1" applyFill="1" applyBorder="1" applyAlignment="1">
      <alignment horizontal="center" vertical="center"/>
    </xf>
    <xf numFmtId="14" fontId="4" fillId="9" borderId="2" xfId="1" applyNumberFormat="1" applyFill="1" applyBorder="1" applyAlignment="1">
      <alignment horizontal="center" vertical="center" wrapText="1"/>
    </xf>
    <xf numFmtId="14" fontId="4" fillId="0" borderId="2" xfId="1" applyNumberFormat="1" applyBorder="1" applyAlignment="1">
      <alignment horizontal="center" vertical="center" wrapText="1"/>
    </xf>
    <xf numFmtId="0" fontId="6" fillId="7" borderId="4" xfId="0" applyFont="1" applyFill="1" applyBorder="1" applyAlignment="1">
      <alignment vertical="top" wrapText="1"/>
    </xf>
    <xf numFmtId="0" fontId="10" fillId="0" borderId="6" xfId="0" applyFont="1" applyBorder="1"/>
    <xf numFmtId="0" fontId="10" fillId="0" borderId="5" xfId="0" applyFont="1" applyBorder="1"/>
    <xf numFmtId="0" fontId="3" fillId="7" borderId="4" xfId="0" applyFont="1" applyFill="1" applyBorder="1" applyAlignment="1">
      <alignment vertical="top"/>
    </xf>
    <xf numFmtId="0" fontId="6" fillId="5" borderId="4" xfId="0" applyFont="1" applyFill="1" applyBorder="1" applyAlignment="1">
      <alignment vertical="top" wrapText="1"/>
    </xf>
    <xf numFmtId="0" fontId="9" fillId="0" borderId="4" xfId="0" applyFont="1" applyBorder="1" applyAlignment="1">
      <alignment vertical="top" wrapText="1"/>
    </xf>
    <xf numFmtId="0" fontId="9" fillId="7" borderId="4" xfId="0" applyFont="1" applyFill="1" applyBorder="1" applyAlignment="1">
      <alignment vertical="top" wrapText="1"/>
    </xf>
    <xf numFmtId="0" fontId="9" fillId="5" borderId="4" xfId="0" applyFont="1" applyFill="1" applyBorder="1" applyAlignment="1">
      <alignment vertical="top" wrapText="1"/>
    </xf>
    <xf numFmtId="0" fontId="9" fillId="0" borderId="4" xfId="0" applyFont="1" applyBorder="1" applyAlignment="1">
      <alignment horizontal="center" vertical="top" wrapText="1"/>
    </xf>
    <xf numFmtId="0" fontId="9" fillId="7" borderId="4" xfId="0" applyFont="1" applyFill="1" applyBorder="1" applyAlignment="1">
      <alignment horizontal="center" vertical="top" wrapText="1"/>
    </xf>
    <xf numFmtId="0" fontId="9" fillId="5" borderId="4" xfId="0" applyFont="1" applyFill="1" applyBorder="1" applyAlignment="1">
      <alignment horizontal="center" vertical="top" wrapText="1"/>
    </xf>
    <xf numFmtId="0" fontId="3" fillId="0" borderId="4" xfId="0" applyFont="1" applyBorder="1" applyAlignment="1">
      <alignment horizontal="center" vertical="top"/>
    </xf>
    <xf numFmtId="14" fontId="0" fillId="0" borderId="2" xfId="0" applyNumberFormat="1" applyBorder="1" applyAlignment="1">
      <alignment vertical="center"/>
    </xf>
    <xf numFmtId="14" fontId="7" fillId="0" borderId="2" xfId="0" applyNumberFormat="1" applyFont="1" applyBorder="1" applyAlignment="1">
      <alignment vertical="center"/>
    </xf>
    <xf numFmtId="0" fontId="7" fillId="0" borderId="0" xfId="0" applyFont="1" applyAlignment="1">
      <alignment horizontal="center" vertical="center"/>
    </xf>
    <xf numFmtId="0" fontId="7" fillId="32" borderId="0" xfId="0" applyFont="1" applyFill="1" applyAlignment="1">
      <alignment horizontal="center" vertical="center"/>
    </xf>
    <xf numFmtId="0" fontId="4" fillId="2" borderId="2" xfId="1" applyFill="1" applyBorder="1" applyAlignment="1">
      <alignment vertical="center"/>
    </xf>
  </cellXfs>
  <cellStyles count="2">
    <cellStyle name="Hyperlink" xfId="1" builtinId="8"/>
    <cellStyle name="Normal" xfId="0" builtinId="0"/>
  </cellStyles>
  <dxfs count="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RAWDATA_Thẩm định VB-style" pivot="0" count="3" xr9:uid="{00000000-0011-0000-FFFF-FFFF00000000}">
      <tableStyleElement type="headerRow" dxfId="125"/>
      <tableStyleElement type="firstRowStripe" dxfId="124"/>
      <tableStyleElement type="secondRowStripe" dxfId="123"/>
    </tableStyle>
    <tableStyle name="RAWDATA_MOU-style" pivot="0" count="3" xr9:uid="{00000000-0011-0000-FFFF-FFFF01000000}">
      <tableStyleElement type="headerRow" dxfId="122"/>
      <tableStyleElement type="firstRowStripe" dxfId="121"/>
      <tableStyleElement type="secondRowStripe" dxfId="120"/>
    </tableStyle>
  </tableStyles>
  <colors>
    <mruColors>
      <color rgb="FFFFF2CC"/>
      <color rgb="FFFFFFCC"/>
      <color rgb="FFFFCC66"/>
      <color rgb="FFFFFF66"/>
      <color rgb="FF9999FF"/>
      <color rgb="FFFF6699"/>
      <color rgb="FFFF9966"/>
      <color rgb="FFFF505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5YyK4r0mu53_vEOl4LaXlIg2sd4s2DQ0/edit?gid=1083304853" TargetMode="External"/><Relationship Id="rId2" Type="http://schemas.openxmlformats.org/officeDocument/2006/relationships/hyperlink" Target="https://docs.google.com/spreadsheets/d/1IQHfcTrKjGTf8NHRWO6PK7iUjt5k1ViWcsAMWRLr3C4/edit?pli=1&amp;gid=1772611494" TargetMode="External"/><Relationship Id="rId1" Type="http://schemas.openxmlformats.org/officeDocument/2006/relationships/hyperlink" Target="https://docs.google.com/spreadsheets/d/1Cl175HUAPLnujwR9ElAAo7cWeBnPndbGheiZNqoiTEM/edit?gid=932921817" TargetMode="External"/><Relationship Id="rId4" Type="http://schemas.openxmlformats.org/officeDocument/2006/relationships/hyperlink" Target="https://docs.google.com/spreadsheets/d/1jMJxDhcT8BG1J1E4Wlg_0YYRWEynqtlHqxiVMjH5WFQ/edit?pli=1&amp;gid=60177332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ueb.edu.vn/Tin-Tuc/UEB/nhung-van-ban-quy-pham-phap-luat-van-ban-cua-dhqghn-lien-quan-den-hoat-dong-cua-truong-cap-nhat-nua-dau-thang-06-2025/44876" TargetMode="External"/><Relationship Id="rId299" Type="http://schemas.openxmlformats.org/officeDocument/2006/relationships/hyperlink" Target="https://drive.google.com/file/d/1sf5KC8O-R6KUfgUrIGZumYZFruWOvP-P/view?usp=drive_link" TargetMode="External"/><Relationship Id="rId21" Type="http://schemas.openxmlformats.org/officeDocument/2006/relationships/hyperlink" Target="https://drive.google.com/file/d/1Uflnhf1PHQRhfroq3e9E3-R-7Wb773QO/view?usp=drive_link" TargetMode="External"/><Relationship Id="rId63" Type="http://schemas.openxmlformats.org/officeDocument/2006/relationships/hyperlink" Target="https://drive.google.com/file/d/1gbAEb8adFnRStNicH3NA9xhIEnEfPPw9/view?usp=drive_link" TargetMode="External"/><Relationship Id="rId159" Type="http://schemas.openxmlformats.org/officeDocument/2006/relationships/hyperlink" Target="https://ueb.edu.vn/Tin-Tuc/UEB/nhung-van-ban-quy-pham-phap-luat-van-ban-cua-dhqghn-lien-quan-den-hoat-dong-cua-truong-cap-nhat-nua-dau-thang-06-2025/44876" TargetMode="External"/><Relationship Id="rId324" Type="http://schemas.openxmlformats.org/officeDocument/2006/relationships/hyperlink" Target="https://drive.google.com/file/d/18Aiz1hERI_wz7-zo3ksRM6OfAWZqeNjv/view?usp=drive_link" TargetMode="External"/><Relationship Id="rId366" Type="http://schemas.openxmlformats.org/officeDocument/2006/relationships/hyperlink" Target="https://drive.google.com/file/d/1VNyu59Dm1Mn6Wr5CprN9gU1Vh-K2fu5x/view?usp=drive_link" TargetMode="External"/><Relationship Id="rId531" Type="http://schemas.openxmlformats.org/officeDocument/2006/relationships/hyperlink" Target="https://ueb.edu.vn/Tin-Tuc/UEB/nhung-van-ban-quy-pham-phap-luat-van-ban-cua-dhqghn-lien-quan-den-hoat-dong-cua-truong-thong-bao-thang-07-2026/46722" TargetMode="External"/><Relationship Id="rId573" Type="http://schemas.openxmlformats.org/officeDocument/2006/relationships/hyperlink" Target="https://drive.google.com/file/d/1XpWg4xdm2ha_ziRtAhYc1jxdVhXWU2RQ/view?usp=drive_link" TargetMode="External"/><Relationship Id="rId629" Type="http://schemas.openxmlformats.org/officeDocument/2006/relationships/hyperlink" Target="https://drive.google.com/file/d/1pB55Jcfgf4Q2ct1Twvvw3KJ8DktasxWY/view?usp=sharing" TargetMode="External"/><Relationship Id="rId170" Type="http://schemas.openxmlformats.org/officeDocument/2006/relationships/hyperlink" Target="https://drive.google.com/file/d/1hv6V17TAlw6zgqb4wxZ43XBWOpTpnf4n/view?usp=sharing" TargetMode="External"/><Relationship Id="rId226" Type="http://schemas.openxmlformats.org/officeDocument/2006/relationships/hyperlink" Target="https://drive.google.com/file/d/1A9qEXfORJWdclPjSb0gSFtzTS5qQNL6_/view?usp=drive_link" TargetMode="External"/><Relationship Id="rId433" Type="http://schemas.openxmlformats.org/officeDocument/2006/relationships/hyperlink" Target="https://drive.google.com/file/d/1NqvSRV-pz4Joi6TRQvHDmhKwIRFWyUEe/view?usp=drive_link" TargetMode="External"/><Relationship Id="rId268" Type="http://schemas.openxmlformats.org/officeDocument/2006/relationships/hyperlink" Target="https://drive.google.com/file/d/1r42atqL-M96f0XIB6bNrNSg1ZUl-skNR/view?usp=drive_link" TargetMode="External"/><Relationship Id="rId475" Type="http://schemas.openxmlformats.org/officeDocument/2006/relationships/hyperlink" Target="https://drive.google.com/file/d/1kwtJm-5FVGoZ54GsAhi-JSg34kkcLr8v/view?usp=drive_link" TargetMode="External"/><Relationship Id="rId32" Type="http://schemas.openxmlformats.org/officeDocument/2006/relationships/hyperlink" Target="https://drive.google.com/file/d/1Koqij_OphO3WLc95yoLo82wpms8Rjyrh/view?usp=drive_link" TargetMode="External"/><Relationship Id="rId74" Type="http://schemas.openxmlformats.org/officeDocument/2006/relationships/hyperlink" Target="https://ueb.edu.vn/Tin-Tuc/UEB/nhung-van-ban-quy-pham-phap-luat-van-ban-cua-dhqghn-lien-quan-den-hoat-dong-cua-truong-cap-nhat-nua-dau-thang-02-2025/43263" TargetMode="External"/><Relationship Id="rId128" Type="http://schemas.openxmlformats.org/officeDocument/2006/relationships/hyperlink" Target="https://drive.google.com/file/d/1xgKDYd_9_BJ_WqnLJqF8ZJ1NVOZ_4Kpv/view?usp=drive_link" TargetMode="External"/><Relationship Id="rId335" Type="http://schemas.openxmlformats.org/officeDocument/2006/relationships/hyperlink" Target="https://drive.google.com/file/d/1MCqlwIxjb5jEk0Rfj4Jo25AklHyGk3xK/view?usp=sharing" TargetMode="External"/><Relationship Id="rId377" Type="http://schemas.openxmlformats.org/officeDocument/2006/relationships/hyperlink" Target="https://drive.google.com/file/d/1FUo0tEyUNAyJtFVbqNi1vNUxG7uB0Dy4/view?usp=drive_link" TargetMode="External"/><Relationship Id="rId500" Type="http://schemas.openxmlformats.org/officeDocument/2006/relationships/hyperlink" Target="https://ueb.edu.vn/Tin-Tuc/UEB/nhung-van-ban-quy-pham-phap-luat-van-ban-cua-dhqghn-lien-quan-den-hoat-dong-cua-truong-thong-bao-thang-4-2026/46311" TargetMode="External"/><Relationship Id="rId542" Type="http://schemas.openxmlformats.org/officeDocument/2006/relationships/hyperlink" Target="https://drive.google.com/file/d/18pZy6vRIAOxcZzC0HMn4prz1jVmNt3Bs/view?usp=drive_link" TargetMode="External"/><Relationship Id="rId584" Type="http://schemas.openxmlformats.org/officeDocument/2006/relationships/hyperlink" Target="https://drive.google.com/file/d/1vlPDr21qdpZVmx6VUjafGJJ82olKjpZ6/view?usp=sharing" TargetMode="External"/><Relationship Id="rId5" Type="http://schemas.openxmlformats.org/officeDocument/2006/relationships/hyperlink" Target="https://drive.google.com/file/d/1Ov06wj8LKcnAH2D5Wtgmo98XOJJQ1Wxv/view?usp=drive_link" TargetMode="External"/><Relationship Id="rId181" Type="http://schemas.openxmlformats.org/officeDocument/2006/relationships/hyperlink" Target="https://drive.google.com/file/d/1z-KkgWzDa_-nig9OFEqAu1d2DIwFnfOY/view?usp=drive_link" TargetMode="External"/><Relationship Id="rId237" Type="http://schemas.openxmlformats.org/officeDocument/2006/relationships/hyperlink" Target="https://drive.google.com/file/d/1ObwNpc8yy6L7h22sg3WybI6AzBfecZXg/view?usp=drive_link" TargetMode="External"/><Relationship Id="rId402" Type="http://schemas.openxmlformats.org/officeDocument/2006/relationships/hyperlink" Target="https://drive.google.com/file/d/10VIf4OU95rEjIpR7Itx3-A5NwYnrgjBJ/view?usp=drive_link" TargetMode="External"/><Relationship Id="rId279" Type="http://schemas.openxmlformats.org/officeDocument/2006/relationships/hyperlink" Target="https://drive.google.com/file/d/1XKbw694ZMnHTz-yNAxZ2fnQEhmWWB4EG/view?usp=drive_link" TargetMode="External"/><Relationship Id="rId444" Type="http://schemas.openxmlformats.org/officeDocument/2006/relationships/hyperlink" Target="https://ueb.edu.vn/Tin-Tuc/UEB/nhung-van-ban-quy-pham-phap-luat-van-ban-cua-dhqghn-lien-quan-den-hoat-dong-cua-truong-thong-bao-thang-11-2025/45605" TargetMode="External"/><Relationship Id="rId486" Type="http://schemas.openxmlformats.org/officeDocument/2006/relationships/hyperlink" Target="https://drive.google.com/file/d/1Jdjt2NZXSAZD2unYje7OkNlz02bOloAb/view?usp=drive_link" TargetMode="External"/><Relationship Id="rId43" Type="http://schemas.openxmlformats.org/officeDocument/2006/relationships/hyperlink" Target="https://drive.google.com/file/d/1E5szCDx-zCgT9Y2vFK5ZQEgMmq_QkFqf/view?usp=drive_link" TargetMode="External"/><Relationship Id="rId139" Type="http://schemas.openxmlformats.org/officeDocument/2006/relationships/hyperlink" Target="https://ueb.edu.vn/Tin-Tuc/UEB/nhung-van-ban-quy-pham-phap-luat-van-ban-cua-dhqghn-lien-quan-den-hoat-dong-cua-truong-cap-nhat-nua-dau-thang-06-2025/44876" TargetMode="External"/><Relationship Id="rId290" Type="http://schemas.openxmlformats.org/officeDocument/2006/relationships/hyperlink" Target="https://drive.google.com/file/d/12-ult9pkR46GQQv9oZqHb6y5SnBXVWwe/view?usp=drive_link" TargetMode="External"/><Relationship Id="rId304" Type="http://schemas.openxmlformats.org/officeDocument/2006/relationships/hyperlink" Target="https://drive.google.com/file/d/1DdjkrdYEw4kUm43SDxkfxQvdFjgSePpX/view?usp=drive_link" TargetMode="External"/><Relationship Id="rId346" Type="http://schemas.openxmlformats.org/officeDocument/2006/relationships/hyperlink" Target="https://drive.google.com/file/d/1e10C696a5q34YJz9saw6KSR7BYZzkpsr/view?usp=drive_link" TargetMode="External"/><Relationship Id="rId388" Type="http://schemas.openxmlformats.org/officeDocument/2006/relationships/hyperlink" Target="https://drive.google.com/file/d/1jCeZqm6-_TFv45ftoY06vHkTTjdmm_RF/view?usp=drive_link" TargetMode="External"/><Relationship Id="rId511" Type="http://schemas.openxmlformats.org/officeDocument/2006/relationships/hyperlink" Target="https://ueb.edu.vn/Tin-Tuc/UEB/nhung-van-ban-quy-pham-phap-luat-van-ban-cua-dhqghn-lien-quan-den-hoat-dong-cua-truong-thong-bao-thang-08-2026/46853" TargetMode="External"/><Relationship Id="rId553" Type="http://schemas.openxmlformats.org/officeDocument/2006/relationships/hyperlink" Target="https://drive.google.com/file/d/1xFnvGNMnuYFcogiYc8Ggh2qqlHeqkh2u/view?usp=drive_link" TargetMode="External"/><Relationship Id="rId609" Type="http://schemas.openxmlformats.org/officeDocument/2006/relationships/hyperlink" Target="https://drive.google.com/file/d/1cgYP4kdxBCZX7vDFnm_mMWIhKRvetoPs/view?usp=sharing" TargetMode="External"/><Relationship Id="rId85" Type="http://schemas.openxmlformats.org/officeDocument/2006/relationships/hyperlink" Target="https://ueb.edu.vn/Tin-Tuc/UEB/nhung-van-ban-quy-pham-phap-luat-van-ban-cua-dhqghn-lien-quan-den-hoat-dong-cua-truong-cap-nhat-nua-sau-thang-04-2025/44634" TargetMode="External"/><Relationship Id="rId150" Type="http://schemas.openxmlformats.org/officeDocument/2006/relationships/hyperlink" Target="https://drive.google.com/file/d/1PMVvLeezjyZ1hxr9rHFBsmzaBE7g2BAs/view?usp=drive_link" TargetMode="External"/><Relationship Id="rId192" Type="http://schemas.openxmlformats.org/officeDocument/2006/relationships/hyperlink" Target="https://drive.google.com/file/d/1syxqPtp2s48Rly4tbxc68Onki4M9ECZY/view?usp=drive_link" TargetMode="External"/><Relationship Id="rId206" Type="http://schemas.openxmlformats.org/officeDocument/2006/relationships/hyperlink" Target="https://drive.google.com/file/d/1TwL9qMkgLEaKoiLZgZucATEnTKf47rEj/view?usp=drive_link" TargetMode="External"/><Relationship Id="rId413" Type="http://schemas.openxmlformats.org/officeDocument/2006/relationships/hyperlink" Target="https://drive.google.com/file/d/1ggfwoK3ffsPhNJBJdPVMKod-7fXbGXGy/view?usp=drive_link" TargetMode="External"/><Relationship Id="rId595" Type="http://schemas.openxmlformats.org/officeDocument/2006/relationships/hyperlink" Target="https://drive.google.com/file/d/1wUVQuk16L_s9LbLSOrtjLyj756sZdCep/view?usp=sharing" TargetMode="External"/><Relationship Id="rId248" Type="http://schemas.openxmlformats.org/officeDocument/2006/relationships/hyperlink" Target="https://drive.google.com/file/d/1NCAptIvDeAfC0OmoXQzk2rfcAwvvVAGX/view?usp=sharing" TargetMode="External"/><Relationship Id="rId455" Type="http://schemas.openxmlformats.org/officeDocument/2006/relationships/hyperlink" Target="https://drive.google.com/file/d/1GIXxf46NkB5vRiUmzhUoGuit23yi2pPB/view?usp=drive_link" TargetMode="External"/><Relationship Id="rId497" Type="http://schemas.openxmlformats.org/officeDocument/2006/relationships/hyperlink" Target="https://ueb.edu.vn/Tin-Tuc/UEB/nhung-van-ban-quy-pham-phap-luat-van-ban-cua-dhqghn-lien-quan-den-hoat-dong-cua-truong-cap-nhat-nua-dau-thang-03-2026/46136" TargetMode="External"/><Relationship Id="rId620" Type="http://schemas.openxmlformats.org/officeDocument/2006/relationships/hyperlink" Target="https://drive.google.com/file/d/19vkQ0oOecW4sRFDvCvrahJSvBwrDhNxr/view?usp=sharing" TargetMode="External"/><Relationship Id="rId12" Type="http://schemas.openxmlformats.org/officeDocument/2006/relationships/hyperlink" Target="https://drive.google.com/file/d/1lmc6EWEmiuDsUT-rPgx7mPnIIEjKzLGx/view?usp=drive_link" TargetMode="External"/><Relationship Id="rId108" Type="http://schemas.openxmlformats.org/officeDocument/2006/relationships/hyperlink" Target="https://drive.google.com/file/d/1Wg31xw6maC10Ajf3q6-hZN6-4M-sbCum/view?usp=sharing" TargetMode="External"/><Relationship Id="rId315" Type="http://schemas.openxmlformats.org/officeDocument/2006/relationships/hyperlink" Target="https://drive.google.com/file/d/19HA24OfwLw1Y8t8jFX17MJcJfr1vBOwp/view?usp=drive_link" TargetMode="External"/><Relationship Id="rId357" Type="http://schemas.openxmlformats.org/officeDocument/2006/relationships/hyperlink" Target="https://drive.google.com/file/d/1ci0WVBJFSCWcoUUOt_Lf0qeSc6jV5E1d/view?usp=drive_link" TargetMode="External"/><Relationship Id="rId522" Type="http://schemas.openxmlformats.org/officeDocument/2006/relationships/hyperlink" Target="https://ueb.edu.vn/Tin-Tuc/UEB/nhung-van-ban-quy-pham-phap-luat-van-ban-cua-dhqghn-lien-quan-den-hoat-dong-cua-truong-thong-bao-thang-07-2026/46722" TargetMode="External"/><Relationship Id="rId54" Type="http://schemas.openxmlformats.org/officeDocument/2006/relationships/hyperlink" Target="https://drive.google.com/file/d/1S-nLauJ4NqFOEqjZAbi_RDbkrt9dV2bm/view?usp=drive_link" TargetMode="External"/><Relationship Id="rId96" Type="http://schemas.openxmlformats.org/officeDocument/2006/relationships/hyperlink" Target="https://ueb.edu.vn/Tin-Tuc/UEB/so-sanh-diem-moi-cua-thong-tu-08-2025-tt-bgddt-so-voi-thong-tu-27-2016-tt-bgddt-ve-thoi-han-luu-tru-ho-so-tai-lieu-chuyen-mon-nghiep-vu-trong-linh-vuc-giao-duc-dai-hoc/44727" TargetMode="External"/><Relationship Id="rId161" Type="http://schemas.openxmlformats.org/officeDocument/2006/relationships/hyperlink" Target="https://ueb.edu.vn/Tin-Tuc/UEB/nhung-van-ban-quy-pham-phap-luat-van-ban-cua-dhqghn-lien-quan-den-hoat-dong-cua-truong-cap-nhat-nua-dau-thang-06-2025/44876" TargetMode="External"/><Relationship Id="rId217" Type="http://schemas.openxmlformats.org/officeDocument/2006/relationships/hyperlink" Target="https://ueb.edu.vn/Tin-Tuc/UEB/nhung-van-ban-quy-pham-phap-luat-van-ban-cua-dhqghn-lien-quan-den-hoat-dong-cua-truong-thong-bao-thang-8-2025/45153" TargetMode="External"/><Relationship Id="rId399" Type="http://schemas.openxmlformats.org/officeDocument/2006/relationships/hyperlink" Target="https://drive.google.com/file/d/12LiczoiJJbm3DU8QJUw4dmI0h0htlr47/view?usp=drive_link" TargetMode="External"/><Relationship Id="rId564" Type="http://schemas.openxmlformats.org/officeDocument/2006/relationships/hyperlink" Target="https://drive.google.com/file/d/157f3L_Zt1kR-hUnGqYFRp36TRJu3KDhW/view?usp=drive_link" TargetMode="External"/><Relationship Id="rId259" Type="http://schemas.openxmlformats.org/officeDocument/2006/relationships/hyperlink" Target="https://ueb.edu.vn/Tin-Tuc/UEB/nhung-van-ban-quy-pham-phap-luat-van-ban-cua-dhqghn-lien-quan-den-hoat-dong-cua-truong-thong-bao-thang-9-2025-lan-1/45231" TargetMode="External"/><Relationship Id="rId424" Type="http://schemas.openxmlformats.org/officeDocument/2006/relationships/hyperlink" Target="https://ueb.edu.vn/Tin-Tuc/UEB/nhung-van-ban-quy-pham-phap-luat-van-ban-cua-dhqghn-lien-quan-den-hoat-dong-cua-truong-thong-bao-thang-11-2025/45605" TargetMode="External"/><Relationship Id="rId466" Type="http://schemas.openxmlformats.org/officeDocument/2006/relationships/hyperlink" Target="https://drive.google.com/file/d/1VtykILPqZSAKPPMWU_uUY2urIlaXuRUU/view?usp=drive_link" TargetMode="External"/><Relationship Id="rId631" Type="http://schemas.openxmlformats.org/officeDocument/2006/relationships/hyperlink" Target="https://drive.google.com/file/d/1cWPtt0id1Nrmw-V-3mdk89c8OfzO-rSB/view?usp=sharing" TargetMode="External"/><Relationship Id="rId23" Type="http://schemas.openxmlformats.org/officeDocument/2006/relationships/hyperlink" Target="https://drive.google.com/file/d/1wXKBStjf1wMfzhXM_AhIPMwN4fb1BSi-/view?usp=drive_link" TargetMode="External"/><Relationship Id="rId119" Type="http://schemas.openxmlformats.org/officeDocument/2006/relationships/hyperlink" Target="https://ueb.edu.vn/Tin-Tuc/UEB/nhung-van-ban-quy-pham-phap-luat-van-ban-cua-dhqghn-lien-quan-den-hoat-dong-cua-truong-cap-nhat-nua-dau-thang-06-2025/44876" TargetMode="External"/><Relationship Id="rId270" Type="http://schemas.openxmlformats.org/officeDocument/2006/relationships/hyperlink" Target="https://drive.google.com/file/d/1hYXUqtMxEY7Jaa8ZiJ0CCzPd-vn38X7b/view?usp=drive_link" TargetMode="External"/><Relationship Id="rId326" Type="http://schemas.openxmlformats.org/officeDocument/2006/relationships/hyperlink" Target="https://drive.google.com/file/d/1_DR0jMP2Qy8LLfb-LPnPCuu5tzhubQRa/view?usp=drive_link" TargetMode="External"/><Relationship Id="rId533" Type="http://schemas.openxmlformats.org/officeDocument/2006/relationships/hyperlink" Target="https://ueb.edu.vn/Tin-Tuc/UEB/nhung-van-ban-quy-pham-phap-luat-van-ban-cua-dhqghn-lien-quan-den-hoat-dong-cua-truong-thong-bao-thang-07-2026/46722" TargetMode="External"/><Relationship Id="rId65" Type="http://schemas.openxmlformats.org/officeDocument/2006/relationships/hyperlink" Target="https://drive.google.com/file/d/1bw6Gi3LdmCfmv7-zcBqdpYGOOPVbbA4A/view?usp=drive_link" TargetMode="External"/><Relationship Id="rId130" Type="http://schemas.openxmlformats.org/officeDocument/2006/relationships/hyperlink" Target="https://drive.google.com/file/d/1OC5-lnK7R3CeIFhuomxX51jgJzFCPBn6/view?usp=drive_link" TargetMode="External"/><Relationship Id="rId368" Type="http://schemas.openxmlformats.org/officeDocument/2006/relationships/hyperlink" Target="https://drive.google.com/file/d/1IQ7ER56CDu2dmxuyB3c4nnUT9980jGUQ/view?usp=drive_link" TargetMode="External"/><Relationship Id="rId575" Type="http://schemas.openxmlformats.org/officeDocument/2006/relationships/hyperlink" Target="https://drive.google.com/file/d/1_j30nUnGGU3QUjJtz0ofpM0cuF2sp0Fz/view?usp=drive_link" TargetMode="External"/><Relationship Id="rId172" Type="http://schemas.openxmlformats.org/officeDocument/2006/relationships/hyperlink" Target="https://drive.google.com/file/d/1erWA0GGEmUSZqvPtZKH_Ni9zeIX5tJ2b/view?usp=drive_link" TargetMode="External"/><Relationship Id="rId228" Type="http://schemas.openxmlformats.org/officeDocument/2006/relationships/hyperlink" Target="https://drive.google.com/file/d/1D9V5I8BQ3Qka2mZsHagTCKJu0v69kguF/view?usp=drive_link" TargetMode="External"/><Relationship Id="rId435" Type="http://schemas.openxmlformats.org/officeDocument/2006/relationships/hyperlink" Target="https://drive.google.com/file/d/1S2HkMlu29yqXC5gDXMDK-bRbXVLYRmU-/view?usp=drive_link" TargetMode="External"/><Relationship Id="rId477" Type="http://schemas.openxmlformats.org/officeDocument/2006/relationships/hyperlink" Target="https://drive.google.com/file/d/1wN1zyzZKzWT_jK9TXF2-NDCaWr06Ua0s/view?usp=drive_link" TargetMode="External"/><Relationship Id="rId600" Type="http://schemas.openxmlformats.org/officeDocument/2006/relationships/hyperlink" Target="https://drive.google.com/file/d/1T84BMRheWQLrKtrgJWG0k6jie8oXUAk8/view?usp=sharing" TargetMode="External"/><Relationship Id="rId281" Type="http://schemas.openxmlformats.org/officeDocument/2006/relationships/hyperlink" Target="https://drive.google.com/file/d/1e6fGhxbPdSCTpqs52LetBc7qO9QMNdl3/view?usp=drive_link" TargetMode="External"/><Relationship Id="rId337" Type="http://schemas.openxmlformats.org/officeDocument/2006/relationships/hyperlink" Target="https://drive.google.com/file/d/1Ui51Uu3JjVC7nMPDQITTtHt5ugbNy7Al/view?usp=drive_link" TargetMode="External"/><Relationship Id="rId502" Type="http://schemas.openxmlformats.org/officeDocument/2006/relationships/hyperlink" Target="https://ueb.edu.vn/Tin-Tuc/UEB/nhung-van-ban-quy-pham-phap-luat-van-ban-cua-dhqghn-lien-quan-den-hoat-dong-cua-truong-thong-bao-thang-4-2026/46311" TargetMode="External"/><Relationship Id="rId34" Type="http://schemas.openxmlformats.org/officeDocument/2006/relationships/hyperlink" Target="https://drive.google.com/file/d/188ly6iPHLEYlNAghk3sMFOGhvM-5FMvT/view?usp=drive_link" TargetMode="External"/><Relationship Id="rId76" Type="http://schemas.openxmlformats.org/officeDocument/2006/relationships/hyperlink" Target="https://ueb.edu.vn/Tin-Tuc/UEB/nhung-van-ban-quy-pham-phap-luat-van-ban-cua-dhqghn-lien-quan-den-hoat-dong-cua-truong-cap-nhat-nua-dau-thang-02-2025/43263" TargetMode="External"/><Relationship Id="rId141" Type="http://schemas.openxmlformats.org/officeDocument/2006/relationships/hyperlink" Target="https://ueb.edu.vn/Tin-Tuc/UEB/nhung-van-ban-quy-pham-phap-luat-van-ban-cua-dhqghn-lien-quan-den-hoat-dong-cua-truong-cap-nhat-nua-dau-thang-06-2025/44876" TargetMode="External"/><Relationship Id="rId379" Type="http://schemas.openxmlformats.org/officeDocument/2006/relationships/hyperlink" Target="https://drive.google.com/file/d/1ntTaWbL_0EdTI6zudPVugpu_cAk0ZT5c/view?usp=sharing" TargetMode="External"/><Relationship Id="rId544" Type="http://schemas.openxmlformats.org/officeDocument/2006/relationships/hyperlink" Target="https://drive.google.com/file/d/1pPPO540FPk_7SVUm1say-N-7P2ZTwVP3/view?usp=drive_link" TargetMode="External"/><Relationship Id="rId586" Type="http://schemas.openxmlformats.org/officeDocument/2006/relationships/hyperlink" Target="https://drive.google.com/file/d/1I86oX9btGZ34732HNi_ACY1NOM5syGan/view?usp=sharing" TargetMode="External"/><Relationship Id="rId7" Type="http://schemas.openxmlformats.org/officeDocument/2006/relationships/hyperlink" Target="https://drive.google.com/file/d/1Mlk1NW4wivTie0IZm8HSVfq1TCTW0Uhn/view?usp=drive_link" TargetMode="External"/><Relationship Id="rId183" Type="http://schemas.openxmlformats.org/officeDocument/2006/relationships/hyperlink" Target="https://drive.google.com/file/d/13fOoSEIC8MEZT4AcJQt32bnIvArdWTfT/view?usp=drive_link" TargetMode="External"/><Relationship Id="rId239" Type="http://schemas.openxmlformats.org/officeDocument/2006/relationships/hyperlink" Target="https://drive.google.com/file/d/1bK9YUYnnfU_El2io0pwhDGzOfb9pZJqx/view?usp=drive_link" TargetMode="External"/><Relationship Id="rId390" Type="http://schemas.openxmlformats.org/officeDocument/2006/relationships/hyperlink" Target="https://drive.google.com/file/d/1npukYqf3K1o0LWpScy2ebJG4VwBN1R3v/view?usp=sharing" TargetMode="External"/><Relationship Id="rId404" Type="http://schemas.openxmlformats.org/officeDocument/2006/relationships/hyperlink" Target="https://drive.google.com/file/d/1jzYR9B9bb7dpC-17NdKJRnD-VF5Aufn2/view?usp=drive_link" TargetMode="External"/><Relationship Id="rId446" Type="http://schemas.openxmlformats.org/officeDocument/2006/relationships/hyperlink" Target="https://ueb.edu.vn/Tin-Tuc/UEB/nhung-van-ban-quy-pham-phap-luat-van-ban-cua-dhqghn-lien-quan-den-hoat-dong-cua-truong-thong-bao-thang-11-2025/45605" TargetMode="External"/><Relationship Id="rId611" Type="http://schemas.openxmlformats.org/officeDocument/2006/relationships/hyperlink" Target="https://drive.google.com/file/d/1HfLFntjPTGNyJVLeJG2Y5AaytSEqUoTh/view?usp=sharing" TargetMode="External"/><Relationship Id="rId250" Type="http://schemas.openxmlformats.org/officeDocument/2006/relationships/hyperlink" Target="https://drive.google.com/file/d/1bZl4tKhYMLf2cs5sknwLnf27fMIoGUy6/view?usp=drive_link" TargetMode="External"/><Relationship Id="rId292" Type="http://schemas.openxmlformats.org/officeDocument/2006/relationships/hyperlink" Target="https://drive.google.com/file/d/1_JZW6c3788gEbJaUMjTI6Ufv_yucqDuK/view?usp=drive_link" TargetMode="External"/><Relationship Id="rId306" Type="http://schemas.openxmlformats.org/officeDocument/2006/relationships/hyperlink" Target="https://drive.google.com/file/d/1wSWhYrq6bGzIe05wFa4XSXyTkOGFSSRV/view?usp=drive_link" TargetMode="External"/><Relationship Id="rId488" Type="http://schemas.openxmlformats.org/officeDocument/2006/relationships/hyperlink" Target="https://drive.google.com/file/d/1EPVeCl8u5C0lMcfbwYyvO6ri8fi2mjXM/view?usp=drive_link" TargetMode="External"/><Relationship Id="rId45" Type="http://schemas.openxmlformats.org/officeDocument/2006/relationships/hyperlink" Target="https://drive.google.com/file/d/1OGAGOyaUmYjfrogbdlbj45A32ihcuM-T/view?usp=drive_link" TargetMode="External"/><Relationship Id="rId87" Type="http://schemas.openxmlformats.org/officeDocument/2006/relationships/hyperlink" Target="https://ueb.edu.vn/Tin-Tuc/UEB/nhung-van-ban-quy-pham-phap-luat-van-ban-cua-dhqghn-lien-quan-den-hoat-dong-cua-truong-cap-nhat-nua-sau-thang-04-2025/44634" TargetMode="External"/><Relationship Id="rId110" Type="http://schemas.openxmlformats.org/officeDocument/2006/relationships/hyperlink" Target="https://drive.google.com/file/d/1hSrhTlIaI3lhGFKg56zWJiMXtZu_E9Qf/view?usp=drive_link" TargetMode="External"/><Relationship Id="rId348" Type="http://schemas.openxmlformats.org/officeDocument/2006/relationships/hyperlink" Target="https://drive.google.com/file/d/1Tvqdx8KGL2FDpOTLi99A_-kg1CAmTx75/view?usp=drive_link" TargetMode="External"/><Relationship Id="rId513" Type="http://schemas.openxmlformats.org/officeDocument/2006/relationships/hyperlink" Target="https://ueb.edu.vn/Tin-Tuc/UEB/nhung-van-ban-quy-pham-phap-luat-van-ban-cua-dhqghn-lien-quan-den-hoat-dong-cua-truong-/46682" TargetMode="External"/><Relationship Id="rId555" Type="http://schemas.openxmlformats.org/officeDocument/2006/relationships/hyperlink" Target="https://drive.google.com/file/d/1uMBmW-hX7wuL5DIdqTOyGteUh-d6jDFW/view?usp=drive_link" TargetMode="External"/><Relationship Id="rId597" Type="http://schemas.openxmlformats.org/officeDocument/2006/relationships/hyperlink" Target="https://drive.google.com/file/d/1aPP5YyJEStRzHQwYnMJaQrwCWVA7bnuA/view?usp=sharing" TargetMode="External"/><Relationship Id="rId152" Type="http://schemas.openxmlformats.org/officeDocument/2006/relationships/hyperlink" Target="https://drive.google.com/file/d/1lFg8-aC5-5fzVnjU3-lPJHtqNxJKG3Kb/view?usp=sharing" TargetMode="External"/><Relationship Id="rId194" Type="http://schemas.openxmlformats.org/officeDocument/2006/relationships/hyperlink" Target="https://drive.google.com/file/d/1ojPT3rnJHmlVZiFLKqvdliX3JsRLWk40/view?usp=drive_link" TargetMode="External"/><Relationship Id="rId208" Type="http://schemas.openxmlformats.org/officeDocument/2006/relationships/hyperlink" Target="https://drive.google.com/file/d/1rkN7O2eKVH5TtaF9oLdUP8M0zY9dRd1A/view?usp=drive_link" TargetMode="External"/><Relationship Id="rId415" Type="http://schemas.openxmlformats.org/officeDocument/2006/relationships/hyperlink" Target="https://drive.google.com/file/d/1JagYWNwTduRz-P51tKl0r4Uq0Vt88-10/view?usp=drive_link" TargetMode="External"/><Relationship Id="rId457" Type="http://schemas.openxmlformats.org/officeDocument/2006/relationships/hyperlink" Target="https://drive.google.com/file/d/1LXIOd2DPxglQ8ya4M3QSmvMD5wO06_Z1/view?usp=drive_link" TargetMode="External"/><Relationship Id="rId622" Type="http://schemas.openxmlformats.org/officeDocument/2006/relationships/hyperlink" Target="https://drive.google.com/file/d/1iVvAMBzSff9b6_kMoaaNAhR9cwFCCp7V/view?usp=sharing" TargetMode="External"/><Relationship Id="rId261" Type="http://schemas.openxmlformats.org/officeDocument/2006/relationships/hyperlink" Target="https://ueb.edu.vn/Tin-Tuc/UEB/nhung-van-ban-quy-pham-phap-luat-van-ban-cua-dhqghn-lien-quan-den-hoat-dong-cua-truong-thong-bao-thang-9-2025-lan-1/45231" TargetMode="External"/><Relationship Id="rId499" Type="http://schemas.openxmlformats.org/officeDocument/2006/relationships/hyperlink" Target="https://ueb.edu.vn/Tin-Tuc/UEB/nhung-van-ban-quy-pham-phap-luat-van-ban-cua-dhqghn-lien-quan-den-hoat-dong-cua-truong-thong-bao-thang-4-2026/46311" TargetMode="External"/><Relationship Id="rId14" Type="http://schemas.openxmlformats.org/officeDocument/2006/relationships/hyperlink" Target="https://drive.google.com/file/d/1i4CRgOCTR1xd5t5wfFTzXzHFUE0dndxq/view?usp=drive_link" TargetMode="External"/><Relationship Id="rId56" Type="http://schemas.openxmlformats.org/officeDocument/2006/relationships/hyperlink" Target="https://drive.google.com/file/d/1IwcyOZ43J3u9FMqCe2yQejeEHt2wmhcn/view?usp=drive_link" TargetMode="External"/><Relationship Id="rId317" Type="http://schemas.openxmlformats.org/officeDocument/2006/relationships/hyperlink" Target="https://drive.google.com/file/d/1h_-7jQrgUIVwY3fi0rZXnQrs5oGlJTvY/view?usp=drive_link" TargetMode="External"/><Relationship Id="rId359" Type="http://schemas.openxmlformats.org/officeDocument/2006/relationships/hyperlink" Target="https://drive.google.com/file/d/1Jwu2z0xZW2r38qNdPFdW99mnJtqEm274/view?usp=drive_link" TargetMode="External"/><Relationship Id="rId524" Type="http://schemas.openxmlformats.org/officeDocument/2006/relationships/hyperlink" Target="https://ueb.edu.vn/Tin-Tuc/UEB/nhung-van-ban-quy-pham-phap-luat-van-ban-cua-dhqghn-lien-quan-den-hoat-dong-cua-truong-thong-bao-thang-07-2026/46722" TargetMode="External"/><Relationship Id="rId566" Type="http://schemas.openxmlformats.org/officeDocument/2006/relationships/hyperlink" Target="https://drive.google.com/file/d/1A8OdsxgFaxOOS16s-DZbP53OnYTmxZEk/view?usp=drive_link" TargetMode="External"/><Relationship Id="rId98" Type="http://schemas.openxmlformats.org/officeDocument/2006/relationships/hyperlink" Target="https://ueb.edu.vn/Tin-Tuc/UEB/nhung-van-ban-quy-pham-phap-luat-van-ban-cua-dhqghn-lien-quan-den-hoat-dong-cua-truong-cap-nhat-nua-dau-thang-05-2025/44689" TargetMode="External"/><Relationship Id="rId121" Type="http://schemas.openxmlformats.org/officeDocument/2006/relationships/hyperlink" Target="https://ueb.edu.vn/Tin-Tuc/UEB/nhung-van-ban-quy-pham-phap-luat-van-ban-cua-dhqghn-lien-quan-den-hoat-dong-cua-truong-cap-nhat-nua-dau-thang-06-2025/44876" TargetMode="External"/><Relationship Id="rId163" Type="http://schemas.openxmlformats.org/officeDocument/2006/relationships/hyperlink" Target="https://ueb.edu.vn/Tin-Tuc/UEB/nhung-van-ban-quy-pham-phap-luat-van-ban-cua-dhqghn-lien-quan-den-hoat-dong-cua-truong-cap-nhat-nua-dau-thang-06-2025/44876" TargetMode="External"/><Relationship Id="rId219" Type="http://schemas.openxmlformats.org/officeDocument/2006/relationships/hyperlink" Target="https://ueb.edu.vn/Tin-Tuc/UEB/nhung-van-ban-quy-pham-phap-luat-van-ban-cua-dhqghn-lien-quan-den-hoat-dong-cua-truong-thong-bao-thang-8-2025/45153" TargetMode="External"/><Relationship Id="rId370" Type="http://schemas.openxmlformats.org/officeDocument/2006/relationships/hyperlink" Target="https://drive.google.com/file/d/1w24NsfMpBjSaqvRTfXkfrn_cPbZwpQbg/view?usp=sharing" TargetMode="External"/><Relationship Id="rId426" Type="http://schemas.openxmlformats.org/officeDocument/2006/relationships/hyperlink" Target="https://drive.google.com/file/d/17-j1FQD8wr1SlyWjSZxAfDA22Y-ORmVt/view?usp=drive_link" TargetMode="External"/><Relationship Id="rId633" Type="http://schemas.openxmlformats.org/officeDocument/2006/relationships/printerSettings" Target="../printerSettings/printerSettings1.bin"/><Relationship Id="rId230" Type="http://schemas.openxmlformats.org/officeDocument/2006/relationships/hyperlink" Target="https://ueb.edu.vn/Tin-Tuc/UEB/nhung-van-ban-quy-pham-phap-luat-van-ban-cua-dhqghn-lien-quan-den-hoat-dong-cua-truong-thong-bao-thang-8-2025/45153" TargetMode="External"/><Relationship Id="rId468" Type="http://schemas.openxmlformats.org/officeDocument/2006/relationships/hyperlink" Target="https://ueb.edu.vn/Tin-Tuc/UEB/nhung-van-ban-quy-pham-phap-luat-van-ban-cua-dhqghn-lien-quan-den-hoat-dong-cua-truong-thong-bao-thang-12-2025/45845" TargetMode="External"/><Relationship Id="rId25" Type="http://schemas.openxmlformats.org/officeDocument/2006/relationships/hyperlink" Target="https://drive.google.com/file/d/1IUIWsFAaIbGvnr86oZ4mQfwTLOdQTuqU/view?usp=drive_link" TargetMode="External"/><Relationship Id="rId67" Type="http://schemas.openxmlformats.org/officeDocument/2006/relationships/hyperlink" Target="https://drive.google.com/file/d/1czu9nPq2roHtLVJNxm3RZ7bp2r4U3I51/view?usp=drive_link" TargetMode="External"/><Relationship Id="rId272" Type="http://schemas.openxmlformats.org/officeDocument/2006/relationships/hyperlink" Target="https://drive.google.com/file/d/1KM-WWluDg4aEYjx-O9YZ2EsaShpEZV1n/view?usp=drive_link" TargetMode="External"/><Relationship Id="rId328" Type="http://schemas.openxmlformats.org/officeDocument/2006/relationships/hyperlink" Target="https://drive.google.com/file/d/16OawLfE-G-eyEb9oQCmpo1h2evwUtQD7/view?usp=drive_link" TargetMode="External"/><Relationship Id="rId535" Type="http://schemas.openxmlformats.org/officeDocument/2006/relationships/hyperlink" Target="https://ueb.edu.vn/Tin-Tuc/UEB/nhung-van-ban-quy-pham-phap-luat-van-ban-cua-dhqghn-lien-quan-den-hoat-dong-cua-truong-/46825" TargetMode="External"/><Relationship Id="rId577" Type="http://schemas.openxmlformats.org/officeDocument/2006/relationships/hyperlink" Target="https://drive.google.com/file/d/1F_4ftr6ZZe91ozogosnaC3Edbt7d6Kny/view?usp=drive_link" TargetMode="External"/><Relationship Id="rId132" Type="http://schemas.openxmlformats.org/officeDocument/2006/relationships/hyperlink" Target="https://drive.google.com/file/d/1EHptQAQca0beHzD2hyuNPhQfwKFjIl6b/view?usp=drive_link" TargetMode="External"/><Relationship Id="rId174" Type="http://schemas.openxmlformats.org/officeDocument/2006/relationships/hyperlink" Target="https://drive.google.com/file/d/1kh-lAYCBHwL09JYjGApzem6lVliPp0zb/view?usp=drive_link" TargetMode="External"/><Relationship Id="rId381" Type="http://schemas.openxmlformats.org/officeDocument/2006/relationships/hyperlink" Target="https://drive.google.com/file/d/1j472SLePP6R36qXQOXX-w26NIEYYkfBC/view?usp=drive_link" TargetMode="External"/><Relationship Id="rId602" Type="http://schemas.openxmlformats.org/officeDocument/2006/relationships/hyperlink" Target="https://drive.google.com/file/d/1CQcUza8CmljYTPZdWwmeJWt9rkohUrqX/view?usp=sharing" TargetMode="External"/><Relationship Id="rId241" Type="http://schemas.openxmlformats.org/officeDocument/2006/relationships/hyperlink" Target="https://drive.google.com/file/d/15v_PhGjGrZ0hpU0b4s59pGAku9UnsSSS/view?usp=drive_link" TargetMode="External"/><Relationship Id="rId437" Type="http://schemas.openxmlformats.org/officeDocument/2006/relationships/hyperlink" Target="https://drive.google.com/file/d/14iLKR8iPuPSmERsxKTYqh5ydoFKX9V1I/view?usp=drive_link" TargetMode="External"/><Relationship Id="rId479" Type="http://schemas.openxmlformats.org/officeDocument/2006/relationships/hyperlink" Target="https://drive.google.com/file/d/1Krm28ewOT7Xqpp9_5LWKdy1xFygE3ntF/view?usp=drive_link" TargetMode="External"/><Relationship Id="rId36" Type="http://schemas.openxmlformats.org/officeDocument/2006/relationships/hyperlink" Target="https://drive.google.com/file/d/1KQboBZ1L8EZCl-2kU-xgR2su57gN7X5o/view?usp=drive_link" TargetMode="External"/><Relationship Id="rId283" Type="http://schemas.openxmlformats.org/officeDocument/2006/relationships/hyperlink" Target="https://drive.google.com/file/d/1cUMgsbjMTetr-poEaXk3i2cVUhY7TsN6/view?usp=drive_link" TargetMode="External"/><Relationship Id="rId339" Type="http://schemas.openxmlformats.org/officeDocument/2006/relationships/hyperlink" Target="https://drive.google.com/file/d/12CZkkiisWOpWio7Pjr3jHejOeFAITftR/view?usp=drive_link" TargetMode="External"/><Relationship Id="rId490" Type="http://schemas.openxmlformats.org/officeDocument/2006/relationships/hyperlink" Target="https://drive.google.com/file/d/1iSfYVhUDArt8k5RYFOu6YHpiV4vq_BZ0/view?usp=drive_link" TargetMode="External"/><Relationship Id="rId504" Type="http://schemas.openxmlformats.org/officeDocument/2006/relationships/hyperlink" Target="https://ueb.edu.vn/Tin-Tuc/UEB/nhung-van-ban-quy-pham-phap-luat-van-ban-cua-dhqghn-lien-quan-den-hoat-dong-cua-truong-thong-bao-thang-5-2026/46432" TargetMode="External"/><Relationship Id="rId546" Type="http://schemas.openxmlformats.org/officeDocument/2006/relationships/hyperlink" Target="https://drive.google.com/file/d/1zKL-Nb3EWsEKNohWLEWRA7LNwAF3IPpd/view?usp=drive_link" TargetMode="External"/><Relationship Id="rId78" Type="http://schemas.openxmlformats.org/officeDocument/2006/relationships/hyperlink" Target="https://ueb.edu.vn/Tin-Tuc/UEB/nhung-van-ban-quy-pham-phap-luat-van-ban-cua-dhqghn-lien-quan-den-hoat-dong-cua-truong-cap-nhat-nua-dau-thang-02-2025/43263" TargetMode="External"/><Relationship Id="rId101" Type="http://schemas.openxmlformats.org/officeDocument/2006/relationships/hyperlink" Target="https://ueb.edu.vn/Tin-Tuc/UEB/nhung-van-ban-quy-pham-phap-luat-van-ban-cua-dhqghn-lien-quan-den-hoat-dong-cua-truong-cap-nhat-nua-dau-thang-06-2025/44876" TargetMode="External"/><Relationship Id="rId143" Type="http://schemas.openxmlformats.org/officeDocument/2006/relationships/hyperlink" Target="https://ueb.edu.vn/Tin-Tuc/UEB/nhung-van-ban-quy-pham-phap-luat-van-ban-cua-dhqghn-lien-quan-den-hoat-dong-cua-truong-cap-nhat-nua-dau-thang-06-2025/44876" TargetMode="External"/><Relationship Id="rId185" Type="http://schemas.openxmlformats.org/officeDocument/2006/relationships/hyperlink" Target="https://drive.google.com/file/d/1Ul_gaFHopdrgOF1hoQabUc-w4smvKoYM/view?usp=drive_link" TargetMode="External"/><Relationship Id="rId350" Type="http://schemas.openxmlformats.org/officeDocument/2006/relationships/hyperlink" Target="https://drive.google.com/file/d/1-_7zOB3SB5cOVnj9zkh7IoCE3mfW6xkX/view?usp=drive_link" TargetMode="External"/><Relationship Id="rId406" Type="http://schemas.openxmlformats.org/officeDocument/2006/relationships/hyperlink" Target="https://drive.google.com/file/d/1icvPfAWIufttiQIFK5_O00kzgcBL-rUU/view?usp=drive_link" TargetMode="External"/><Relationship Id="rId588" Type="http://schemas.openxmlformats.org/officeDocument/2006/relationships/hyperlink" Target="https://drive.google.com/file/d/1VnktC7k_rUkH6D8YVM2T-k99OYjeXLi4/view?usp=sharing" TargetMode="External"/><Relationship Id="rId9" Type="http://schemas.openxmlformats.org/officeDocument/2006/relationships/hyperlink" Target="https://drive.google.com/file/d/17NAxaudevSWkYZG0CE9N-quiJW6dFy35/view?usp=drive_link" TargetMode="External"/><Relationship Id="rId210" Type="http://schemas.openxmlformats.org/officeDocument/2006/relationships/hyperlink" Target="https://drive.google.com/file/d/1QL2Qe3XCNx2Qr_-gXaXIXngaTZb9CAMg/view?usp=drive_link" TargetMode="External"/><Relationship Id="rId392" Type="http://schemas.openxmlformats.org/officeDocument/2006/relationships/hyperlink" Target="https://drive.google.com/file/d/13Y0rg4fqA5Q5fns7QqUBSwRn_xT1bLOp/view?usp=sharing" TargetMode="External"/><Relationship Id="rId448" Type="http://schemas.openxmlformats.org/officeDocument/2006/relationships/hyperlink" Target="https://ueb.edu.vn/Tin-Tuc/UEB/nhung-van-ban-quy-pham-phap-luat-van-ban-cua-dhqghn-lien-quan-den-hoat-dong-cua-truong-thong-bao-thang-11-2025/45605" TargetMode="External"/><Relationship Id="rId613" Type="http://schemas.openxmlformats.org/officeDocument/2006/relationships/hyperlink" Target="https://drive.google.com/file/d/1yLMVJm59Mxl-Ww5muY5K_aT-KghVqRHE/view?usp=sharing" TargetMode="External"/><Relationship Id="rId252" Type="http://schemas.openxmlformats.org/officeDocument/2006/relationships/hyperlink" Target="https://drive.google.com/file/d/14D2S-5HjcGnIca0U1YrspipHHD5ujiUS/view?usp=drive_link" TargetMode="External"/><Relationship Id="rId294" Type="http://schemas.openxmlformats.org/officeDocument/2006/relationships/hyperlink" Target="https://drive.google.com/file/d/1HHfqDYn6M981zgnrYv9vVLnXGTMg4zZz/view?usp=drive_link" TargetMode="External"/><Relationship Id="rId308" Type="http://schemas.openxmlformats.org/officeDocument/2006/relationships/hyperlink" Target="https://drive.google.com/file/d/1FEHvgcaWFnichgspQsWsNIk9z7H8AFLe/view?usp=drive_link" TargetMode="External"/><Relationship Id="rId515" Type="http://schemas.openxmlformats.org/officeDocument/2006/relationships/hyperlink" Target="https://ueb.edu.vn/Tin-Tuc/UEB/nhung-van-ban-quy-pham-phap-luat-van-ban-cua-dhqghn-lien-quan-den-hoat-dong-cua-truong-thong-bao-thang-06-2026/46616" TargetMode="External"/><Relationship Id="rId47" Type="http://schemas.openxmlformats.org/officeDocument/2006/relationships/hyperlink" Target="https://drive.google.com/file/d/1J0CWPiznyQ8ZoncQma1ZIOm1BvF-T0P3/view?usp=drive_link" TargetMode="External"/><Relationship Id="rId89" Type="http://schemas.openxmlformats.org/officeDocument/2006/relationships/hyperlink" Target="https://ueb.edu.vn/Tin-Tuc/UEB/nhung-van-ban-quy-pham-phap-luat-van-ban-cua-dhqghn-lien-quan-den-hoat-dong-cua-truong-cap-nhat-nua-sau-thang-04-2025/44634" TargetMode="External"/><Relationship Id="rId112" Type="http://schemas.openxmlformats.org/officeDocument/2006/relationships/hyperlink" Target="https://drive.google.com/file/d/1d68fpLdJv43K7SaM8-ecS0mCYSDB4SSk/view?usp=drive_link" TargetMode="External"/><Relationship Id="rId154" Type="http://schemas.openxmlformats.org/officeDocument/2006/relationships/hyperlink" Target="https://drive.google.com/file/d/1qNErMl2P-5YRfWj7a4eIjsYUWnFYW5NB/view?usp=drive_link" TargetMode="External"/><Relationship Id="rId361" Type="http://schemas.openxmlformats.org/officeDocument/2006/relationships/hyperlink" Target="https://drive.google.com/file/d/1ClisCPeiZpO4tVncxtaGCusD_giasf1q/view?usp=sharing" TargetMode="External"/><Relationship Id="rId557" Type="http://schemas.openxmlformats.org/officeDocument/2006/relationships/hyperlink" Target="https://drive.google.com/file/d/19lOh3fngtDl4_YcyL1JVjj5CGW3dOSVN/view?usp=drive_link" TargetMode="External"/><Relationship Id="rId599" Type="http://schemas.openxmlformats.org/officeDocument/2006/relationships/hyperlink" Target="https://drive.google.com/file/d/1nCzjo9djjfvewOupwty18pcbScRxtvIf/view?usp=sharing" TargetMode="External"/><Relationship Id="rId196" Type="http://schemas.openxmlformats.org/officeDocument/2006/relationships/hyperlink" Target="https://drive.google.com/file/d/1CKZd6x2M7G9zbc1aUZJHe5Ou1PJdQZ3K/view?usp=drive_link" TargetMode="External"/><Relationship Id="rId417" Type="http://schemas.openxmlformats.org/officeDocument/2006/relationships/hyperlink" Target="https://drive.google.com/file/d/19DbBxZDLc7LNIrkq0cOhO9y3-U6xcYLF/view?usp=drive_link" TargetMode="External"/><Relationship Id="rId459" Type="http://schemas.openxmlformats.org/officeDocument/2006/relationships/hyperlink" Target="https://drive.google.com/file/d/1oCfMjZ_QhZfd6l3VzSOxp4TlBywVF3DS/view?usp=drive_link" TargetMode="External"/><Relationship Id="rId624" Type="http://schemas.openxmlformats.org/officeDocument/2006/relationships/hyperlink" Target="https://drive.google.com/file/d/1lw5XIykLaHdNnuikrAy5s7_lz7N2ttk7/view?usp=sharing" TargetMode="External"/><Relationship Id="rId16" Type="http://schemas.openxmlformats.org/officeDocument/2006/relationships/hyperlink" Target="https://drive.google.com/file/d/1k__NKmJRF1BIr2V1t6EiEOESw6lzkgdE/view?usp=drive_link" TargetMode="External"/><Relationship Id="rId221" Type="http://schemas.openxmlformats.org/officeDocument/2006/relationships/hyperlink" Target="https://ueb.edu.vn/Tin-Tuc/UEB/nhung-van-ban-quy-pham-phap-luat-van-ban-cua-dhqghn-lien-quan-den-hoat-dong-cua-truong-thong-bao-thang-8-2025/45153" TargetMode="External"/><Relationship Id="rId263" Type="http://schemas.openxmlformats.org/officeDocument/2006/relationships/hyperlink" Target="https://ueb.edu.vn/Tin-Tuc/UEB/nhung-van-ban-quy-pham-phap-luat-van-ban-cua-dhqghn-lien-quan-den-hoat-dong-cua-truong-thong-bao-thang-9-2025-lan-1/45231" TargetMode="External"/><Relationship Id="rId319" Type="http://schemas.openxmlformats.org/officeDocument/2006/relationships/hyperlink" Target="https://drive.google.com/file/d/1XeB4pR9PbA9ICq0eXfofUKXNXaTj8YUw/view?usp=drive_link" TargetMode="External"/><Relationship Id="rId470" Type="http://schemas.openxmlformats.org/officeDocument/2006/relationships/hyperlink" Target="https://drive.google.com/file/d/1FD2RdySqSk-GIt94Yugsj_gfDR_864rY/view?usp=drive_link" TargetMode="External"/><Relationship Id="rId526" Type="http://schemas.openxmlformats.org/officeDocument/2006/relationships/hyperlink" Target="https://ueb.edu.vn/Tin-Tuc/UEB/nhung-van-ban-quy-pham-phap-luat-van-ban-cua-dhqghn-lien-quan-den-hoat-dong-cua-truong-thong-bao-thang-07-2026/46722" TargetMode="External"/><Relationship Id="rId58" Type="http://schemas.openxmlformats.org/officeDocument/2006/relationships/hyperlink" Target="https://drive.google.com/file/d/1NyRPeSRfS_O_-Fkda-R5lO1T1WWfmmJ8/view?usp=drive_link" TargetMode="External"/><Relationship Id="rId123" Type="http://schemas.openxmlformats.org/officeDocument/2006/relationships/hyperlink" Target="https://ueb.edu.vn/Tin-Tuc/UEB/toan-van-28-nghi-dinh-ve-phan-quyen-phan-cap;-phan-dinh-tham-quyen-giua-chinh-phu-va-chinh-quyen-dia-phuong-2-cap-lan-2/44988" TargetMode="External"/><Relationship Id="rId330" Type="http://schemas.openxmlformats.org/officeDocument/2006/relationships/hyperlink" Target="https://drive.google.com/file/d/10quUYBSC03zCI9Yv0EgJ0cQd8El3lah-/view?usp=drive_link" TargetMode="External"/><Relationship Id="rId568" Type="http://schemas.openxmlformats.org/officeDocument/2006/relationships/hyperlink" Target="https://docs.google.com/document/d/1bHMki9v_USHSJP6piH2HauDjyN79pGcV/edit?usp=drive_link&amp;ouid=113271420923416098874&amp;rtpof=true&amp;sd=true" TargetMode="External"/><Relationship Id="rId165" Type="http://schemas.openxmlformats.org/officeDocument/2006/relationships/hyperlink" Target="https://ueb.edu.vn/Tin-Tuc/UEB/nhung-van-ban-quy-pham-phap-luat-van-ban-cua-dhqghn-lien-quan-den-hoat-dong-cua-truong-cap-nhat-nua-dau-thang-06-2025/44876" TargetMode="External"/><Relationship Id="rId372" Type="http://schemas.openxmlformats.org/officeDocument/2006/relationships/hyperlink" Target="https://drive.google.com/file/d/1dah_Ryd4_VDupeQckGSP322KPiC9braH/view?usp=drive_link" TargetMode="External"/><Relationship Id="rId428" Type="http://schemas.openxmlformats.org/officeDocument/2006/relationships/hyperlink" Target="https://drive.google.com/file/d/1wGApkgRh0go0pGAOQVBj8ZtYdTanscsf/view?usp=drive_link" TargetMode="External"/><Relationship Id="rId232" Type="http://schemas.openxmlformats.org/officeDocument/2006/relationships/hyperlink" Target="https://ueb.edu.vn/Tin-Tuc/UEB/nhung-van-ban-quy-pham-phap-luat-van-ban-cua-dhqghn-lien-quan-den-hoat-dong-cua-truong-thong-bao-thang-8-2025/45153" TargetMode="External"/><Relationship Id="rId274"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481" Type="http://schemas.openxmlformats.org/officeDocument/2006/relationships/hyperlink" Target="https://ueb.edu.vn/Tin-Tuc/UEB/nhung-van-ban-quy-pham-phap-luat-van-ban-cua-dhqghn-lien-quan-den-hoat-dong-cua-truong-cap-nhat-nua-dau-thang-01-2026/45973" TargetMode="External"/><Relationship Id="rId27" Type="http://schemas.openxmlformats.org/officeDocument/2006/relationships/hyperlink" Target="https://drive.google.com/file/d/1l1tD6lWBvOS7ZaDqltROM4Ed3KGq-kTK/view?usp=drive_link" TargetMode="External"/><Relationship Id="rId69" Type="http://schemas.openxmlformats.org/officeDocument/2006/relationships/hyperlink" Target="https://ueb.edu.vn/Tin-Tuc/UEB/nhung-van-ban-quy-pham-phap-luat-van-ban-cua-dhqghn-lien-quan-den-hoat-dong-cua-truong-cap-nhat-nua-sau-thang-01-2025/43215" TargetMode="External"/><Relationship Id="rId134" Type="http://schemas.openxmlformats.org/officeDocument/2006/relationships/hyperlink" Target="https://drive.google.com/file/d/1szXv936V036Q54NgBE1_mBGmWdwFN1Wp/view?usp=drive_link" TargetMode="External"/><Relationship Id="rId537" Type="http://schemas.openxmlformats.org/officeDocument/2006/relationships/hyperlink" Target="https://drive.google.com/file/d/18GZQlAaCg0vWiLm67m96SdmWBtIoM5Dm/view?usp=drive_link" TargetMode="External"/><Relationship Id="rId579" Type="http://schemas.openxmlformats.org/officeDocument/2006/relationships/hyperlink" Target="https://drive.google.com/file/d/1RdNte3Mc-R9vzAC_iTFWS-yEEz00BF68/view?usp=drive_link" TargetMode="External"/><Relationship Id="rId80" Type="http://schemas.openxmlformats.org/officeDocument/2006/relationships/hyperlink" Target="https://ueb.edu.vn/Tin-Tuc/UEB/nhung-van-ban-quy-pham-phap-luat-van-ban-cua-dhqghn-lien-quan-den-hoat-dong-cua-truong-cap-nhat-nua-dau-thang-05-2025/44689" TargetMode="External"/><Relationship Id="rId176" Type="http://schemas.openxmlformats.org/officeDocument/2006/relationships/hyperlink" Target="https://ueb.edu.vn/Tin-Tuc/UEB/so-sanh-diem-moi-cua-nghi-dinh-155-2025-nd-cp-va-nghi-dinh-152-2017-nd-cp-ve-quy-dinh-tieu-chuan-dinh-muc-su-dung-tru-so-lam-viec-co-so-hoat-dong-su-nghiep/45043" TargetMode="External"/><Relationship Id="rId341" Type="http://schemas.openxmlformats.org/officeDocument/2006/relationships/hyperlink" Target="https://drive.google.com/file/d/1sX3nhj7c2_0HiplbMUHhweR2sRD-u98X/view?usp=drive_link" TargetMode="External"/><Relationship Id="rId383" Type="http://schemas.openxmlformats.org/officeDocument/2006/relationships/hyperlink" Target="https://drive.google.com/file/d/1WO1SenpQaOSAm4RTX-OxxAFo6qDlMu41/view?usp=drive_link" TargetMode="External"/><Relationship Id="rId439" Type="http://schemas.openxmlformats.org/officeDocument/2006/relationships/hyperlink" Target="https://drive.google.com/file/d/1DVf9YiWtiDUuWomoECYfwS8ZhvepnX5q/view?usp=drive_link" TargetMode="External"/><Relationship Id="rId590" Type="http://schemas.openxmlformats.org/officeDocument/2006/relationships/hyperlink" Target="https://drive.google.com/file/d/1id7x7HI-vccM9tBc5q--FD5DxtLayRmd/view?usp=sharing" TargetMode="External"/><Relationship Id="rId604" Type="http://schemas.openxmlformats.org/officeDocument/2006/relationships/hyperlink" Target="https://drive.google.com/file/d/11T-yiJ3XLQ6ROXi8myBIGkhu_F79_8xb/view?usp=sharing" TargetMode="External"/><Relationship Id="rId201" Type="http://schemas.openxmlformats.org/officeDocument/2006/relationships/hyperlink" Target="https://ueb.edu.vn/Tin-Tuc/UEB/nhung-van-ban-quy-pham-phap-luat-van-ban-cua-dhqghn-lien-quan-den-hoat-dong-cua-truong-thong-bao-thang-7-2025-lan-2/45125" TargetMode="External"/><Relationship Id="rId243" Type="http://schemas.openxmlformats.org/officeDocument/2006/relationships/hyperlink" Target="https://drive.google.com/file/d/1uODRVSeM00yS0Srt9EpaDYCXTeplgfUa/view?usp=drive_link" TargetMode="External"/><Relationship Id="rId285" Type="http://schemas.openxmlformats.org/officeDocument/2006/relationships/hyperlink" Target="https://drive.google.com/file/d/1MDHmcZc6MzVKnqrnwx2qqjKaodVD4AQ2/view?usp=drive_link" TargetMode="External"/><Relationship Id="rId450" Type="http://schemas.openxmlformats.org/officeDocument/2006/relationships/hyperlink" Target="https://ueb.edu.vn/Tin-Tuc/UEB/nhung-van-ban-quy-pham-phap-luat-van-ban-cua-dhqghn-lien-quan-den-hoat-dong-cua-truong-thong-bao-thang-11-2025/45605" TargetMode="External"/><Relationship Id="rId506" Type="http://schemas.openxmlformats.org/officeDocument/2006/relationships/hyperlink" Target="https://ueb.edu.vn/Tin-Tuc/UEB/nhung-van-ban-quy-pham-phap-luat-van-ban-cua-dhqghn-lien-quan-den-hoat-dong-cua-truong-thong-bao-thang-5-2026/46432" TargetMode="External"/><Relationship Id="rId17" Type="http://schemas.openxmlformats.org/officeDocument/2006/relationships/hyperlink" Target="https://drive.google.com/file/d/1cAmBlNfk8lVMwN7BuGSd4dq8SuU2yxGz/view?usp=drive_link" TargetMode="External"/><Relationship Id="rId38" Type="http://schemas.openxmlformats.org/officeDocument/2006/relationships/hyperlink" Target="https://drive.google.com/file/d/1w51yvtZ0Ys-Cr7w2NEHWNFnci48PLlc-/view?usp=drive_link" TargetMode="External"/><Relationship Id="rId59" Type="http://schemas.openxmlformats.org/officeDocument/2006/relationships/hyperlink" Target="https://drive.google.com/file/d/1XichTAAE4VKUYTWRed5oCz6f1j8FrBgr/view?usp=drive_link" TargetMode="External"/><Relationship Id="rId103" Type="http://schemas.openxmlformats.org/officeDocument/2006/relationships/hyperlink" Target="https://ueb.edu.vn/Tin-Tuc/UEB/nhung-van-ban-quy-pham-phap-luat-van-ban-cua-dhqghn-lien-quan-den-hoat-dong-cua-truong-cap-nhat-nua-dau-thang-06-2025/44876" TargetMode="External"/><Relationship Id="rId124" Type="http://schemas.openxmlformats.org/officeDocument/2006/relationships/hyperlink" Target="https://drive.google.com/file/d/1FFty4n5fdXj2s2ZPniYdWditQMWUNZqw/view?usp=drive_link" TargetMode="External"/><Relationship Id="rId310" Type="http://schemas.openxmlformats.org/officeDocument/2006/relationships/hyperlink" Target="https://drive.google.com/file/d/1cgqKb1FPJPq9ERGA4AS3Ha7qN5pUrLzn/view?usp=drive_link" TargetMode="External"/><Relationship Id="rId492" Type="http://schemas.openxmlformats.org/officeDocument/2006/relationships/hyperlink" Target="https://drive.google.com/file/d/1ZdtEDSuLKPashXC6KlzK8XM1EtboeTvD/view?usp=drive_link" TargetMode="External"/><Relationship Id="rId527" Type="http://schemas.openxmlformats.org/officeDocument/2006/relationships/hyperlink" Target="https://ueb.edu.vn/Tin-Tuc/UEB/nhung-van-ban-quy-pham-phap-luat-van-ban-cua-dhqghn-lien-quan-den-hoat-dong-cua-truong-thong-bao-thang-07-2026/46722" TargetMode="External"/><Relationship Id="rId548" Type="http://schemas.openxmlformats.org/officeDocument/2006/relationships/hyperlink" Target="https://drive.google.com/file/d/1MKrV953kMOJ1Pu7K9TFMB3bUYl9EIIDt/view?usp=drive_link" TargetMode="External"/><Relationship Id="rId569" Type="http://schemas.openxmlformats.org/officeDocument/2006/relationships/hyperlink" Target="https://drive.google.com/file/d/1w-A7645EAQqNKRDeqlV5U9k_QcHXFcBr/view?usp=drive_link" TargetMode="External"/><Relationship Id="rId70" Type="http://schemas.openxmlformats.org/officeDocument/2006/relationships/hyperlink" Target="https://ueb.edu.vn/Tin-Tuc/UEB/nhung-van-ban-quy-pham-phap-luat-van-ban-cua-dhqghn-lien-quan-den-hoat-dong-cua-truong-cap-nhat-nua-sau-thang-01-2025/43215" TargetMode="External"/><Relationship Id="rId91" Type="http://schemas.openxmlformats.org/officeDocument/2006/relationships/hyperlink" Target="https://ueb.edu.vn/Tin-Tuc/UEB/nhung-van-ban-quy-pham-phap-luat-van-ban-cua-dhqghn-lien-quan-den-hoat-dong-cua-truong-cap-nhat-nua-cuoi-thang-05-2025/44741" TargetMode="External"/><Relationship Id="rId145" Type="http://schemas.openxmlformats.org/officeDocument/2006/relationships/hyperlink" Target="https://ueb.edu.vn/Tin-Tuc/UEB/nhung-van-ban-quy-pham-phap-luat-van-ban-cua-dhqghn-lien-quan-den-hoat-dong-cua-truong-cap-nhat-nua-dau-thang-06-2025/44876" TargetMode="External"/><Relationship Id="rId166" Type="http://schemas.openxmlformats.org/officeDocument/2006/relationships/hyperlink" Target="https://drive.google.com/file/d/1gwg67Sc6Zqmszb11NlAQRvn3OAA-xBXt/view?usp=drive_link" TargetMode="External"/><Relationship Id="rId187" Type="http://schemas.openxmlformats.org/officeDocument/2006/relationships/hyperlink" Target="https://ueb.edu.vn/Tin-Tuc/UEB/nhung-diem-moi-cua-luat-dau-thau-2025/44987" TargetMode="External"/><Relationship Id="rId331" Type="http://schemas.openxmlformats.org/officeDocument/2006/relationships/hyperlink" Target="https://drive.google.com/file/d/1IjgZgko6wE1wBVgAusrgcpMepXlYEHkX/view?usp=drive_link" TargetMode="External"/><Relationship Id="rId352" Type="http://schemas.openxmlformats.org/officeDocument/2006/relationships/hyperlink" Target="https://drive.google.com/file/d/1xnK2dpsaA0zR3cvmrDKplsEE-vhwJjBe/view?usp=drive_link" TargetMode="External"/><Relationship Id="rId373" Type="http://schemas.openxmlformats.org/officeDocument/2006/relationships/hyperlink" Target="https://drive.google.com/file/d/1pje3bsNK8O53Ml2HBo8iNW7Daw3FKCoD/view?usp=drive_link" TargetMode="External"/><Relationship Id="rId394" Type="http://schemas.openxmlformats.org/officeDocument/2006/relationships/hyperlink" Target="https://drive.google.com/file/d/1wgkbZfK4IP73JbwDw1gYzPN7CJ7XlQ1v/view?usp=drive_link" TargetMode="External"/><Relationship Id="rId408" Type="http://schemas.openxmlformats.org/officeDocument/2006/relationships/hyperlink" Target="https://drive.google.com/file/d/1lc0k15G-xiPRrPtWvvLq50C8nZeMhACN/view?usp=drive_link" TargetMode="External"/><Relationship Id="rId429" Type="http://schemas.openxmlformats.org/officeDocument/2006/relationships/hyperlink" Target="https://drive.google.com/file/d/1uViJGzRWHkTYpYbQZAgg8M9lrz9bADLS/view?usp=drive_link" TargetMode="External"/><Relationship Id="rId580" Type="http://schemas.openxmlformats.org/officeDocument/2006/relationships/hyperlink" Target="https://drive.google.com/file/d/1xT1qFbarXBvc-kRxPYBqrnRFLV71RZRu/view?usp=drive_link" TargetMode="External"/><Relationship Id="rId615" Type="http://schemas.openxmlformats.org/officeDocument/2006/relationships/hyperlink" Target="https://drive.google.com/file/d/1oenhEUUAzcnovIASTcIhmZVgGA-ghquW/view?usp=sharing" TargetMode="External"/><Relationship Id="rId1" Type="http://schemas.openxmlformats.org/officeDocument/2006/relationships/hyperlink" Target="https://drive.google.com/file/d/1hQ4REhrjGUjv1plslCoTHRXT2rK67aeW/view?usp=drive_link" TargetMode="External"/><Relationship Id="rId212" Type="http://schemas.openxmlformats.org/officeDocument/2006/relationships/hyperlink" Target="https://drive.google.com/file/d/1JnxY8SkutYCnXS8boS6ci83iHeQd_GAq/view?usp=drive_link" TargetMode="External"/><Relationship Id="rId233" Type="http://schemas.openxmlformats.org/officeDocument/2006/relationships/hyperlink" Target="https://drive.google.com/file/d/1V7CkO9RPFf6X-cTQMvOE3BcJILYbM64o/view?usp=drive_link" TargetMode="External"/><Relationship Id="rId254" Type="http://schemas.openxmlformats.org/officeDocument/2006/relationships/hyperlink" Target="https://drive.google.com/file/d/1TQHCvV1sl51HIMXSPNZMPMXpTi1SETRM/view?usp=drive_link" TargetMode="External"/><Relationship Id="rId440" Type="http://schemas.openxmlformats.org/officeDocument/2006/relationships/hyperlink" Target="https://drive.google.com/file/d/1wrOswq1MO4hKqhA-e1CQEueH2MJ9Va6I/view?usp=drive_link" TargetMode="External"/><Relationship Id="rId28" Type="http://schemas.openxmlformats.org/officeDocument/2006/relationships/hyperlink" Target="https://drive.google.com/file/d/1JJrLycP-NyPCeb8HN4MUGzxkfZPSgJ-G/view?usp=drive_link" TargetMode="External"/><Relationship Id="rId49" Type="http://schemas.openxmlformats.org/officeDocument/2006/relationships/hyperlink" Target="https://drive.google.com/file/d/1AMot9_IBDQbT7n6wOmXQreMVAknWsRkc/view?usp=drive_link" TargetMode="External"/><Relationship Id="rId114" Type="http://schemas.openxmlformats.org/officeDocument/2006/relationships/hyperlink" Target="https://drive.google.com/file/d/1-kX2ICka82KT4fR-GC_eTL5p6Gs2cyKL/view?usp=drive_link" TargetMode="External"/><Relationship Id="rId275"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296" Type="http://schemas.openxmlformats.org/officeDocument/2006/relationships/hyperlink" Target="https://drive.google.com/file/d/1ffG1cDDwcJ1DLYfD9A_63KarG2UM6ZUW/view?usp=drive_link" TargetMode="External"/><Relationship Id="rId300" Type="http://schemas.openxmlformats.org/officeDocument/2006/relationships/hyperlink" Target="https://drive.google.com/file/d/1bO4-CtROFITpIWhYOebIOyaGvWh8USHv/view?usp=drive_link" TargetMode="External"/><Relationship Id="rId461" Type="http://schemas.openxmlformats.org/officeDocument/2006/relationships/hyperlink" Target="https://drive.google.com/file/d/1EjjZt-OY9bLbCdtHsWHcuitSY3rXgd-6/view?usp=drive_link" TargetMode="External"/><Relationship Id="rId482" Type="http://schemas.openxmlformats.org/officeDocument/2006/relationships/hyperlink" Target="https://ueb.edu.vn/Tin-Tuc/UEB/nhung-van-ban-quy-pham-phap-luat-van-ban-cua-dhqghn-lien-quan-den-hoat-dong-cua-truong-cap-nhat-nua-dau-thang-01-2026/45973" TargetMode="External"/><Relationship Id="rId517" Type="http://schemas.openxmlformats.org/officeDocument/2006/relationships/hyperlink" Target="https://ueb.edu.vn/Tin-Tuc/UEB/nhung-van-ban-quy-pham-phap-luat-van-ban-cua-dhqghn-lien-quan-den-hoat-dong-cua-truong-thong-bao-thang-06-2026/46616" TargetMode="External"/><Relationship Id="rId538" Type="http://schemas.openxmlformats.org/officeDocument/2006/relationships/hyperlink" Target="https://drive.google.com/file/d/18xThBLOkvWwtaGltta3XorIdUUVDM3Mj/view?usp=drive_link" TargetMode="External"/><Relationship Id="rId559" Type="http://schemas.openxmlformats.org/officeDocument/2006/relationships/hyperlink" Target="https://drive.google.com/file/d/1KcqkrcgASFZ3owV-imMYibRYH0iR1t7a/view?usp=drive_link" TargetMode="External"/><Relationship Id="rId60" Type="http://schemas.openxmlformats.org/officeDocument/2006/relationships/hyperlink" Target="https://drive.google.com/file/d/1Vqx5slY5HYkh1tucJNUjrI2iI4zn5UMK/view?usp=drive_link" TargetMode="External"/><Relationship Id="rId81" Type="http://schemas.openxmlformats.org/officeDocument/2006/relationships/hyperlink" Target="https://ueb.edu.vn/Tin-Tuc/UEB/nhung-van-ban-quy-pham-phap-luat-van-ban-cua-dhqghn-lien-quan-den-hoat-dong-cua-truong-cap-nhat-nua-cuoi-thang-03-2025/44432" TargetMode="External"/><Relationship Id="rId135" Type="http://schemas.openxmlformats.org/officeDocument/2006/relationships/hyperlink" Target="https://ueb.edu.vn/Tin-Tuc/UEB/nhung-van-ban-quy-pham-phap-luat-van-ban-cua-dhqghn-lien-quan-den-hoat-dong-cua-truong-cap-nhat-nua-dau-thang-06-2025/44876" TargetMode="External"/><Relationship Id="rId156" Type="http://schemas.openxmlformats.org/officeDocument/2006/relationships/hyperlink" Target="https://drive.google.com/file/d/1slBJr1GvU0-bknTWDfDyp8rLP9OFveT5/view?usp=drive_link" TargetMode="External"/><Relationship Id="rId177" Type="http://schemas.openxmlformats.org/officeDocument/2006/relationships/hyperlink" Target="https://drive.google.com/file/d/11u2rpcLF5UY37OE4cD_xMY9pJiNkz2yn/view?usp=drive_link" TargetMode="External"/><Relationship Id="rId198" Type="http://schemas.openxmlformats.org/officeDocument/2006/relationships/hyperlink" Target="https://drive.google.com/file/d/14H1FRpm6ra4yy-7S32evfAJ-tTOSdAnJ/view?usp=sharing" TargetMode="External"/><Relationship Id="rId321" Type="http://schemas.openxmlformats.org/officeDocument/2006/relationships/hyperlink" Target="https://drive.google.com/file/d/1_y1ObUd2GTQGBlRxWtxVHxUd8AbgQUcB/view?usp=drive_link" TargetMode="External"/><Relationship Id="rId342" Type="http://schemas.openxmlformats.org/officeDocument/2006/relationships/hyperlink" Target="https://drive.google.com/file/d/13OCLVVOwPnox8G-WXKV1id4QC74WHY9_/view?usp=drive_link" TargetMode="External"/><Relationship Id="rId363" Type="http://schemas.openxmlformats.org/officeDocument/2006/relationships/hyperlink" Target="https://drive.google.com/file/d/1WxdNuKlhvgwWQRd0G7lVC-utGy1OfIk-/view?usp=sharing" TargetMode="External"/><Relationship Id="rId384" Type="http://schemas.openxmlformats.org/officeDocument/2006/relationships/hyperlink" Target="https://drive.google.com/file/d/1a0aBmZjqEoHIUv47NyjLsSGaXFEm_2sz/view?usp=drive_link" TargetMode="External"/><Relationship Id="rId419" Type="http://schemas.openxmlformats.org/officeDocument/2006/relationships/hyperlink" Target="https://drive.google.com/file/d/1Nqtci-SPSFRJYSTSHu3-xtmUJym0rMzr/view?usp=drive_link" TargetMode="External"/><Relationship Id="rId570" Type="http://schemas.openxmlformats.org/officeDocument/2006/relationships/hyperlink" Target="https://drive.google.com/file/d/10X-YDahSlLGhUg3Mz_ke0CGpWrhhPClv/view?usp=drive_link" TargetMode="External"/><Relationship Id="rId591" Type="http://schemas.openxmlformats.org/officeDocument/2006/relationships/hyperlink" Target="https://drive.google.com/file/d/1gtPoD4bQRFSO7DdhIBXeOWQeeSPxJBzU/view?usp=sharing" TargetMode="External"/><Relationship Id="rId605" Type="http://schemas.openxmlformats.org/officeDocument/2006/relationships/hyperlink" Target="https://drive.google.com/file/d/15PdP-_GSui6pP9XCzmUT4gOSmBkv0m5F/view?usp=sharing" TargetMode="External"/><Relationship Id="rId626" Type="http://schemas.openxmlformats.org/officeDocument/2006/relationships/hyperlink" Target="https://drive.google.com/file/d/1zY85sWejlm75k-d59qRy31aq-hlrEYVg/view?usp=sharing" TargetMode="External"/><Relationship Id="rId202" Type="http://schemas.openxmlformats.org/officeDocument/2006/relationships/hyperlink" Target="https://drive.google.com/file/d/1X1inOyQgyqvMO7t2TL5idz1Oh3Qal6ZL/view?usp=drive_link" TargetMode="External"/><Relationship Id="rId223" Type="http://schemas.openxmlformats.org/officeDocument/2006/relationships/hyperlink" Target="https://ueb.edu.vn/Tin-Tuc/UEB/nhung-van-ban-quy-pham-phap-luat-van-ban-cua-dhqghn-lien-quan-den-hoat-dong-cua-truong-thong-bao-thang-8-2025/45153" TargetMode="External"/><Relationship Id="rId244" Type="http://schemas.openxmlformats.org/officeDocument/2006/relationships/hyperlink" Target="https://ueb.edu.vn/Tin-Tuc/UEB/nhung-van-ban-quy-pham-phap-luat-van-ban-cua-dhqghn-lien-quan-den-hoat-dong-cua-truong-thong-bao-thang-8-2025-lan-02/45199" TargetMode="External"/><Relationship Id="rId430" Type="http://schemas.openxmlformats.org/officeDocument/2006/relationships/hyperlink" Target="https://drive.google.com/file/d/1ivVL9b-OhAamob2Weq8y9NAH-Fd6Jbgb/view?usp=drive_link" TargetMode="External"/><Relationship Id="rId18" Type="http://schemas.openxmlformats.org/officeDocument/2006/relationships/hyperlink" Target="https://drive.google.com/file/d/1STV79Erf9-rzzJTr7mxKqj8jeJFM9abP/view?usp=drive_link" TargetMode="External"/><Relationship Id="rId39" Type="http://schemas.openxmlformats.org/officeDocument/2006/relationships/hyperlink" Target="https://drive.google.com/file/d/1WfBv4ysPB1fRFhSujdJoZUTKKv4OJucK/view?usp=drive_link" TargetMode="External"/><Relationship Id="rId265" Type="http://schemas.openxmlformats.org/officeDocument/2006/relationships/hyperlink" Target="https://ueb.edu.vn/Tin-Tuc/UEB/nhung-van-ban-quy-pham-phap-luat-van-ban-cua-dhqghn-lien-quan-den-hoat-dong-cua-truong-thong-bao-thang-9-2025-lan-1/45231" TargetMode="External"/><Relationship Id="rId286" Type="http://schemas.openxmlformats.org/officeDocument/2006/relationships/hyperlink" Target="https://drive.google.com/file/d/1do4MPEQK_jx4gV_oNmYb6Ob6WP-hYwx6/view?usp=drive_link" TargetMode="External"/><Relationship Id="rId451" Type="http://schemas.openxmlformats.org/officeDocument/2006/relationships/hyperlink" Target="https://drive.google.com/file/d/179qyK-iVji2yy1AsMqgsP5GoKhVpqWHc/view?usp=drive_link" TargetMode="External"/><Relationship Id="rId472" Type="http://schemas.openxmlformats.org/officeDocument/2006/relationships/hyperlink" Target="https://drive.google.com/file/d/1I3OzJjW69POVYzHCgV4h9VqmCegGrHED/view?usp=drive_link" TargetMode="External"/><Relationship Id="rId493" Type="http://schemas.openxmlformats.org/officeDocument/2006/relationships/hyperlink" Target="https://ueb.edu.vn/Tin-Tuc/UEB/nhung-van-ban-quy-pham-phap-luat-van-ban-cua-dhqghn-lien-quan-den-hoat-dong-cua-truong-cap-nhat-nua-sau-thang-02-2026/46074" TargetMode="External"/><Relationship Id="rId507" Type="http://schemas.openxmlformats.org/officeDocument/2006/relationships/hyperlink" Target="https://ueb.edu.vn/Tin-Tuc/UEB/nhung-van-ban-quy-pham-phap-luat-van-ban-cua-dhqghn-lien-quan-den-hoat-dong-cua-truong-thong-bao-thang-5-2026/46432" TargetMode="External"/><Relationship Id="rId528" Type="http://schemas.openxmlformats.org/officeDocument/2006/relationships/hyperlink" Target="https://ueb.edu.vn/Tin-Tuc/UEB/nhung-van-ban-quy-pham-phap-luat-van-ban-cua-dhqghn-lien-quan-den-hoat-dong-cua-truong-thong-bao-thang-07-2026/46722" TargetMode="External"/><Relationship Id="rId549" Type="http://schemas.openxmlformats.org/officeDocument/2006/relationships/hyperlink" Target="https://drive.google.com/file/d/1tfWxIl5wveg7Wx2IJIZoDGcAuxyEaBAV/view?usp=drive_link" TargetMode="External"/><Relationship Id="rId50" Type="http://schemas.openxmlformats.org/officeDocument/2006/relationships/hyperlink" Target="https://drive.google.com/file/d/1kmE45qCSHzIwL571V4V89gqOCZW9vNgE/view?usp=drive_link" TargetMode="External"/><Relationship Id="rId104" Type="http://schemas.openxmlformats.org/officeDocument/2006/relationships/hyperlink" Target="https://drive.google.com/file/d/1ZTnpg2yk-rVxXCzdJwFMWhymoDrxz2Kb/view?usp=drive_link" TargetMode="External"/><Relationship Id="rId125" Type="http://schemas.openxmlformats.org/officeDocument/2006/relationships/hyperlink" Target="https://ueb.edu.vn/Tin-Tuc/UEB/toan-van-28-nghi-dinh-ve-phan-quyen-phan-cap;-phan-dinh-tham-quyen-giua-chinh-phu-va-chinh-quyen-dia-phuong-2-cap-lan-2/44988" TargetMode="External"/><Relationship Id="rId146" Type="http://schemas.openxmlformats.org/officeDocument/2006/relationships/hyperlink" Target="https://drive.google.com/file/d/14SXI1klOT7KMab_VTMclaH_aPTo8iO94/view?usp=sharing" TargetMode="External"/><Relationship Id="rId167" Type="http://schemas.openxmlformats.org/officeDocument/2006/relationships/hyperlink" Target="https://ueb.edu.vn/Tin-Tuc/UEB/nhung-van-ban-quy-pham-phap-luat-van-ban-cua-dhqghn-lien-quan-den-hoat-dong-cua-truong-cap-nhat-nua-dau-thang-06-2025/44876" TargetMode="External"/><Relationship Id="rId188" Type="http://schemas.openxmlformats.org/officeDocument/2006/relationships/hyperlink" Target="https://drive.google.com/file/d/1LJgAT5K_IFSLIv6c58uzHFLIbJGc_Ast/view?usp=sharing" TargetMode="External"/><Relationship Id="rId311" Type="http://schemas.openxmlformats.org/officeDocument/2006/relationships/hyperlink" Target="https://drive.google.com/file/d/1dd6VHLqS2ESQoeLzRjxvDfKTr_eS7Ga0/view?usp=drive_link" TargetMode="External"/><Relationship Id="rId332" Type="http://schemas.openxmlformats.org/officeDocument/2006/relationships/hyperlink" Target="https://drive.google.com/file/d/1CeVXSoe4bi2P5xt69HYmr02Far5-0bAE/view?usp=drive_link" TargetMode="External"/><Relationship Id="rId353" Type="http://schemas.openxmlformats.org/officeDocument/2006/relationships/hyperlink" Target="https://drive.google.com/file/d/18v9gT9ZnezqJunPjT4dmVCh258cJ27rJ/view?usp=drive_link" TargetMode="External"/><Relationship Id="rId374" Type="http://schemas.openxmlformats.org/officeDocument/2006/relationships/hyperlink" Target="https://drive.google.com/file/d/1KfIXbb5hdCHqZEa69jC0groe32RrJurZ/view?usp=drive_link" TargetMode="External"/><Relationship Id="rId395" Type="http://schemas.openxmlformats.org/officeDocument/2006/relationships/hyperlink" Target="https://drive.google.com/file/d/1kYcPsafsPD8sicqq-YGSNTrjK2a4Zd53/view?usp=drive_link" TargetMode="External"/><Relationship Id="rId409" Type="http://schemas.openxmlformats.org/officeDocument/2006/relationships/hyperlink" Target="https://drive.google.com/file/d/1SDipnjfwPzAGIfauf52a9U093EW6aNLR/view?usp=drive_link" TargetMode="External"/><Relationship Id="rId560" Type="http://schemas.openxmlformats.org/officeDocument/2006/relationships/hyperlink" Target="https://drive.google.com/file/d/16dRoOuLvQb6e455QUCMDfZIhfFznmAWX/view?usp=drive_link" TargetMode="External"/><Relationship Id="rId581" Type="http://schemas.openxmlformats.org/officeDocument/2006/relationships/hyperlink" Target="https://drive.google.com/file/d/1GEczhk-FIG4QsIfigP64jmjtR8SLxpMm/view?usp=drive_link" TargetMode="External"/><Relationship Id="rId71" Type="http://schemas.openxmlformats.org/officeDocument/2006/relationships/hyperlink" Target="https://ueb.edu.vn/Tin-Tuc/UEB/nhung-van-ban-quy-pham-phap-luat-van-ban-cua-dhqghn-lien-quan-den-hoat-dong-cua-truong-cap-nhat-nua-sau-thang-01-2025/43215" TargetMode="External"/><Relationship Id="rId92" Type="http://schemas.openxmlformats.org/officeDocument/2006/relationships/hyperlink" Target="https://ueb.edu.vn/Tin-Tuc/UEB/nhung-van-ban-quy-pham-phap-luat-van-ban-cua-dhqghn-lien-quan-den-hoat-dong-cua-truong-cap-nhat-nua-cuoi-thang-05-2025/44741" TargetMode="External"/><Relationship Id="rId213" Type="http://schemas.openxmlformats.org/officeDocument/2006/relationships/hyperlink" Target="https://ueb.edu.vn/Tin-Tuc/UEB/nhung-van-ban-quy-pham-phap-luat-van-ban-cua-dhqghn-lien-quan-den-hoat-dong-cua-truong-thong-bao-thang-8-2025/45153" TargetMode="External"/><Relationship Id="rId234" Type="http://schemas.openxmlformats.org/officeDocument/2006/relationships/hyperlink" Target="https://ueb.edu.vn/Tin-Tuc/UEB/nhung-van-ban-quy-pham-phap-luat-van-ban-cua-dhqghn-lien-quan-den-hoat-dong-cua-truong-thong-bao-thang-8-2025-lan-02/45199" TargetMode="External"/><Relationship Id="rId420" Type="http://schemas.openxmlformats.org/officeDocument/2006/relationships/hyperlink" Target="https://drive.google.com/file/d/1MYM9u0BJVu-jmwC2VQMleiNvBOsnCfo3/view?usp=drive_link" TargetMode="External"/><Relationship Id="rId616" Type="http://schemas.openxmlformats.org/officeDocument/2006/relationships/hyperlink" Target="https://drive.google.com/file/d/1JkS13x3CRUQ0emUpumltLoE3KVthychQ/view?usp=sharing" TargetMode="External"/><Relationship Id="rId2" Type="http://schemas.openxmlformats.org/officeDocument/2006/relationships/hyperlink" Target="https://drive.google.com/file/d/1AZuYkdD8hwZsgp9p1cjvrOHewpIb1NzI/view?usp=drive_link" TargetMode="External"/><Relationship Id="rId29" Type="http://schemas.openxmlformats.org/officeDocument/2006/relationships/hyperlink" Target="https://drive.google.com/file/d/1ie6apnQShr1URWiQgFqQ6muOvg5bSjzp/view?usp=drive_link" TargetMode="External"/><Relationship Id="rId255" Type="http://schemas.openxmlformats.org/officeDocument/2006/relationships/hyperlink" Target="https://ueb.edu.vn/Tin-Tuc/UEB/nhung-van-ban-quy-pham-phap-luat-van-ban-cua-dhqghn-lien-quan-den-hoat-dong-cua-truong-thong-bao-thang-9-2025-lan-1/45231" TargetMode="External"/><Relationship Id="rId276" Type="http://schemas.openxmlformats.org/officeDocument/2006/relationships/hyperlink" Target="https://drive.google.com/file/d/1roWgoLVmrDFGwuhhWc8_q2vdg1Eu7QQZ/view?usp=drive_link" TargetMode="External"/><Relationship Id="rId297" Type="http://schemas.openxmlformats.org/officeDocument/2006/relationships/hyperlink" Target="https://drive.google.com/file/d/17XNFqIxe5Jz0MhGMAPHZ7Z0kjBMqteli/view?usp=drive_link" TargetMode="External"/><Relationship Id="rId441" Type="http://schemas.openxmlformats.org/officeDocument/2006/relationships/hyperlink" Target="https://drive.google.com/file/d/10KuMiDsKFtXXmKcd2dfaPV1WuaSOwSjR/view?usp=drive_link" TargetMode="External"/><Relationship Id="rId462" Type="http://schemas.openxmlformats.org/officeDocument/2006/relationships/hyperlink" Target="https://drive.google.com/file/d/1OKgifOJqMxaAJsuBZtr1T4plXOn51HNB/view?usp=drive_link" TargetMode="External"/><Relationship Id="rId483" Type="http://schemas.openxmlformats.org/officeDocument/2006/relationships/hyperlink" Target="https://ueb.edu.vn/Tin-Tuc/UEB/nhung-van-ban-quy-pham-phap-luat-van-ban-cua-dhqghn-lien-quan-den-hoat-dong-cua-truong-cap-nhat-nua-dau-thang-01-2026/45973" TargetMode="External"/><Relationship Id="rId518" Type="http://schemas.openxmlformats.org/officeDocument/2006/relationships/hyperlink" Target="https://ueb.edu.vn/Tin-Tuc/UEB/nhung-van-ban-quy-pham-phap-luat-van-ban-cua-dhqghn-lien-quan-den-hoat-dong-cua-truong-/46682" TargetMode="External"/><Relationship Id="rId539" Type="http://schemas.openxmlformats.org/officeDocument/2006/relationships/hyperlink" Target="https://drive.google.com/file/d/1nE-3gn6SHzQ_n4LU1WA8qR8UOzQOxTlS/view?usp=drive_link" TargetMode="External"/><Relationship Id="rId40" Type="http://schemas.openxmlformats.org/officeDocument/2006/relationships/hyperlink" Target="https://drive.google.com/file/d/1tibeRvuVbEV9zYoyvvkWGCZVcV0TOWXx/view?usp=drive_link" TargetMode="External"/><Relationship Id="rId115" Type="http://schemas.openxmlformats.org/officeDocument/2006/relationships/hyperlink" Target="https://ueb.edu.vn/Tin-Tuc/UEB/nhung-van-ban-quy-pham-phap-luat-van-ban-cua-dhqghn-lien-quan-den-hoat-dong-cua-truong-cap-nhat-nua-dau-thang-06-2025/44876" TargetMode="External"/><Relationship Id="rId136" Type="http://schemas.openxmlformats.org/officeDocument/2006/relationships/hyperlink" Target="https://drive.google.com/file/d/1a-gAq7wZl24r-OIVrfTto2I3i7F2Y6cJ/view?usp=drive_link" TargetMode="External"/><Relationship Id="rId157" Type="http://schemas.openxmlformats.org/officeDocument/2006/relationships/hyperlink" Target="https://ueb.edu.vn/Tin-Tuc/UEB/nhung-van-ban-quy-pham-phap-luat-van-ban-cua-dhqghn-lien-quan-den-hoat-dong-cua-truong-cap-nhat-nua-dau-thang-06-2025/44876" TargetMode="External"/><Relationship Id="rId178" Type="http://schemas.openxmlformats.org/officeDocument/2006/relationships/hyperlink" Target="https://ueb.edu.vn/Tin-Tuc/UEB/so-sanh-diem-moi-cua-nghi-dinh-155-2025-nd-cp-va-nghi-dinh-152-2017-nd-cp-ve-quy-dinh-tieu-chuan-dinh-muc-su-dung-tru-so-lam-viec-co-so-hoat-dong-su-nghiep/45043" TargetMode="External"/><Relationship Id="rId301" Type="http://schemas.openxmlformats.org/officeDocument/2006/relationships/hyperlink" Target="http://112.137.137.72:8080/browse/TTPC-4017?jql=project%20%3D%20TTPC%20AND%20status%20%3D%20%22In%20Progress%22" TargetMode="External"/><Relationship Id="rId322" Type="http://schemas.openxmlformats.org/officeDocument/2006/relationships/hyperlink" Target="https://drive.google.com/file/d/1pm4EWqjgMJkq04JOs-XckCqBGkZUqQU9/view?usp=drive_link" TargetMode="External"/><Relationship Id="rId343" Type="http://schemas.openxmlformats.org/officeDocument/2006/relationships/hyperlink" Target="https://drive.google.com/file/d/1s51qnFmwluL7Yl69TV1168TtOExPafiV/view?usp=drive_link" TargetMode="External"/><Relationship Id="rId364" Type="http://schemas.openxmlformats.org/officeDocument/2006/relationships/hyperlink" Target="https://drive.google.com/file/d/1oow7RveU7057eqk4cFbv-0t-IaPGfH4k/view?usp=drive_link" TargetMode="External"/><Relationship Id="rId550" Type="http://schemas.openxmlformats.org/officeDocument/2006/relationships/hyperlink" Target="https://drive.google.com/file/d/1WX0duaAFRicMlSXXujzkxB4aN520mE_0/view?usp=drive_link" TargetMode="External"/><Relationship Id="rId61" Type="http://schemas.openxmlformats.org/officeDocument/2006/relationships/hyperlink" Target="https://drive.google.com/file/d/1pUfsCqqZ9csIyd1m6pqCroPvhOo_-J20/view?usp=sharing" TargetMode="External"/><Relationship Id="rId82" Type="http://schemas.openxmlformats.org/officeDocument/2006/relationships/hyperlink" Target="https://ueb.edu.vn/Tin-Tuc/UEB/nhung-van-ban-quy-pham-phap-luat-van-ban-cua-dhqghn-lien-quan-den-hoat-dong-cua-truong-cap-nhat-nua-dau-thang-04-2025/44532" TargetMode="External"/><Relationship Id="rId199" Type="http://schemas.openxmlformats.org/officeDocument/2006/relationships/hyperlink" Target="https://ueb.edu.vn/Tin-Tuc/UEB/nhung-van-ban-quy-pham-phap-luat-van-ban-cua-dhqghn-lien-quan-den-hoat-dong-cua-truong-thong-bao-thang-7-2025-lan-2/45125" TargetMode="External"/><Relationship Id="rId203" Type="http://schemas.openxmlformats.org/officeDocument/2006/relationships/hyperlink" Target="https://ueb.edu.vn/Tin-Tuc/UEB/nhung-van-ban-quy-pham-phap-luat-van-ban-cua-dhqghn-lien-quan-den-hoat-dong-cua-truong-thong-bao-thang-7-2025-lan-2/45125" TargetMode="External"/><Relationship Id="rId385" Type="http://schemas.openxmlformats.org/officeDocument/2006/relationships/hyperlink" Target="https://drive.google.com/file/d/1paprDWmCb7DdDcXTZJGqvG9nJL43q6Pg/view?usp=drive_link" TargetMode="External"/><Relationship Id="rId571" Type="http://schemas.openxmlformats.org/officeDocument/2006/relationships/hyperlink" Target="https://drive.google.com/file/d/1Lta_KdbmMHX1daIBTkUKmajaFQDC4rou/view?usp=drive_link" TargetMode="External"/><Relationship Id="rId592" Type="http://schemas.openxmlformats.org/officeDocument/2006/relationships/hyperlink" Target="https://drive.google.com/file/d/1_lqPhZoIctaPamwjG24-3z_yicnhJyFw/view?usp=sharing" TargetMode="External"/><Relationship Id="rId606" Type="http://schemas.openxmlformats.org/officeDocument/2006/relationships/hyperlink" Target="https://drive.google.com/file/d/1TGyfRow_OktfjhAOBr1Ku6lenbrI2FcC/view?usp=sharing" TargetMode="External"/><Relationship Id="rId627" Type="http://schemas.openxmlformats.org/officeDocument/2006/relationships/hyperlink" Target="https://drive.google.com/file/d/1zfuxwH0DFxBWmOY1p7wcpaq9IdaXFHUR/view?usp=sharing" TargetMode="External"/><Relationship Id="rId19" Type="http://schemas.openxmlformats.org/officeDocument/2006/relationships/hyperlink" Target="https://drive.google.com/file/d/1VPt9YVPLGDvyfgmBQBavEQsiBkXcu-7W/view?usp=drive_link" TargetMode="External"/><Relationship Id="rId224" Type="http://schemas.openxmlformats.org/officeDocument/2006/relationships/hyperlink" Target="https://drive.google.com/file/d/1pHRrmU4pWzjxhibLYc28unczM6gm9a3k/view?usp=drive_link" TargetMode="External"/><Relationship Id="rId245" Type="http://schemas.openxmlformats.org/officeDocument/2006/relationships/hyperlink" Target="https://ueb.edu.vn/Tin-Tuc/UEB/nhung-van-ban-quy-pham-phap-luat-van-ban-cua-dhqghn-lien-quan-den-hoat-dong-cua-truong-thong-bao-thang-8-2025-lan-02/45199" TargetMode="External"/><Relationship Id="rId266" Type="http://schemas.openxmlformats.org/officeDocument/2006/relationships/hyperlink" Target="https://drive.google.com/file/d/1vvTt5Zu6mUKF_Rzwfe1lfKz0-lJ-2ZLb/view?usp=drive_link" TargetMode="External"/><Relationship Id="rId287" Type="http://schemas.openxmlformats.org/officeDocument/2006/relationships/hyperlink" Target="https://ueb.edu.vn/Tin-Tuc/UEB/nhung-van-ban-quy-pham-phap-luat-van-ban-cua-dhqghn-lien-quan-den-hoat-dong-cua-truong-thong-bao-thang-9-2025/45313" TargetMode="External"/><Relationship Id="rId410" Type="http://schemas.openxmlformats.org/officeDocument/2006/relationships/hyperlink" Target="https://drive.google.com/file/d/1KIZ5T8dSQlfttIsdehB_ZCXRO2ygd9F4/view?usp=drive_link" TargetMode="External"/><Relationship Id="rId431" Type="http://schemas.openxmlformats.org/officeDocument/2006/relationships/hyperlink" Target="https://drive.google.com/file/d/1UWG5XACFppz3YHANb3qtt-S2zkDnJvOT/view?usp=drive_link" TargetMode="External"/><Relationship Id="rId452" Type="http://schemas.openxmlformats.org/officeDocument/2006/relationships/hyperlink" Target="https://ueb.edu.vn/Tin-Tuc/UEB/nhung-van-ban-quy-pham-phap-luat-van-ban-cua-dhqghn-lien-quan-den-hoat-dong-cua-truong-thong-bao-thang-11-2025/45605" TargetMode="External"/><Relationship Id="rId473" Type="http://schemas.openxmlformats.org/officeDocument/2006/relationships/hyperlink" Target="https://drive.google.com/file/d/1_tM4MYXaGkV2LcJIpjAjRFac8lCXuFnZ/view?usp=drive_link" TargetMode="External"/><Relationship Id="rId494" Type="http://schemas.openxmlformats.org/officeDocument/2006/relationships/hyperlink" Target="https://ueb.edu.vn/Tin-Tuc/UEB/nhung-van-ban-quy-pham-phap-luat-van-ban-cua-dhqghn-lien-quan-den-hoat-dong-cua-truong-cap-nhat-nua-sau-thang-02-2026/46074" TargetMode="External"/><Relationship Id="rId508" Type="http://schemas.openxmlformats.org/officeDocument/2006/relationships/hyperlink" Target="https://thuvienphapluat.vn/van-ban/Bo-may-hanh-chinh/Nghi-quyet-66-24-2026-NQ-CP-xu-ly-vuong-mac-trong-lap-du-toan-chi-su-nghiep-hoat-dong-khoa-hoc-716642.aspx" TargetMode="External"/><Relationship Id="rId529" Type="http://schemas.openxmlformats.org/officeDocument/2006/relationships/hyperlink" Target="https://ueb.edu.vn/Tin-Tuc/UEB/nhung-van-ban-quy-pham-phap-luat-van-ban-cua-dhqghn-lien-quan-den-hoat-dong-cua-truong-thong-bao-thang-07-2026/46722" TargetMode="External"/><Relationship Id="rId30" Type="http://schemas.openxmlformats.org/officeDocument/2006/relationships/hyperlink" Target="https://drive.google.com/file/d/1GAjLQJNaw8Q3pUA6BE4-07R4a019xYIM/view?usp=drive_link" TargetMode="External"/><Relationship Id="rId105" Type="http://schemas.openxmlformats.org/officeDocument/2006/relationships/hyperlink" Target="https://ueb.edu.vn/Tin-Tuc/UEB/nhung-van-ban-quy-pham-phap-luat-van-ban-cua-dhqghn-lien-quan-den-hoat-dong-cua-truong-cap-nhat-nua-dau-thang-06-2025/44876" TargetMode="External"/><Relationship Id="rId126" Type="http://schemas.openxmlformats.org/officeDocument/2006/relationships/hyperlink" Target="https://drive.google.com/file/d/1vNTXDk-cGF7qkqoGx5c4sOFvxa7xzLhw/view?usp=sharing" TargetMode="External"/><Relationship Id="rId147" Type="http://schemas.openxmlformats.org/officeDocument/2006/relationships/hyperlink" Target="https://ueb.edu.vn/Tin-Tuc/UEB/nhung-van-ban-quy-pham-phap-luat-van-ban-cua-dhqghn-lien-quan-den-hoat-dong-cua-truong-cap-nhat-nua-dau-thang-06-2025/44876" TargetMode="External"/><Relationship Id="rId168" Type="http://schemas.openxmlformats.org/officeDocument/2006/relationships/hyperlink" Target="https://drive.google.com/file/d/1Uznjxt6NbLZffnck2Hu3uGKOZHYVgosB/view?usp=drive_link" TargetMode="External"/><Relationship Id="rId312" Type="http://schemas.openxmlformats.org/officeDocument/2006/relationships/hyperlink" Target="https://drive.google.com/file/d/1vU9aHIKxwKv8jPMhRNOMSlunPDYChR4Q/view?usp=drive_link" TargetMode="External"/><Relationship Id="rId333" Type="http://schemas.openxmlformats.org/officeDocument/2006/relationships/hyperlink" Target="https://drive.google.com/file/d/1F9MmFgALhJ_AthBCXM6xiuSpsy6VXD8q/view?usp=drive_link" TargetMode="External"/><Relationship Id="rId354" Type="http://schemas.openxmlformats.org/officeDocument/2006/relationships/hyperlink" Target="https://drive.google.com/file/d/17wAOx6IS9mv53K_4iXsOdimEeSz7W4K-/view?usp=drive_link" TargetMode="External"/><Relationship Id="rId540" Type="http://schemas.openxmlformats.org/officeDocument/2006/relationships/hyperlink" Target="https://drive.google.com/file/d/1_AgVt7JsOGuLqcZtrTt3uEH_T1vFywou/view?usp=drive_link" TargetMode="External"/><Relationship Id="rId51" Type="http://schemas.openxmlformats.org/officeDocument/2006/relationships/hyperlink" Target="https://drive.google.com/file/d/1gmcI6WR5Nywgf7HNQOwCEkqNCJ7adIJJ/view?usp=drive_link" TargetMode="External"/><Relationship Id="rId72" Type="http://schemas.openxmlformats.org/officeDocument/2006/relationships/hyperlink" Target="https://ueb.edu.vn/Tin-Tuc/UEB/nhung-van-ban-quy-pham-phap-luat-van-ban-cua-dhqghn-lien-quan-den-hoat-dong-cua-truong-cap-nhat-nua-sau-thang-01-2025/43215" TargetMode="External"/><Relationship Id="rId93" Type="http://schemas.openxmlformats.org/officeDocument/2006/relationships/hyperlink" Target="https://ueb.edu.vn/Tin-Tuc/UEB/nhung-van-ban-quy-pham-phap-luat-van-ban-cua-dhqghn-lien-quan-den-hoat-dong-cua-truong-cap-nhat-nua-dau-thang-05-2025/44689" TargetMode="External"/><Relationship Id="rId189" Type="http://schemas.openxmlformats.org/officeDocument/2006/relationships/hyperlink" Target="https://ueb.edu.vn/Tin-Tuc/UEB/nhung-van-ban-quy-pham-phap-luat-van-ban-cua-dhqghn-lien-quan-den-hoat-dong-cua-truong-thong-bao-thang-7-2025-lan-2/45125" TargetMode="External"/><Relationship Id="rId375" Type="http://schemas.openxmlformats.org/officeDocument/2006/relationships/hyperlink" Target="https://drive.google.com/file/d/1LViRiO9vxWBXq6JSCdmGyMNNeTIM8kSA/view?usp=drive_link" TargetMode="External"/><Relationship Id="rId396" Type="http://schemas.openxmlformats.org/officeDocument/2006/relationships/hyperlink" Target="https://drive.google.com/file/d/1NcOuQvhuP3AMVNcLrZQitEmA-rGgVW4D/view?usp=drive_link" TargetMode="External"/><Relationship Id="rId561" Type="http://schemas.openxmlformats.org/officeDocument/2006/relationships/hyperlink" Target="https://drive.google.com/file/d/1kjjK6TR-0sl_kcFbyuLYa9pZ-K75xuJi/view?usp=drive_link" TargetMode="External"/><Relationship Id="rId582" Type="http://schemas.openxmlformats.org/officeDocument/2006/relationships/hyperlink" Target="https://drive.google.com/file/d/1uZncp18trtJyI_Gp65Be97DMVaedZjvw/view?usp=sharing" TargetMode="External"/><Relationship Id="rId617" Type="http://schemas.openxmlformats.org/officeDocument/2006/relationships/hyperlink" Target="https://docs.google.com/document/d/1H41oJJfTQXa26c7HzyMJbs7qKCUWTrqr/edit?usp=sharing&amp;ouid=113271420923416098874&amp;rtpof=true&amp;sd=true" TargetMode="External"/><Relationship Id="rId3" Type="http://schemas.openxmlformats.org/officeDocument/2006/relationships/hyperlink" Target="https://drive.google.com/file/d/1lSMbUT57NTMSctlYrK_vTUeTNBb1ANJI/view?usp=drive_link" TargetMode="External"/><Relationship Id="rId214" Type="http://schemas.openxmlformats.org/officeDocument/2006/relationships/hyperlink" Target="https://drive.google.com/file/d/1JKvLVQv1L71m4Odp9pcrqIFNCeJsVhNK/view?usp=sharing" TargetMode="External"/><Relationship Id="rId235" Type="http://schemas.openxmlformats.org/officeDocument/2006/relationships/hyperlink" Target="https://drive.google.com/file/d/10qp_32mRr4nO3eYh0sVPCHT_VRgtX2T1/view?usp=drive_link" TargetMode="External"/><Relationship Id="rId256" Type="http://schemas.openxmlformats.org/officeDocument/2006/relationships/hyperlink" Target="https://drive.google.com/file/d/1Rs73KmZjtctc7N3zumsuqvLVzKPWzdbS/view?usp=drive_link" TargetMode="External"/><Relationship Id="rId277" Type="http://schemas.openxmlformats.org/officeDocument/2006/relationships/hyperlink" Target="https://drive.google.com/file/d/1w2jGFnKVE0bIo2lrOAnwlEnt4rxrGTyE/view?usp=sharing" TargetMode="External"/><Relationship Id="rId298" Type="http://schemas.openxmlformats.org/officeDocument/2006/relationships/hyperlink" Target="https://drive.google.com/file/d/11SJ87qK1LuEi_NyKNGqKqR23DefPGNI_/view?usp=drive_link" TargetMode="External"/><Relationship Id="rId400" Type="http://schemas.openxmlformats.org/officeDocument/2006/relationships/hyperlink" Target="https://drive.google.com/file/d/1uomNcCcdS9SeOh1eph9SxYgcHOWzKFpv/view?usp=drive_link" TargetMode="External"/><Relationship Id="rId421" Type="http://schemas.openxmlformats.org/officeDocument/2006/relationships/hyperlink" Target="https://ueb.edu.vn/Tin-Tuc/UEB/nhung-van-ban-quy-pham-phap-luat-van-ban-cua-dhqghn-lien-quan-den-hoat-dong-cua-truong-thong-bao-thang-10-2025/45507" TargetMode="External"/><Relationship Id="rId442" Type="http://schemas.openxmlformats.org/officeDocument/2006/relationships/hyperlink" Target="https://ueb.edu.vn/Tin-Tuc/UEB/nhung-van-ban-quy-pham-phap-luat-van-ban-cua-dhqghn-lien-quan-den-hoat-dong-cua-truong-thong-bao-thang-11-2025/45605" TargetMode="External"/><Relationship Id="rId463" Type="http://schemas.openxmlformats.org/officeDocument/2006/relationships/hyperlink" Target="https://drive.google.com/file/d/1qoxELdz_iCK_5bLAMiW7kCL_ij6uFYS3/view?usp=drive_link" TargetMode="External"/><Relationship Id="rId484" Type="http://schemas.openxmlformats.org/officeDocument/2006/relationships/hyperlink" Target="https://drive.google.com/file/d/11kR5qNicYGgmEF-Z4nzK6pP5fDInPVRd/view?usp=drive_link" TargetMode="External"/><Relationship Id="rId519" Type="http://schemas.openxmlformats.org/officeDocument/2006/relationships/hyperlink" Target="https://ueb.edu.vn/Tin-Tuc/UEB/nhung-van-ban-quy-pham-phap-luat-van-ban-cua-dhqghn-lien-quan-den-hoat-dong-cua-truong-thong-bao-thang-07-2026/46722" TargetMode="External"/><Relationship Id="rId116" Type="http://schemas.openxmlformats.org/officeDocument/2006/relationships/hyperlink" Target="https://drive.google.com/file/d/1jEQxpi1ipljjSmpcf4Fl_mwrpXVEXgyy/view?usp=sharing" TargetMode="External"/><Relationship Id="rId137" Type="http://schemas.openxmlformats.org/officeDocument/2006/relationships/hyperlink" Target="https://ueb.edu.vn/Tin-Tuc/UEB/nhung-van-ban-quy-pham-phap-luat-van-ban-cua-dhqghn-lien-quan-den-hoat-dong-cua-truong-cap-nhat-nua-dau-thang-06-2025/44876" TargetMode="External"/><Relationship Id="rId158" Type="http://schemas.openxmlformats.org/officeDocument/2006/relationships/hyperlink" Target="https://drive.google.com/file/d/1vuwoGfFG9ceaiwb9VRopg-iZXDcMfsGe/view?usp=drive_link" TargetMode="External"/><Relationship Id="rId302" Type="http://schemas.openxmlformats.org/officeDocument/2006/relationships/hyperlink" Target="http://112.137.137.72:8080/browse/TTPC-4017?jql=project%20%3D%20TTPC%20AND%20status%20%3D%20%22In%20Progress%22" TargetMode="External"/><Relationship Id="rId323" Type="http://schemas.openxmlformats.org/officeDocument/2006/relationships/hyperlink" Target="https://drive.google.com/file/d/1yKz-qz38CDeog-ISR4T0_sDVcku_uD7_/view?usp=drive_link" TargetMode="External"/><Relationship Id="rId344" Type="http://schemas.openxmlformats.org/officeDocument/2006/relationships/hyperlink" Target="https://drive.google.com/file/d/1mUvqmik_JqVMSI2DnpwyLV4u9FPRNZq3/view?usp=drive_link" TargetMode="External"/><Relationship Id="rId530" Type="http://schemas.openxmlformats.org/officeDocument/2006/relationships/hyperlink" Target="https://ueb.edu.vn/Tin-Tuc/UEB/nhung-van-ban-quy-pham-phap-luat-van-ban-cua-dhqghn-lien-quan-den-hoat-dong-cua-truong-thong-bao-thang-07-2026/46722" TargetMode="External"/><Relationship Id="rId20" Type="http://schemas.openxmlformats.org/officeDocument/2006/relationships/hyperlink" Target="https://drive.google.com/file/d/1ePRVN0gRjUBLJ0O1c4Xqn2j-KGyNq9wH/view?usp=drive_link" TargetMode="External"/><Relationship Id="rId41" Type="http://schemas.openxmlformats.org/officeDocument/2006/relationships/hyperlink" Target="https://drive.google.com/file/d/1bAMVvijkXLPAstpXQhPjdEIyTJChQCwH/view?usp=drive_link" TargetMode="External"/><Relationship Id="rId62" Type="http://schemas.openxmlformats.org/officeDocument/2006/relationships/hyperlink" Target="https://drive.google.com/file/d/1I-n5BKkoPYHtKsI1JUHYAWm1tYBLXijL/view?usp=sharing" TargetMode="External"/><Relationship Id="rId83" Type="http://schemas.openxmlformats.org/officeDocument/2006/relationships/hyperlink" Target="https://ueb.edu.vn/Tin-Tuc/UEB/nhung-van-ban-quy-pham-phap-luat-van-ban-cua-dhqghn-lien-quan-den-hoat-dong-cua-truong-cap-nhat-nua-dau-thang-04-2025/44532" TargetMode="External"/><Relationship Id="rId179" Type="http://schemas.openxmlformats.org/officeDocument/2006/relationships/hyperlink" Target="https://drive.google.com/file/d/1XktW_ZkhpEtz0OpdIpRItV3oJzkKtzDm/view?usp=drive_link" TargetMode="External"/><Relationship Id="rId365" Type="http://schemas.openxmlformats.org/officeDocument/2006/relationships/hyperlink" Target="https://drive.google.com/file/d/17i3s-qL1QFU4e6Nd1hADO0MWIHXmSRiL/view?usp=sharing" TargetMode="External"/><Relationship Id="rId386" Type="http://schemas.openxmlformats.org/officeDocument/2006/relationships/hyperlink" Target="https://drive.google.com/file/d/1AzqUZnpL-a8Qgxl8Ayr0ksDeqP0cwty2/view?usp=drive_link" TargetMode="External"/><Relationship Id="rId551" Type="http://schemas.openxmlformats.org/officeDocument/2006/relationships/hyperlink" Target="https://drive.google.com/file/d/1cQvGkzBB1Rt0djehyfI3vAode5tyGQek/view?usp=drive_link" TargetMode="External"/><Relationship Id="rId572" Type="http://schemas.openxmlformats.org/officeDocument/2006/relationships/hyperlink" Target="https://drive.google.com/file/d/1rK4KoDCFmV4AZ3wwsPuMaz-q9RuBU_i0/view?usp=drive_link" TargetMode="External"/><Relationship Id="rId593" Type="http://schemas.openxmlformats.org/officeDocument/2006/relationships/hyperlink" Target="https://drive.google.com/file/d/1huKTXLyGvrL2UByqyggAzciwwG27R5HL/view?usp=sharing" TargetMode="External"/><Relationship Id="rId607" Type="http://schemas.openxmlformats.org/officeDocument/2006/relationships/hyperlink" Target="https://drive.google.com/file/d/10UiQFEhmrk5o6IdyKVvMARXQwGM3j1At/view?usp=sharing" TargetMode="External"/><Relationship Id="rId628" Type="http://schemas.openxmlformats.org/officeDocument/2006/relationships/hyperlink" Target="https://drive.google.com/file/d/150ic9JenGzESGKH1r_EyWd4_ryqM1FwJ/view?usp=sharing" TargetMode="External"/><Relationship Id="rId190" Type="http://schemas.openxmlformats.org/officeDocument/2006/relationships/hyperlink" Target="https://drive.google.com/file/d/143hTpUkNktFQonapGDPScewHHCSrU56M/view?usp=drive_link" TargetMode="External"/><Relationship Id="rId204" Type="http://schemas.openxmlformats.org/officeDocument/2006/relationships/hyperlink" Target="https://drive.google.com/file/d/1RhqvrjBx0Je1vbZgP-iMwZ0L3Ymp0sgl/view?usp=drive_link" TargetMode="External"/><Relationship Id="rId225" Type="http://schemas.openxmlformats.org/officeDocument/2006/relationships/hyperlink" Target="https://ueb.edu.vn/Tin-Tuc/UEB/nhung-van-ban-quy-pham-phap-luat-van-ban-cua-dhqghn-lien-quan-den-hoat-dong-cua-truong-thong-bao-thang-8-2025/45153" TargetMode="External"/><Relationship Id="rId246" Type="http://schemas.openxmlformats.org/officeDocument/2006/relationships/hyperlink" Target="https://drive.google.com/file/d/1hkHGu2zAz2I0sB3AQW8WIhRJfEI31XOk/view?usp=drive_link" TargetMode="External"/><Relationship Id="rId267" Type="http://schemas.openxmlformats.org/officeDocument/2006/relationships/hyperlink" Target="https://ueb.edu.vn/Tin-Tuc/UEB/nhung-van-ban-quy-pham-phap-luat-van-ban-cua-dhqghn-lien-quan-den-hoat-dong-cua-truong-thong-bao-thang-9-2025-lan-1/45231" TargetMode="External"/><Relationship Id="rId288" Type="http://schemas.openxmlformats.org/officeDocument/2006/relationships/hyperlink" Target="https://ueb.edu.vn/Tin-Tuc/UEB/nhung-van-ban-quy-pham-phap-luat-van-ban-cua-dhqghn-lien-quan-den-hoat-dong-cua-truong-thong-bao-thang-9-2025/45313" TargetMode="External"/><Relationship Id="rId411" Type="http://schemas.openxmlformats.org/officeDocument/2006/relationships/hyperlink" Target="https://drive.google.com/file/d/1imGxQ3vwRU_GrdFJ-4ZzTqsMnTWOffFY/view?usp=drive_link" TargetMode="External"/><Relationship Id="rId432" Type="http://schemas.openxmlformats.org/officeDocument/2006/relationships/hyperlink" Target="https://drive.google.com/file/d/1VnMpbKUY1Ccv-UvL-yOR0Mp5dBy_BAIz/view?usp=drive_link" TargetMode="External"/><Relationship Id="rId453" Type="http://schemas.openxmlformats.org/officeDocument/2006/relationships/hyperlink" Target="https://drive.google.com/file/d/1lXFT-JVMyOZlDiR-4lw1D1htZyLQgPgB/view?usp=drive_link" TargetMode="External"/><Relationship Id="rId474" Type="http://schemas.openxmlformats.org/officeDocument/2006/relationships/hyperlink" Target="https://drive.google.com/file/d/1lvaIqbC0pPldUnPRsntR715NaaiLHr1M/view?usp=drive_link" TargetMode="External"/><Relationship Id="rId509" Type="http://schemas.openxmlformats.org/officeDocument/2006/relationships/hyperlink" Target="https://ueb.edu.vn/Tin-Tuc/UEB/nhung-van-ban-quy-pham-phap-luat-van-ban-cua-dhqghn-lien-quan-den-hoat-dong-cua-truong-thong-bao-thang-08-2026/46853" TargetMode="External"/><Relationship Id="rId106" Type="http://schemas.openxmlformats.org/officeDocument/2006/relationships/hyperlink" Target="https://drive.google.com/file/d/16a3omebXDWwZL3HI9Uk0qIXlD5CxjvZt/view?usp=drive_link" TargetMode="External"/><Relationship Id="rId127" Type="http://schemas.openxmlformats.org/officeDocument/2006/relationships/hyperlink" Target="https://ueb.edu.vn/Tin-Tuc/UEB/toan-van-28-nghi-dinh-ve-phan-quyen-phan-cap;-phan-dinh-tham-quyen-giua-chinh-phu-va-chinh-quyen-dia-phuong-2-cap-lan-2/44988" TargetMode="External"/><Relationship Id="rId313" Type="http://schemas.openxmlformats.org/officeDocument/2006/relationships/hyperlink" Target="https://drive.google.com/file/d/1Kwo9ZMrDf75p5afqmW1AGQxxeopA13Wz/view?usp=drive_link" TargetMode="External"/><Relationship Id="rId495" Type="http://schemas.openxmlformats.org/officeDocument/2006/relationships/hyperlink" Target="https://ueb.edu.vn/Tin-Tuc/UEB/nhung-van-ban-quy-pham-phap-luat-van-ban-cua-dhqghn-lien-quan-den-hoat-dong-cua-truong-cap-nhat-nua-sau-thang-02-2026/46074" TargetMode="External"/><Relationship Id="rId10" Type="http://schemas.openxmlformats.org/officeDocument/2006/relationships/hyperlink" Target="https://drive.google.com/file/d/1AKi4dhOu0OvOfNIwIDI5Rthap-Q2J5Er/view?usp=drive_link" TargetMode="External"/><Relationship Id="rId31" Type="http://schemas.openxmlformats.org/officeDocument/2006/relationships/hyperlink" Target="https://drive.google.com/file/d/1KLl6RFxlzcpkv1hG4b-AzJ24EkwMD9NZ/view?usp=drive_link" TargetMode="External"/><Relationship Id="rId52" Type="http://schemas.openxmlformats.org/officeDocument/2006/relationships/hyperlink" Target="https://drive.google.com/file/d/1OOISZympsQiZHRWZ2aj4mVO_sZnuKpYc/view?usp=sharing" TargetMode="External"/><Relationship Id="rId73" Type="http://schemas.openxmlformats.org/officeDocument/2006/relationships/hyperlink" Target="https://ueb.edu.vn/Tin-Tuc/UEB/nhung-van-ban-quy-pham-phap-luat-van-ban-cua-dhqghn-lien-quan-den-hoat-dong-cua-truong-cap-nhat-nua-dau-thang-02-2025/43263" TargetMode="External"/><Relationship Id="rId94" Type="http://schemas.openxmlformats.org/officeDocument/2006/relationships/hyperlink" Target="https://ueb.edu.vn/Tin-Tuc/UEB/nhung-van-ban-quy-pham-phap-luat-van-ban-cua-dhqghn-lien-quan-den-hoat-dong-cua-truong-cap-nhat-nua-dau-thang-05-2025/44689" TargetMode="External"/><Relationship Id="rId148" Type="http://schemas.openxmlformats.org/officeDocument/2006/relationships/hyperlink" Target="https://drive.google.com/file/d/1SAdaKJ4ki0beGBIu6Gpp8x-82Ah1rnU3/view?usp=sharing" TargetMode="External"/><Relationship Id="rId169" Type="http://schemas.openxmlformats.org/officeDocument/2006/relationships/hyperlink" Target="https://ueb.edu.vn/Tin-Tuc/UEB/nhung-van-ban-quy-pham-phap-luat-van-ban-cua-dhqghn-lien-quan-den-hoat-dong-cua-truong-cap-nhat-nua-dau-thang-06-2025/44876" TargetMode="External"/><Relationship Id="rId334" Type="http://schemas.openxmlformats.org/officeDocument/2006/relationships/hyperlink" Target="https://drive.google.com/file/d/1to5HgLWKG7TNvEByZDhdA_9t0LlOWNBh/view?usp=drive_link" TargetMode="External"/><Relationship Id="rId355" Type="http://schemas.openxmlformats.org/officeDocument/2006/relationships/hyperlink" Target="https://drive.google.com/file/d/1YLxcdxH7ULdBSnyZpAfED7S51WBS3bGP/view?usp=drive_link" TargetMode="External"/><Relationship Id="rId376" Type="http://schemas.openxmlformats.org/officeDocument/2006/relationships/hyperlink" Target="https://drive.google.com/file/d/1RqZuAzZrMj2MeJgfwZ33CpYEdwboZQwo/view?usp=drive_link" TargetMode="External"/><Relationship Id="rId397" Type="http://schemas.openxmlformats.org/officeDocument/2006/relationships/hyperlink" Target="https://drive.google.com/file/d/1gL5ZdLAhfm-pouiJEjO7_hIfbD6wtZXf/view?usp=drive_link" TargetMode="External"/><Relationship Id="rId520" Type="http://schemas.openxmlformats.org/officeDocument/2006/relationships/hyperlink" Target="https://ueb.edu.vn/Tin-Tuc/UEB/nhung-van-ban-quy-pham-phap-luat-van-ban-cua-dhqghn-lien-quan-den-hoat-dong-cua-truong-thong-bao-thang-07-2026/46722" TargetMode="External"/><Relationship Id="rId541" Type="http://schemas.openxmlformats.org/officeDocument/2006/relationships/hyperlink" Target="https://drive.google.com/file/d/1ydqIqpfHUFrCYiiOZc-Abgq0Y0fcy0_h/view?usp=drive_link" TargetMode="External"/><Relationship Id="rId562" Type="http://schemas.openxmlformats.org/officeDocument/2006/relationships/hyperlink" Target="https://drive.google.com/file/d/13wehm_PKAX6AEF8veYtDXwRFU2b7BFm1/view?usp=drive_link" TargetMode="External"/><Relationship Id="rId583" Type="http://schemas.openxmlformats.org/officeDocument/2006/relationships/hyperlink" Target="https://drive.google.com/file/d/17R2vtYf-XpwT4RMjfAVONlurCnJHVNnd/view?usp=sharing" TargetMode="External"/><Relationship Id="rId618" Type="http://schemas.openxmlformats.org/officeDocument/2006/relationships/hyperlink" Target="https://drive.google.com/file/d/19DYOIuNB9GoY6VoLpZfwqzEBvtzHi-XI/view?usp=sharing" TargetMode="External"/><Relationship Id="rId4" Type="http://schemas.openxmlformats.org/officeDocument/2006/relationships/hyperlink" Target="https://drive.google.com/file/d/1PfezqSxGyugRz4U0pbQ5jbq9d2brYfQx/view?usp=drive_link" TargetMode="External"/><Relationship Id="rId180" Type="http://schemas.openxmlformats.org/officeDocument/2006/relationships/hyperlink" Target="https://ueb.edu.vn/Tin-Tuc/UEB/so-sanh-diem-moi-cua-nghi-dinh-155-2025-nd-cp-va-nghi-dinh-152-2017-nd-cp-ve-quy-dinh-tieu-chuan-dinh-muc-su-dung-tru-so-lam-viec-co-so-hoat-dong-su-nghiep/45043" TargetMode="External"/><Relationship Id="rId215" Type="http://schemas.openxmlformats.org/officeDocument/2006/relationships/hyperlink" Target="https://ueb.edu.vn/Tin-Tuc/UEB/nhung-van-ban-quy-pham-phap-luat-van-ban-cua-dhqghn-lien-quan-den-hoat-dong-cua-truong-thong-bao-thang-8-2025/45153" TargetMode="External"/><Relationship Id="rId236" Type="http://schemas.openxmlformats.org/officeDocument/2006/relationships/hyperlink" Target="https://ueb.edu.vn/Tin-Tuc/UEB/nhung-van-ban-quy-pham-phap-luat-van-ban-cua-dhqghn-lien-quan-den-hoat-dong-cua-truong-thong-bao-thang-8-2025-lan-02/45199" TargetMode="External"/><Relationship Id="rId257" Type="http://schemas.openxmlformats.org/officeDocument/2006/relationships/hyperlink" Target="https://ueb.edu.vn/Tin-Tuc/UEB/nhung-van-ban-quy-pham-phap-luat-van-ban-cua-dhqghn-lien-quan-den-hoat-dong-cua-truong-thong-bao-thang-9-2025-lan-1/45231" TargetMode="External"/><Relationship Id="rId278" Type="http://schemas.openxmlformats.org/officeDocument/2006/relationships/hyperlink" Target="https://drive.google.com/file/d/1MrSrTB-mZvuczlG7VbJlNChE37xro92s/view?usp=drive_link" TargetMode="External"/><Relationship Id="rId401" Type="http://schemas.openxmlformats.org/officeDocument/2006/relationships/hyperlink" Target="https://drive.google.com/file/d/1s6DHcQvua-sFJ9VKOBrR2cHQxqwSDsD2/view?usp=drive_link" TargetMode="External"/><Relationship Id="rId422" Type="http://schemas.openxmlformats.org/officeDocument/2006/relationships/hyperlink" Target="https://ueb.edu.vn/Tin-Tuc/UEB/nhung-van-ban-quy-pham-phap-luat-van-ban-cua-dhqghn-lien-quan-den-hoat-dong-cua-truong-thong-bao-thang-10-2025/45507" TargetMode="External"/><Relationship Id="rId443" Type="http://schemas.openxmlformats.org/officeDocument/2006/relationships/hyperlink" Target="https://drive.google.com/file/d/1pOVDu4iWI3XvdtetEyyBayvrBbfTJylT/view?usp=drive_link" TargetMode="External"/><Relationship Id="rId464" Type="http://schemas.openxmlformats.org/officeDocument/2006/relationships/hyperlink" Target="https://drive.google.com/file/d/1b0PE2dezWUMCzWE-8x4kNfB_2SH1wB4p/view?usp=drive_link" TargetMode="External"/><Relationship Id="rId303" Type="http://schemas.openxmlformats.org/officeDocument/2006/relationships/hyperlink" Target="https://drive.google.com/file/d/1osle-BkcHJvHJKGgmcDClA3EJsNHmuYh/view?usp=drive_link" TargetMode="External"/><Relationship Id="rId485" Type="http://schemas.openxmlformats.org/officeDocument/2006/relationships/hyperlink" Target="https://drive.google.com/file/d/1BB5GXww5ehXbwkv_tqjgao5n4pQKKaI_/view?usp=drive_link" TargetMode="External"/><Relationship Id="rId42" Type="http://schemas.openxmlformats.org/officeDocument/2006/relationships/hyperlink" Target="https://drive.google.com/file/d/1CZ-f8JJHA_pD9UnT1afNTgS2ljRfFfCi/view?usp=drive_link" TargetMode="External"/><Relationship Id="rId84" Type="http://schemas.openxmlformats.org/officeDocument/2006/relationships/hyperlink" Target="https://ueb.edu.vn/Tin-Tuc/UEB/nhung-van-ban-quy-pham-phap-luat-van-ban-cua-dhqghn-lien-quan-den-hoat-dong-cua-truong-cap-nhat-nua-dau-thang-04-2025/44532" TargetMode="External"/><Relationship Id="rId138" Type="http://schemas.openxmlformats.org/officeDocument/2006/relationships/hyperlink" Target="https://drive.google.com/file/d/11DU9lTxhCEenTAXBLUCj--yGWVb6tKop/view?usp=sharing" TargetMode="External"/><Relationship Id="rId345" Type="http://schemas.openxmlformats.org/officeDocument/2006/relationships/hyperlink" Target="https://drive.google.com/file/d/1XNAyC2pKeOgFk_B2toa3QLgN04UBL0wI/view?usp=drive_link" TargetMode="External"/><Relationship Id="rId387" Type="http://schemas.openxmlformats.org/officeDocument/2006/relationships/hyperlink" Target="https://drive.google.com/file/d/1FboiH6ZCZP9BnixbWTRCRB4PSQpfP_Aj/view?usp=sharing" TargetMode="External"/><Relationship Id="rId510" Type="http://schemas.openxmlformats.org/officeDocument/2006/relationships/hyperlink" Target="https://ueb.edu.vn/Tin-Tuc/UEB/nhung-van-ban-quy-pham-phap-luat-van-ban-cua-dhqghn-lien-quan-den-hoat-dong-cua-truong-thong-bao-thang-08-2026/46853" TargetMode="External"/><Relationship Id="rId552" Type="http://schemas.openxmlformats.org/officeDocument/2006/relationships/hyperlink" Target="https://drive.google.com/file/d/1Q39DKDlb-25QLWt5cwSj4j64Z686unF7/view?usp=drive_link" TargetMode="External"/><Relationship Id="rId594" Type="http://schemas.openxmlformats.org/officeDocument/2006/relationships/hyperlink" Target="https://drive.google.com/file/d/13RLI4J3_1QIlQdqqAA8kX-IKhHdHQPiW/view?usp=sharing" TargetMode="External"/><Relationship Id="rId608" Type="http://schemas.openxmlformats.org/officeDocument/2006/relationships/hyperlink" Target="https://drive.google.com/file/d/10bhrZxjZtQipcWIuV5kbvHYy2lEYHmZ4/view?usp=sharing" TargetMode="External"/><Relationship Id="rId191" Type="http://schemas.openxmlformats.org/officeDocument/2006/relationships/hyperlink" Target="https://ueb.edu.vn/Tin-Tuc/UEB/nhung-van-ban-quy-pham-phap-luat-van-ban-cua-dhqghn-lien-quan-den-hoat-dong-cua-truong-thong-bao-thang-7-2025-lan-2/45125" TargetMode="External"/><Relationship Id="rId205" Type="http://schemas.openxmlformats.org/officeDocument/2006/relationships/hyperlink" Target="https://ueb.edu.vn/Tin-Tuc/UEB/nhung-van-ban-quy-pham-phap-luat-van-ban-cua-dhqghn-lien-quan-den-hoat-dong-cua-truong-thong-bao-thang-7-2025-lan-2/45125" TargetMode="External"/><Relationship Id="rId247" Type="http://schemas.openxmlformats.org/officeDocument/2006/relationships/hyperlink" Target="https://ueb.edu.vn/Tin-Tuc/UEB/nhung-van-ban-quy-pham-phap-luat-van-ban-cua-dhqghn-lien-quan-den-hoat-dong-cua-truong-thong-bao-thang-8-2025-lan-02/45199" TargetMode="External"/><Relationship Id="rId412" Type="http://schemas.openxmlformats.org/officeDocument/2006/relationships/hyperlink" Target="https://drive.google.com/file/d/13Yl2QLaHo7wWp6OFd3O3iKv7BwiCJtkY/view?usp=drive_link" TargetMode="External"/><Relationship Id="rId107" Type="http://schemas.openxmlformats.org/officeDocument/2006/relationships/hyperlink" Target="https://ueb.edu.vn/Tin-Tuc/UEB/nhung-van-ban-quy-pham-phap-luat-van-ban-cua-dhqghn-lien-quan-den-hoat-dong-cua-truong-cap-nhat-nua-dau-thang-06-2025/44876" TargetMode="External"/><Relationship Id="rId289" Type="http://schemas.openxmlformats.org/officeDocument/2006/relationships/hyperlink" Target="https://drive.google.com/file/d/1nT1WtY9j-wqhRmCLgi3IK86g7Sr9N6ja/view?usp=drive_link" TargetMode="External"/><Relationship Id="rId454" Type="http://schemas.openxmlformats.org/officeDocument/2006/relationships/hyperlink" Target="https://ueb.edu.vn/Tin-Tuc/UEB/nhung-van-ban-quy-pham-phap-luat-van-ban-cua-dhqghn-lien-quan-den-hoat-dong-cua-truong-thong-bao-thang-11-2025/45605" TargetMode="External"/><Relationship Id="rId496" Type="http://schemas.openxmlformats.org/officeDocument/2006/relationships/hyperlink" Target="https://ueb.edu.vn/Tin-Tuc/UEB/nhung-van-ban-quy-pham-phap-luat-van-ban-cua-dhqghn-lien-quan-den-hoat-dong-cua-truong-cap-nhat-nua-dau-thang-03-2026/46136" TargetMode="External"/><Relationship Id="rId11" Type="http://schemas.openxmlformats.org/officeDocument/2006/relationships/hyperlink" Target="https://drive.google.com/file/d/1i0hudepYD0YN_8xqM9AYMB9MpM48fG8_/view?usp=drive_link" TargetMode="External"/><Relationship Id="rId53" Type="http://schemas.openxmlformats.org/officeDocument/2006/relationships/hyperlink" Target="https://drive.google.com/file/d/1Fy3SmAG7sAKtFoVyj2V0OpHJxOgTDvTa/view?usp=sharing" TargetMode="External"/><Relationship Id="rId149" Type="http://schemas.openxmlformats.org/officeDocument/2006/relationships/hyperlink" Target="https://ueb.edu.vn/Tin-Tuc/UEB/nhung-van-ban-quy-pham-phap-luat-van-ban-cua-dhqghn-lien-quan-den-hoat-dong-cua-truong-cap-nhat-nua-dau-thang-06-2025/44876" TargetMode="External"/><Relationship Id="rId314" Type="http://schemas.openxmlformats.org/officeDocument/2006/relationships/hyperlink" Target="https://drive.google.com/file/d/1UKiYniWcRaF6CCG2UyqvYrxS4YSWbZKS/view?usp=drive_link" TargetMode="External"/><Relationship Id="rId356" Type="http://schemas.openxmlformats.org/officeDocument/2006/relationships/hyperlink" Target="https://drive.google.com/file/d/1UP1DnneQkp2y0OnaCQE3Vm3M4efE3s4N/view?usp=drive_link" TargetMode="External"/><Relationship Id="rId398" Type="http://schemas.openxmlformats.org/officeDocument/2006/relationships/hyperlink" Target="https://drive.google.com/file/d/15pihL2oab93DY5MZWtQ9-vLLfwi_jDBH/view?usp=drive_link" TargetMode="External"/><Relationship Id="rId521" Type="http://schemas.openxmlformats.org/officeDocument/2006/relationships/hyperlink" Target="https://ueb.edu.vn/Tin-Tuc/UEB/nhung-van-ban-quy-pham-phap-luat-van-ban-cua-dhqghn-lien-quan-den-hoat-dong-cua-truong-thong-bao-thang-07-2026/46722" TargetMode="External"/><Relationship Id="rId563" Type="http://schemas.openxmlformats.org/officeDocument/2006/relationships/hyperlink" Target="https://drive.google.com/file/d/1z910oriIUp3AyVppDOZlEtpeyJ-pGLYH/view?usp=drive_link" TargetMode="External"/><Relationship Id="rId619" Type="http://schemas.openxmlformats.org/officeDocument/2006/relationships/hyperlink" Target="https://drive.google.com/file/d/1B0ijCCGmpcWjzuTRDcfJQMfXLNHNTn5H/view?usp=sharing" TargetMode="External"/><Relationship Id="rId95" Type="http://schemas.openxmlformats.org/officeDocument/2006/relationships/hyperlink" Target="https://docs.google.com/document/d/13fVACXqu0RtleLdZjtd95aUwuIW4X6ME/edit" TargetMode="External"/><Relationship Id="rId160" Type="http://schemas.openxmlformats.org/officeDocument/2006/relationships/hyperlink" Target="https://drive.google.com/file/d/1c0fgxFvQcWjoIcN7rhrFlkBo6564CLSH/view?usp=drive_link" TargetMode="External"/><Relationship Id="rId216" Type="http://schemas.openxmlformats.org/officeDocument/2006/relationships/hyperlink" Target="https://drive.google.com/file/d/1J5YHTqurqujU9R9kfneCvFIfkNu24q9H/view?usp=sharing" TargetMode="External"/><Relationship Id="rId423" Type="http://schemas.openxmlformats.org/officeDocument/2006/relationships/hyperlink" Target="https://ueb.edu.vn/Tin-Tuc/UEB/nhung-van-ban-quy-pham-phap-luat-van-ban-cua-dhqghn-lien-quan-den-hoat-dong-cua-truong-thong-bao-thang-11-2025/45605" TargetMode="External"/><Relationship Id="rId258" Type="http://schemas.openxmlformats.org/officeDocument/2006/relationships/hyperlink" Target="https://drive.google.com/file/d/1aGCL_jp2eHZW7-51sokWH2rv5yfh4ALs/view?usp=drive_link" TargetMode="External"/><Relationship Id="rId465" Type="http://schemas.openxmlformats.org/officeDocument/2006/relationships/hyperlink" Target="https://drive.google.com/file/d/14aSaffDi0ZoCiZl-N1DEzkUs8f6uAR0m/view?usp=drive_link" TargetMode="External"/><Relationship Id="rId630" Type="http://schemas.openxmlformats.org/officeDocument/2006/relationships/hyperlink" Target="https://drive.google.com/file/d/1YffboEnoulp0B5e42wPCnOBQVO4vP4zB/view?usp=sharing" TargetMode="External"/><Relationship Id="rId22" Type="http://schemas.openxmlformats.org/officeDocument/2006/relationships/hyperlink" Target="https://drive.google.com/file/d/1MA9XmVwzwsFQUdxFNEaCWmOq2f6OL2k6/view?usp=drive_link" TargetMode="External"/><Relationship Id="rId64" Type="http://schemas.openxmlformats.org/officeDocument/2006/relationships/hyperlink" Target="https://drive.google.com/file/d/1b4QUH7LhbcM-hY2JwaMjU6e9eAtGZaNX/view?usp=drive_link" TargetMode="External"/><Relationship Id="rId118" Type="http://schemas.openxmlformats.org/officeDocument/2006/relationships/hyperlink" Target="https://drive.google.com/file/d/1RPzGCZSrmeZbH_pXFy678uLRuRG4u3eF/view?usp=drive_link" TargetMode="External"/><Relationship Id="rId325" Type="http://schemas.openxmlformats.org/officeDocument/2006/relationships/hyperlink" Target="https://drive.google.com/file/d/1kwUlG3l8msCtO4fFJwGlrkUCUZYgX084/view?usp=drive_link" TargetMode="External"/><Relationship Id="rId367" Type="http://schemas.openxmlformats.org/officeDocument/2006/relationships/hyperlink" Target="https://drive.google.com/file/d/10QiFrC-z4Y7rpdvKxpICgOU1CeygmB6N/view?usp=drive_link" TargetMode="External"/><Relationship Id="rId532" Type="http://schemas.openxmlformats.org/officeDocument/2006/relationships/hyperlink" Target="https://ueb.edu.vn/Tin-Tuc/UEB/nhung-van-ban-quy-pham-phap-luat-van-ban-cua-dhqghn-lien-quan-den-hoat-dong-cua-truong-thong-bao-thang-07-2026/46722" TargetMode="External"/><Relationship Id="rId574" Type="http://schemas.openxmlformats.org/officeDocument/2006/relationships/hyperlink" Target="https://drive.google.com/file/d/1dszE0ukaBD6Ub8ZrUQOQv2GlZnzKNNjq/view?usp=drive_link" TargetMode="External"/><Relationship Id="rId171"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227" Type="http://schemas.openxmlformats.org/officeDocument/2006/relationships/hyperlink" Target="https://ueb.edu.vn/Tin-Tuc/UEB/nhung-van-ban-quy-pham-phap-luat-van-ban-cua-dhqghn-lien-quan-den-hoat-dong-cua-truong-thong-bao-thang-8-2025/45153" TargetMode="External"/><Relationship Id="rId269" Type="http://schemas.openxmlformats.org/officeDocument/2006/relationships/hyperlink" Target="https://ueb.edu.vn/Tin-Tuc/UEB/nhung-van-ban-quy-pham-phap-luat-van-ban-cua-dhqghn-lien-quan-den-hoat-dong-cua-truong-thong-bao-thang-9-2025-lan-1/45231" TargetMode="External"/><Relationship Id="rId434" Type="http://schemas.openxmlformats.org/officeDocument/2006/relationships/hyperlink" Target="https://drive.google.com/file/d/1D5snZy49BDEP1wD14j2B6nw_KUh-e3YJ/view?usp=drive_link" TargetMode="External"/><Relationship Id="rId476" Type="http://schemas.openxmlformats.org/officeDocument/2006/relationships/hyperlink" Target="https://drive.google.com/file/d/1TkDlHngg9V_oH0IVnyHKd_czK86fXI7h/view?usp=sharing" TargetMode="External"/><Relationship Id="rId33" Type="http://schemas.openxmlformats.org/officeDocument/2006/relationships/hyperlink" Target="https://drive.google.com/file/d/1Ngf0OpJjvipSCIk6JthIv4wZyxBdSmoD/view?usp=drive_link" TargetMode="External"/><Relationship Id="rId129" Type="http://schemas.openxmlformats.org/officeDocument/2006/relationships/hyperlink" Target="https://ueb.edu.vn/Tin-Tuc/UEB/toan-van-28-nghi-dinh-ve-phan-quyen-phan-cap;-phan-dinh-tham-quyen-giua-chinh-phu-va-chinh-quyen-dia-phuong-2-cap-lan-2/44988" TargetMode="External"/><Relationship Id="rId280" Type="http://schemas.openxmlformats.org/officeDocument/2006/relationships/hyperlink" Target="https://drive.google.com/file/d/1qgqxWpDw2NXXTTHvkkEbTEi01tDWyVg5/view?usp=drive_link" TargetMode="External"/><Relationship Id="rId336" Type="http://schemas.openxmlformats.org/officeDocument/2006/relationships/hyperlink" Target="https://drive.google.com/file/d/11miEG13cimRL6qe_BeAxMAW7LXT17V1f/view?usp=drive_link" TargetMode="External"/><Relationship Id="rId501" Type="http://schemas.openxmlformats.org/officeDocument/2006/relationships/hyperlink" Target="https://ueb.edu.vn/Tin-Tuc/UEB/nhung-van-ban-quy-pham-phap-luat-van-ban-cua-dhqghn-lien-quan-den-hoat-dong-cua-truong-thong-bao-thang-4-2026/46311" TargetMode="External"/><Relationship Id="rId543" Type="http://schemas.openxmlformats.org/officeDocument/2006/relationships/hyperlink" Target="https://drive.google.com/file/d/1NqbD-i0JhcGysj44wfbugdG2GUJpww2Q/view?usp=drive_link" TargetMode="External"/><Relationship Id="rId75" Type="http://schemas.openxmlformats.org/officeDocument/2006/relationships/hyperlink" Target="https://ueb.edu.vn/Tin-Tuc/UEB/nhung-van-ban-quy-pham-phap-luat-van-ban-cua-dhqghn-lien-quan-den-hoat-dong-cua-truong-cap-nhat-nua-dau-thang-02-2025/43263" TargetMode="External"/><Relationship Id="rId140" Type="http://schemas.openxmlformats.org/officeDocument/2006/relationships/hyperlink" Target="https://drive.google.com/file/d/1rQM3L45P9uEQpO0vsXSNjvF6hcPAyf8i/view?usp=drive_link" TargetMode="External"/><Relationship Id="rId182" Type="http://schemas.openxmlformats.org/officeDocument/2006/relationships/hyperlink" Target="https://ueb.edu.vn/Tin-Tuc/UEB/so-sanh-diem-moi-cua-nghi-dinh-155-2025-nd-cp-va-nghi-dinh-152-2017-nd-cp-ve-quy-dinh-tieu-chuan-dinh-muc-su-dung-tru-so-lam-viec-co-so-hoat-dong-su-nghiep/45043" TargetMode="External"/><Relationship Id="rId378" Type="http://schemas.openxmlformats.org/officeDocument/2006/relationships/hyperlink" Target="https://drive.google.com/file/d/1xUhr-aQlWA8IhouBUcifGIGuyadtroiw/view?usp=drive_link" TargetMode="External"/><Relationship Id="rId403" Type="http://schemas.openxmlformats.org/officeDocument/2006/relationships/hyperlink" Target="https://drive.google.com/file/d/17SJOOUxg19A3GH8WNak5gZ1XNc4OQpeV/view?usp=drive_link" TargetMode="External"/><Relationship Id="rId585" Type="http://schemas.openxmlformats.org/officeDocument/2006/relationships/hyperlink" Target="https://drive.google.com/file/d/1v64w-Z8c9TbP3yxygUnHX1cyHCNzgamr/view?usp=sharing" TargetMode="External"/><Relationship Id="rId6" Type="http://schemas.openxmlformats.org/officeDocument/2006/relationships/hyperlink" Target="https://drive.google.com/file/d/1Mls1q6loEeo7POLmpfxBXZB-wQE9NSp7/view?usp=drive_link" TargetMode="External"/><Relationship Id="rId238" Type="http://schemas.openxmlformats.org/officeDocument/2006/relationships/hyperlink" Target="https://ueb.edu.vn/Tin-Tuc/UEB/nhung-van-ban-quy-pham-phap-luat-van-ban-cua-dhqghn-lien-quan-den-hoat-dong-cua-truong-thong-bao-thang-8-2025-lan-02/45199" TargetMode="External"/><Relationship Id="rId445" Type="http://schemas.openxmlformats.org/officeDocument/2006/relationships/hyperlink" Target="https://drive.google.com/file/d/1o3HuunQCCeIk77tPgVn2FuFVQPETUAUY/view?usp=drive_link" TargetMode="External"/><Relationship Id="rId487" Type="http://schemas.openxmlformats.org/officeDocument/2006/relationships/hyperlink" Target="https://drive.google.com/file/d/1bIw0id-3qYAnjEPwLyttQbF9eqrR1nd8/view?usp=drive_link" TargetMode="External"/><Relationship Id="rId610" Type="http://schemas.openxmlformats.org/officeDocument/2006/relationships/hyperlink" Target="https://drive.google.com/file/d/1KyQJ0OeOf_EnpBBvuS4FGIVN0y--LrPJ/view?usp=sharing" TargetMode="External"/><Relationship Id="rId291" Type="http://schemas.openxmlformats.org/officeDocument/2006/relationships/hyperlink" Target="https://drive.google.com/file/d/19K7fajoe6PQTZRfSDKePwz_lBug9ic9H/view?usp=drive_link" TargetMode="External"/><Relationship Id="rId305" Type="http://schemas.openxmlformats.org/officeDocument/2006/relationships/hyperlink" Target="https://drive.google.com/file/d/1ip852OEcAwteFYTqh8SJD6eyOmTSyfnj/view?usp=drive_link" TargetMode="External"/><Relationship Id="rId347" Type="http://schemas.openxmlformats.org/officeDocument/2006/relationships/hyperlink" Target="https://drive.google.com/file/d/1ITJf2UEn9n6Sh4lcfVZ6giH5IC0aenlg/view?usp=drive_link" TargetMode="External"/><Relationship Id="rId512" Type="http://schemas.openxmlformats.org/officeDocument/2006/relationships/hyperlink" Target="https://ueb.edu.vn/Tin-Tuc/UEB/nhung-van-ban-quy-pham-phap-luat-van-ban-cua-dhqghn-lien-quan-den-hoat-dong-cua-truong-/46682" TargetMode="External"/><Relationship Id="rId44" Type="http://schemas.openxmlformats.org/officeDocument/2006/relationships/hyperlink" Target="https://drive.google.com/file/d/16JPjhNfyOQVD8ogb8RAZHson6Z5nx6bp/view?usp=drive_link" TargetMode="External"/><Relationship Id="rId86" Type="http://schemas.openxmlformats.org/officeDocument/2006/relationships/hyperlink" Target="https://ueb.edu.vn/Tin-Tuc/UEB/nhung-van-ban-quy-pham-phap-luat-van-ban-cua-dhqghn-lien-quan-den-hoat-dong-cua-truong-cap-nhat-nua-dau-thang-04-2025/44532" TargetMode="External"/><Relationship Id="rId151" Type="http://schemas.openxmlformats.org/officeDocument/2006/relationships/hyperlink" Target="https://ueb.edu.vn/Tin-Tuc/UEB/nhung-van-ban-quy-pham-phap-luat-van-ban-cua-dhqghn-lien-quan-den-hoat-dong-cua-truong-cap-nhat-nua-dau-thang-06-2025/44876" TargetMode="External"/><Relationship Id="rId389" Type="http://schemas.openxmlformats.org/officeDocument/2006/relationships/hyperlink" Target="https://drive.google.com/file/d/167s_4B4nPdA9lC-bMlR_JiNNAY0W5jVx/view?usp=drive_link" TargetMode="External"/><Relationship Id="rId554" Type="http://schemas.openxmlformats.org/officeDocument/2006/relationships/hyperlink" Target="https://drive.google.com/file/d/1_9FGsMrZRArmQctqaYJCplymO5jXtjev/view?usp=drive_link" TargetMode="External"/><Relationship Id="rId596" Type="http://schemas.openxmlformats.org/officeDocument/2006/relationships/hyperlink" Target="https://drive.google.com/file/d/1m2rRp1E1XMoMeMcOHZ7VDmUb6tTfYs4O/view?usp=sharing" TargetMode="External"/><Relationship Id="rId193" Type="http://schemas.openxmlformats.org/officeDocument/2006/relationships/hyperlink" Target="https://ueb.edu.vn/Tin-Tuc/UEB/nhung-van-ban-quy-pham-phap-luat-van-ban-cua-dhqghn-lien-quan-den-hoat-dong-cua-truong-thong-bao-thang-7-2025-lan-2/45125" TargetMode="External"/><Relationship Id="rId207" Type="http://schemas.openxmlformats.org/officeDocument/2006/relationships/hyperlink" Target="https://ueb.edu.vn/Tin-Tuc/UEB/nhung-van-ban-quy-pham-phap-luat-van-ban-cua-dhqghn-lien-quan-den-hoat-dong-cua-truong-thong-bao-thang-8-2025/45153" TargetMode="External"/><Relationship Id="rId249" Type="http://schemas.openxmlformats.org/officeDocument/2006/relationships/hyperlink" Target="https://ueb.edu.vn/Tin-Tuc/UEB/nhung-van-ban-quy-pham-phap-luat-van-ban-cua-dhqghn-lien-quan-den-hoat-dong-cua-truong-thong-bao-thang-9-2025-lan-1/45231" TargetMode="External"/><Relationship Id="rId414" Type="http://schemas.openxmlformats.org/officeDocument/2006/relationships/hyperlink" Target="https://drive.google.com/file/d/1G50DDzpxUrzxVVdrFtJcf57CjBpyu10j/view?usp=drive_link" TargetMode="External"/><Relationship Id="rId456" Type="http://schemas.openxmlformats.org/officeDocument/2006/relationships/hyperlink" Target="https://ueb.edu.vn/Tin-Tuc/UEB/nhung-van-ban-quy-pham-phap-luat-van-ban-cua-dhqghn-lien-quan-den-hoat-dong-cua-truong-thong-bao-thang-11-2025/45605" TargetMode="External"/><Relationship Id="rId498" Type="http://schemas.openxmlformats.org/officeDocument/2006/relationships/hyperlink" Target="https://ueb.edu.vn/Tin-Tuc/UEB/nhung-van-ban-quy-pham-phap-luat-van-ban-cua-dhqghn-lien-quan-den-hoat-dong-cua-truong-thong-bao-thang-4-2026/46311" TargetMode="External"/><Relationship Id="rId621" Type="http://schemas.openxmlformats.org/officeDocument/2006/relationships/hyperlink" Target="https://drive.google.com/file/d/1Lg0jnBbPj3XOsRCWx1L0Y2M1NeQp9b33/view?usp=sharing" TargetMode="External"/><Relationship Id="rId13" Type="http://schemas.openxmlformats.org/officeDocument/2006/relationships/hyperlink" Target="https://drive.google.com/file/d/13vtxc8x1efLCvTDE44-vq8X32yGECACd/view?usp=drive_link" TargetMode="External"/><Relationship Id="rId109" Type="http://schemas.openxmlformats.org/officeDocument/2006/relationships/hyperlink" Target="https://ueb.edu.vn/Tin-Tuc/UEB/nhung-van-ban-quy-pham-phap-luat-van-ban-cua-dhqghn-lien-quan-den-hoat-dong-cua-truong-cap-nhat-nua-dau-thang-06-2025/44876" TargetMode="External"/><Relationship Id="rId260" Type="http://schemas.openxmlformats.org/officeDocument/2006/relationships/hyperlink" Target="https://drive.google.com/file/d/1-BY6SLWY_CtTLuBDLwAretYNsomU48Yf/view?usp=drive_link" TargetMode="External"/><Relationship Id="rId316" Type="http://schemas.openxmlformats.org/officeDocument/2006/relationships/hyperlink" Target="https://drive.google.com/file/d/19eyCFgg2wrq4CCXnv9YKpmlOUQOEjKMz/view?usp=drive_link" TargetMode="External"/><Relationship Id="rId523" Type="http://schemas.openxmlformats.org/officeDocument/2006/relationships/hyperlink" Target="https://ueb.edu.vn/Tin-Tuc/UEB/nhung-van-ban-quy-pham-phap-luat-van-ban-cua-dhqghn-lien-quan-den-hoat-dong-cua-truong-thong-bao-thang-07-2026/46722" TargetMode="External"/><Relationship Id="rId55" Type="http://schemas.openxmlformats.org/officeDocument/2006/relationships/hyperlink" Target="https://drive.google.com/file/d/1_UC6nTIvUg3WbdFjCROSWKo5rYOI83zm/view?usp=drive_link" TargetMode="External"/><Relationship Id="rId97" Type="http://schemas.openxmlformats.org/officeDocument/2006/relationships/hyperlink" Target="https://ueb.edu.vn/Tin-Tuc/UEB/nhung-van-ban-quy-pham-phap-luat-van-ban-cua-dhqghn-lien-quan-den-hoat-dong-cua-truong-cap-nhat-nua-cuoi-thang-05-2025/44741" TargetMode="External"/><Relationship Id="rId120" Type="http://schemas.openxmlformats.org/officeDocument/2006/relationships/hyperlink" Target="https://drive.google.com/file/d/16Z26azKaMT8lMvqAnWy1b14yZZQszcd4/view?usp=drive_link" TargetMode="External"/><Relationship Id="rId358" Type="http://schemas.openxmlformats.org/officeDocument/2006/relationships/hyperlink" Target="https://drive.google.com/file/d/1WU7c1i5ptO2S2rctV5NO4wf7IIAUCnHW/view?usp=drive_link" TargetMode="External"/><Relationship Id="rId565" Type="http://schemas.openxmlformats.org/officeDocument/2006/relationships/hyperlink" Target="https://drive.google.com/file/d/1EhO-kWtI3vfUv4o1Wtu5JfZ9AKW_9lQh/view?usp=drive_link" TargetMode="External"/><Relationship Id="rId162" Type="http://schemas.openxmlformats.org/officeDocument/2006/relationships/hyperlink" Target="https://drive.google.com/file/d/1_dzEj0OemRzMQGrFoy95JgdS2ElX3hgU/view?usp=drive_link" TargetMode="External"/><Relationship Id="rId218" Type="http://schemas.openxmlformats.org/officeDocument/2006/relationships/hyperlink" Target="https://drive.google.com/file/d/1r50MdUCBV6r1kT_Z5lBxcFeEYWvtKwTN/view?usp=drive_link" TargetMode="External"/><Relationship Id="rId425" Type="http://schemas.openxmlformats.org/officeDocument/2006/relationships/hyperlink" Target="https://drive.google.com/file/d/19izmZdoihA1bfoFVaQ9tchRy1nc7NsOB/view?usp=drive_link" TargetMode="External"/><Relationship Id="rId467" Type="http://schemas.openxmlformats.org/officeDocument/2006/relationships/hyperlink" Target="https://drive.google.com/file/d/14dxEjn5XTSNx4t1dZP3ib6D8iMpSE3Vn/view?usp=drive_link" TargetMode="External"/><Relationship Id="rId632" Type="http://schemas.openxmlformats.org/officeDocument/2006/relationships/hyperlink" Target="https://drive.google.com/file/d/1vuKIhdDpjg325qQGeYHQPFkwh7xUiXyi/view?usp=sharing" TargetMode="External"/><Relationship Id="rId271" Type="http://schemas.openxmlformats.org/officeDocument/2006/relationships/hyperlink" Target="https://ueb.edu.vn/Tin-Tuc/UEB/nhung-van-ban-quy-pham-phap-luat-van-ban-cua-dhqghn-lien-quan-den-hoat-dong-cua-truong-thong-bao-thang-9-2025-lan-1/45231" TargetMode="External"/><Relationship Id="rId24" Type="http://schemas.openxmlformats.org/officeDocument/2006/relationships/hyperlink" Target="https://drive.google.com/file/d/1ViehPBO9PSutN1bu2oHrwS86AyPWAa4A/view?usp=drive_link" TargetMode="External"/><Relationship Id="rId66" Type="http://schemas.openxmlformats.org/officeDocument/2006/relationships/hyperlink" Target="https://drive.google.com/file/d/1AH6kNAjvYTAn8imV6QP6Hw9kzHUoETCf/view?usp=drive_link" TargetMode="External"/><Relationship Id="rId131" Type="http://schemas.openxmlformats.org/officeDocument/2006/relationships/hyperlink" Target="https://ueb.edu.vn/Tin-Tuc/UEB/nhung-van-ban-quy-pham-phap-luat-van-ban-cua-dhqghn-lien-quan-den-hoat-dong-cua-truong-cap-nhat-nua-dau-thang-06-2025/44876" TargetMode="External"/><Relationship Id="rId327" Type="http://schemas.openxmlformats.org/officeDocument/2006/relationships/hyperlink" Target="https://drive.google.com/file/d/1DG_Sy7Qp9TiKMvrNKUivZ2LEgvKhh2tn/view?usp=drive_link" TargetMode="External"/><Relationship Id="rId369" Type="http://schemas.openxmlformats.org/officeDocument/2006/relationships/hyperlink" Target="https://drive.google.com/file/d/1BgId-253t-SOzFUD6Eb31d_Vo8YLd4lO/view?usp=drive_link" TargetMode="External"/><Relationship Id="rId534" Type="http://schemas.openxmlformats.org/officeDocument/2006/relationships/hyperlink" Target="https://ueb.edu.vn/Tin-Tuc/UEB/nhung-van-ban-quy-pham-phap-luat-van-ban-cua-dhqghn-lien-quan-den-hoat-dong-cua-truong-/46825" TargetMode="External"/><Relationship Id="rId576" Type="http://schemas.openxmlformats.org/officeDocument/2006/relationships/hyperlink" Target="https://drive.google.com/file/d/1P-IF-gFv9g4JD-g2W834tOuS4PWTNuKp/view?usp=drive_link" TargetMode="External"/><Relationship Id="rId173" Type="http://schemas.openxmlformats.org/officeDocument/2006/relationships/hyperlink" Target="https://drive.google.com/file/d/1syELYVMvaqR44_j1NjBE5zUKDxD5OiTz/view?usp=drive_link" TargetMode="External"/><Relationship Id="rId229" Type="http://schemas.openxmlformats.org/officeDocument/2006/relationships/hyperlink" Target="https://ueb.edu.vn/Tin-Tuc/UEB/nhung-van-ban-quy-pham-phap-luat-van-ban-cua-dhqghn-lien-quan-den-hoat-dong-cua-truong-thong-bao-thang-8-2025/45153" TargetMode="External"/><Relationship Id="rId380" Type="http://schemas.openxmlformats.org/officeDocument/2006/relationships/hyperlink" Target="https://drive.google.com/file/d/1Y4Fbb6fDq1jubC744S9MOAltfpjpW4Y4/view?usp=drive_link" TargetMode="External"/><Relationship Id="rId436" Type="http://schemas.openxmlformats.org/officeDocument/2006/relationships/hyperlink" Target="https://drive.google.com/file/d/1eLve4N942Hv_Y5igS3iXLFxXVDTewMla/view?usp=drive_link" TargetMode="External"/><Relationship Id="rId601" Type="http://schemas.openxmlformats.org/officeDocument/2006/relationships/hyperlink" Target="https://drive.google.com/file/d/1moqOBM2Z5M1pfT3whO15RZFXgdoivxgC/view?usp=sharing" TargetMode="External"/><Relationship Id="rId240" Type="http://schemas.openxmlformats.org/officeDocument/2006/relationships/hyperlink" Target="https://ueb.edu.vn/Tin-Tuc/UEB/nhung-van-ban-quy-pham-phap-luat-van-ban-cua-dhqghn-lien-quan-den-hoat-dong-cua-truong-thong-bao-thang-8-2025-lan-02/45199" TargetMode="External"/><Relationship Id="rId478" Type="http://schemas.openxmlformats.org/officeDocument/2006/relationships/hyperlink" Target="https://drive.google.com/file/d/1cNOICUk8ZB0rzSIOq9LMGe4Y5VAXj7vP/view?usp=drive_link" TargetMode="External"/><Relationship Id="rId35" Type="http://schemas.openxmlformats.org/officeDocument/2006/relationships/hyperlink" Target="https://drive.google.com/file/d/1AVHPIgaIFmRhjj8BKYqMhsQoN4PiW3DQ/view?usp=drive_link" TargetMode="External"/><Relationship Id="rId77" Type="http://schemas.openxmlformats.org/officeDocument/2006/relationships/hyperlink" Target="https://ueb.edu.vn/Tin-Tuc/UEB/nhung-van-ban-quy-pham-phap-luat-van-ban-cua-dhqghn-lien-quan-den-hoat-dong-cua-truong-cap-nhat-nua-dau-thang-02-2025/43263" TargetMode="External"/><Relationship Id="rId100" Type="http://schemas.openxmlformats.org/officeDocument/2006/relationships/hyperlink" Target="https://drive.google.com/file/d/1Ib7kdNl_ergb7y488IwB1CdA42EbZf4n/view?usp=sharing" TargetMode="External"/><Relationship Id="rId282" Type="http://schemas.openxmlformats.org/officeDocument/2006/relationships/hyperlink" Target="https://drive.google.com/file/d/1nJkhDDEhD68245xPlIX_7pdpb5smWuyh/view?usp=drive_link" TargetMode="External"/><Relationship Id="rId338" Type="http://schemas.openxmlformats.org/officeDocument/2006/relationships/hyperlink" Target="https://drive.google.com/file/d/1jp5cgzcSLj99zkvUnEZKIoFqlUDOvOgx/view?usp=drive_link" TargetMode="External"/><Relationship Id="rId503" Type="http://schemas.openxmlformats.org/officeDocument/2006/relationships/hyperlink" Target="https://ueb.edu.vn/Tin-Tuc/UEB/nhung-van-ban-quy-pham-phap-luat-van-ban-cua-dhqghn-lien-quan-den-hoat-dong-cua-truong-thong-bao-thang-4-2026/46311" TargetMode="External"/><Relationship Id="rId545" Type="http://schemas.openxmlformats.org/officeDocument/2006/relationships/hyperlink" Target="https://drive.google.com/file/d/1gXf8qnYOE7LqS_C6BIkGSByQc8_84fG2/view?usp=drive_link" TargetMode="External"/><Relationship Id="rId587" Type="http://schemas.openxmlformats.org/officeDocument/2006/relationships/hyperlink" Target="https://drive.google.com/file/d/1SgCSpxIclgkpet5CWKEQWC3UrJrqMQ-U/view?usp=sharing" TargetMode="External"/><Relationship Id="rId8" Type="http://schemas.openxmlformats.org/officeDocument/2006/relationships/hyperlink" Target="https://drive.google.com/file/d/1t63E_f-Vym9DiScDeGu_8FerAoPuf4z0/view?usp=drive_link" TargetMode="External"/><Relationship Id="rId142" Type="http://schemas.openxmlformats.org/officeDocument/2006/relationships/hyperlink" Target="https://drive.google.com/file/d/1uaxbVdkqgPeXPtx-UNwR4ZpSjrl4NIij/view?usp=drive_link" TargetMode="External"/><Relationship Id="rId184" Type="http://schemas.openxmlformats.org/officeDocument/2006/relationships/hyperlink" Target="https://ueb.edu.vn/Tin-Tuc/UEB/so-sanh-diem-moi-cua-nghi-dinh-155-2025-nd-cp-va-nghi-dinh-152-2017-nd-cp-ve-quy-dinh-tieu-chuan-dinh-muc-su-dung-tru-so-lam-viec-co-so-hoat-dong-su-nghiep/45043" TargetMode="External"/><Relationship Id="rId391" Type="http://schemas.openxmlformats.org/officeDocument/2006/relationships/hyperlink" Target="https://drive.google.com/file/d/1Ba3ds4B4HS8yzetx63_g9-Az58I2Uzae/view?usp=drive_link" TargetMode="External"/><Relationship Id="rId405" Type="http://schemas.openxmlformats.org/officeDocument/2006/relationships/hyperlink" Target="https://drive.google.com/file/d/1X3k81bOJUjTODmk1UDfHl4Gk7SCbPajo/view?usp=drive_link" TargetMode="External"/><Relationship Id="rId447" Type="http://schemas.openxmlformats.org/officeDocument/2006/relationships/hyperlink" Target="https://drive.google.com/file/d/1sCyXcaOIFCQLItynWJh8vK3juJhwQ_g2/view?usp=drive_link" TargetMode="External"/><Relationship Id="rId612" Type="http://schemas.openxmlformats.org/officeDocument/2006/relationships/hyperlink" Target="https://docs.google.com/document/d/1lEIZhrALeUBH-SyIcuiJjRE-eYC6Sr7j/edit?usp=sharing&amp;ouid=113271420923416098874&amp;rtpof=true&amp;sd=true" TargetMode="External"/><Relationship Id="rId251" Type="http://schemas.openxmlformats.org/officeDocument/2006/relationships/hyperlink" Target="https://ueb.edu.vn/Tin-Tuc/UEB/nhung-van-ban-quy-pham-phap-luat-van-ban-cua-dhqghn-lien-quan-den-hoat-dong-cua-truong-thong-bao-thang-9-2025-lan-1/45231" TargetMode="External"/><Relationship Id="rId489" Type="http://schemas.openxmlformats.org/officeDocument/2006/relationships/hyperlink" Target="https://drive.google.com/file/d/16QTveT07XTVHBG9eROiMXuC9SD6HyP-c/view?usp=drive_link" TargetMode="External"/><Relationship Id="rId46" Type="http://schemas.openxmlformats.org/officeDocument/2006/relationships/hyperlink" Target="https://drive.google.com/file/d/1LXHdr8plREjVSHrRL2_l5ixwDgSaaUuN/view?usp=drive_link" TargetMode="External"/><Relationship Id="rId293" Type="http://schemas.openxmlformats.org/officeDocument/2006/relationships/hyperlink" Target="https://drive.google.com/file/d/13xTNnhF0NimSDbLAanepVmyraYnqxPpv/view?usp=drive_link" TargetMode="External"/><Relationship Id="rId307" Type="http://schemas.openxmlformats.org/officeDocument/2006/relationships/hyperlink" Target="https://drive.google.com/file/d/1o_jdNwqRlCGLdmP-IyWG6vGg7ATl36F2/view?usp=drive_link" TargetMode="External"/><Relationship Id="rId349" Type="http://schemas.openxmlformats.org/officeDocument/2006/relationships/hyperlink" Target="https://drive.google.com/file/d/1IMAo_qZfbCqYeDgfEmh3jr83VGUzhnl1/view?usp=drive_link" TargetMode="External"/><Relationship Id="rId514" Type="http://schemas.openxmlformats.org/officeDocument/2006/relationships/hyperlink" Target="https://ueb.edu.vn/Tin-Tuc/UEB/nhung-van-ban-quy-pham-phap-luat-van-ban-cua-dhqghn-lien-quan-den-hoat-dong-cua-truong-/46682" TargetMode="External"/><Relationship Id="rId556" Type="http://schemas.openxmlformats.org/officeDocument/2006/relationships/hyperlink" Target="https://drive.google.com/file/d/1ie0ozJWFc10tbjx6U2AWkJdc7d-6rekP/view?usp=drive_link" TargetMode="External"/><Relationship Id="rId88" Type="http://schemas.openxmlformats.org/officeDocument/2006/relationships/hyperlink" Target="https://ueb.edu.vn/Tin-Tuc/UEB/nhung-van-ban-quy-pham-phap-luat-van-ban-cua-dhqghn-lien-quan-den-hoat-dong-cua-truong-cap-nhat-nua-sau-thang-04-2025/44634" TargetMode="External"/><Relationship Id="rId111" Type="http://schemas.openxmlformats.org/officeDocument/2006/relationships/hyperlink" Target="https://ueb.edu.vn/Tin-Tuc/UEB/nhung-van-ban-quy-pham-phap-luat-van-ban-cua-dhqghn-lien-quan-den-hoat-dong-cua-truong-cap-nhat-nua-dau-thang-06-2025/44876" TargetMode="External"/><Relationship Id="rId153" Type="http://schemas.openxmlformats.org/officeDocument/2006/relationships/hyperlink" Target="https://ueb.edu.vn/Tin-Tuc/UEB/nhung-van-ban-quy-pham-phap-luat-van-ban-cua-dhqghn-lien-quan-den-hoat-dong-cua-truong-cap-nhat-nua-dau-thang-06-2025/44876" TargetMode="External"/><Relationship Id="rId195" Type="http://schemas.openxmlformats.org/officeDocument/2006/relationships/hyperlink" Target="https://ueb.edu.vn/Tin-Tuc/UEB/nhung-van-ban-quy-pham-phap-luat-van-ban-cua-dhqghn-lien-quan-den-hoat-dong-cua-truong-thong-bao-thang-7-2025-lan-2/45125" TargetMode="External"/><Relationship Id="rId209" Type="http://schemas.openxmlformats.org/officeDocument/2006/relationships/hyperlink" Target="https://ueb.edu.vn/Tin-Tuc/UEB/nhung-van-ban-quy-pham-phap-luat-van-ban-cua-dhqghn-lien-quan-den-hoat-dong-cua-truong-thong-bao-thang-8-2025/45153" TargetMode="External"/><Relationship Id="rId360" Type="http://schemas.openxmlformats.org/officeDocument/2006/relationships/hyperlink" Target="https://drive.google.com/file/d/1NZHHNFV9zdS1C4H-Ub5rdoU-72zuJ870/view?usp=drive_link" TargetMode="External"/><Relationship Id="rId416" Type="http://schemas.openxmlformats.org/officeDocument/2006/relationships/hyperlink" Target="https://drive.google.com/file/d/1S7tvRHKfdxjgeF9GyuIWw_FR85_cdjSz/view?usp=drive_link" TargetMode="External"/><Relationship Id="rId598" Type="http://schemas.openxmlformats.org/officeDocument/2006/relationships/hyperlink" Target="https://drive.google.com/file/d/1-2FrAycgKZI7Kto3JMdki-cHqNfnyjxl/view?usp=sharing" TargetMode="External"/><Relationship Id="rId220" Type="http://schemas.openxmlformats.org/officeDocument/2006/relationships/hyperlink" Target="https://drive.google.com/file/d/1SbHi5NSpcAFrBNqOqjYB8rEahhI2n5wo/view?usp=drive_link" TargetMode="External"/><Relationship Id="rId458" Type="http://schemas.openxmlformats.org/officeDocument/2006/relationships/hyperlink" Target="https://ueb.edu.vn/Tin-Tuc/UEB/nhung-van-ban-quy-pham-phap-luat-van-ban-cua-dhqghn-lien-quan-den-hoat-dong-cua-truong-thong-bao-thang-11-2025/45605" TargetMode="External"/><Relationship Id="rId623" Type="http://schemas.openxmlformats.org/officeDocument/2006/relationships/hyperlink" Target="https://drive.google.com/file/d/1HA6tXgZUHiENlt7wUKhdzV-SspKZYgjd/view?usp=sharing" TargetMode="External"/><Relationship Id="rId15" Type="http://schemas.openxmlformats.org/officeDocument/2006/relationships/hyperlink" Target="https://drive.google.com/file/d/1RKK0482BkDkvJK4X2-C3Ejt8oXAfVPvK/view?usp=drive_link" TargetMode="External"/><Relationship Id="rId57" Type="http://schemas.openxmlformats.org/officeDocument/2006/relationships/hyperlink" Target="https://drive.google.com/file/d/1Phtr9UKaeEySeaA3tR0XEXoCfUruhziH/view?usp=drive_link" TargetMode="External"/><Relationship Id="rId262" Type="http://schemas.openxmlformats.org/officeDocument/2006/relationships/hyperlink" Target="https://drive.google.com/file/d/1bjLqychUpyY7DTks3ivYZBQfI65jhirx/view?usp=sharing" TargetMode="External"/><Relationship Id="rId318" Type="http://schemas.openxmlformats.org/officeDocument/2006/relationships/hyperlink" Target="https://drive.google.com/file/d/1VilgNUj_4rVfcR4smT7hvAMb4iTIY-qN/view?usp=drive_link" TargetMode="External"/><Relationship Id="rId525" Type="http://schemas.openxmlformats.org/officeDocument/2006/relationships/hyperlink" Target="https://ueb.edu.vn/Tin-Tuc/UEB/nhung-van-ban-quy-pham-phap-luat-van-ban-cua-dhqghn-lien-quan-den-hoat-dong-cua-truong-thong-bao-thang-07-2026/46722" TargetMode="External"/><Relationship Id="rId567" Type="http://schemas.openxmlformats.org/officeDocument/2006/relationships/hyperlink" Target="https://drive.google.com/file/d/1VJ7R8OiyFTScLtU_5-J5WvygtAWviwFp/view?usp=drive_link" TargetMode="External"/><Relationship Id="rId99" Type="http://schemas.openxmlformats.org/officeDocument/2006/relationships/hyperlink" Target="https://ueb.edu.vn/Tin-Tuc/UEB/so-sanh-diem-moi-cua-thong-tu-08-2025-tt-bgddt-so-voi-thong-tu-27-2016-tt-bgddt-ve-thoi-han-luu-tru-ho-so-tai-lieu-chuyen-mon-nghiep-vu-trong-linh-vuc-giao-duc-dai-hoc/44727" TargetMode="External"/><Relationship Id="rId122" Type="http://schemas.openxmlformats.org/officeDocument/2006/relationships/hyperlink" Target="https://drive.google.com/file/d/10dN_jPJF8n9OhlSFcdV6pcDbAs_QZF35/view?usp=drive_link" TargetMode="External"/><Relationship Id="rId164" Type="http://schemas.openxmlformats.org/officeDocument/2006/relationships/hyperlink" Target="https://drive.google.com/file/d/179zS-mNxncePFxXn6S_SlVRVB-ZFk-Vw/view?usp=sharing" TargetMode="External"/><Relationship Id="rId371" Type="http://schemas.openxmlformats.org/officeDocument/2006/relationships/hyperlink" Target="https://drive.google.com/file/d/1P6Jmp9K_cw2wkqJ7-t5pE77Ipbwl8an7/view?usp=drive_link" TargetMode="External"/><Relationship Id="rId427" Type="http://schemas.openxmlformats.org/officeDocument/2006/relationships/hyperlink" Target="https://drive.google.com/file/d/12Lm5LPLCA25aHA2B8rWdNj1Bm3yrF6ht/view?usp=drive_link" TargetMode="External"/><Relationship Id="rId469" Type="http://schemas.openxmlformats.org/officeDocument/2006/relationships/hyperlink" Target="https://ueb.edu.vn/Tin-Tuc/UEB/nhung-van-ban-quy-pham-phap-luat-van-ban-cua-dhqghn-lien-quan-den-hoat-dong-cua-truong-thong-bao-thang-12-2025/45845" TargetMode="External"/><Relationship Id="rId26" Type="http://schemas.openxmlformats.org/officeDocument/2006/relationships/hyperlink" Target="https://drive.google.com/file/d/1dNZpzhS94i2DDJ4k0ThDMWJyL7iJBWWl/view?usp=drive_link" TargetMode="External"/><Relationship Id="rId231" Type="http://schemas.openxmlformats.org/officeDocument/2006/relationships/hyperlink" Target="https://drive.google.com/file/d/15lVh65SCLM9Aay1qGFd1RJ0ZW4fDkEjt/view?usp=drive_link" TargetMode="External"/><Relationship Id="rId273" Type="http://schemas.openxmlformats.org/officeDocument/2006/relationships/hyperlink" Target="https://ueb.edu.vn/Tin-Tuc/UEB/nhung-van-ban-quy-pham-phap-luat-van-ban-cua-dhqghn-lien-quan-den-hoat-dong-cua-truong-thong-bao-thang-9-2025-lan-1/45231" TargetMode="External"/><Relationship Id="rId329" Type="http://schemas.openxmlformats.org/officeDocument/2006/relationships/hyperlink" Target="https://drive.google.com/file/d/17XV5RHB_zmbwL0Dn_8Xq8tLGxSxWanZk/view?usp=drive_link" TargetMode="External"/><Relationship Id="rId480" Type="http://schemas.openxmlformats.org/officeDocument/2006/relationships/hyperlink" Target="https://ueb.edu.vn/Tin-Tuc/UEB/nhung-van-ban-quy-pham-phap-luat-van-ban-cua-dhqghn-lien-quan-den-hoat-dong-cua-truong-cap-nhat-nua-dau-thang-01-2026/45973" TargetMode="External"/><Relationship Id="rId536" Type="http://schemas.openxmlformats.org/officeDocument/2006/relationships/hyperlink" Target="https://drive.google.com/file/d/1tgdL979w_lC-xuA9WIddPR-oS3T34BnF/view?usp=drive_link" TargetMode="External"/><Relationship Id="rId68" Type="http://schemas.openxmlformats.org/officeDocument/2006/relationships/hyperlink" Target="https://ueb.edu.vn/Tin-Tuc/UEB/nhung-van-ban-quy-pham-phap-luat-van-ban-cua-dhqghn-lien-quan-den-hoat-dong-cua-truong-cap-nhat-nua-sau-thang-01-2025/43215" TargetMode="External"/><Relationship Id="rId133" Type="http://schemas.openxmlformats.org/officeDocument/2006/relationships/hyperlink" Target="https://ueb.edu.vn/Tin-Tuc/UEB/nhung-van-ban-quy-pham-phap-luat-van-ban-cua-dhqghn-lien-quan-den-hoat-dong-cua-truong-cap-nhat-nua-dau-thang-06-2025/44876" TargetMode="External"/><Relationship Id="rId175" Type="http://schemas.openxmlformats.org/officeDocument/2006/relationships/hyperlink" Target="https://ueb.edu.vn/Tin-Tuc/UEB/so-sanh-diem-moi-cua-nghi-dinh-153-2025-nd-cp-va-nghi-dinh-72-2023-nd-cp-ve-quy-dinh-tieu-chuan-dinh-muc-su-dung-xe-o-to/44968" TargetMode="External"/><Relationship Id="rId340" Type="http://schemas.openxmlformats.org/officeDocument/2006/relationships/hyperlink" Target="https://drive.google.com/file/d/1tnJUMvYnsQ8mhSkHTQFSGL39AYhf2qIY/view?usp=drive_link" TargetMode="External"/><Relationship Id="rId578" Type="http://schemas.openxmlformats.org/officeDocument/2006/relationships/hyperlink" Target="https://drive.google.com/file/d/10phMqMSqo8tVic9xjv8Bna-oo0-whRDO/view?usp=drive_link" TargetMode="External"/><Relationship Id="rId200" Type="http://schemas.openxmlformats.org/officeDocument/2006/relationships/hyperlink" Target="https://drive.google.com/file/d/1KJn7y0aW2xi6vQkbKSl473gdWYdrVtWN/view?usp=drive_link" TargetMode="External"/><Relationship Id="rId382" Type="http://schemas.openxmlformats.org/officeDocument/2006/relationships/hyperlink" Target="https://drive.google.com/file/d/11u8VH9GCiPQP1PxolQ_kXrUr4uu1fxdK/view?usp=drive_link" TargetMode="External"/><Relationship Id="rId438" Type="http://schemas.openxmlformats.org/officeDocument/2006/relationships/hyperlink" Target="https://drive.google.com/file/d/1f_RCEqokZuvw-trXnpCVfwoLZT0GxzJK/view?usp=drive_link" TargetMode="External"/><Relationship Id="rId603" Type="http://schemas.openxmlformats.org/officeDocument/2006/relationships/hyperlink" Target="https://drive.google.com/file/d/17Rh3sCi0IY0rcjBFLFXsj6j5sGIVCv9G/view?usp=sharing" TargetMode="External"/><Relationship Id="rId242" Type="http://schemas.openxmlformats.org/officeDocument/2006/relationships/hyperlink" Target="https://ueb.edu.vn/Tin-Tuc/UEB/nhung-van-ban-quy-pham-phap-luat-van-ban-cua-dhqghn-lien-quan-den-hoat-dong-cua-truong-thong-bao-thang-8-2025-lan-02/45199" TargetMode="External"/><Relationship Id="rId284" Type="http://schemas.openxmlformats.org/officeDocument/2006/relationships/hyperlink" Target="https://drive.google.com/file/d/19hO5LMtS73rW2djEcnfW-CPP8jHi1lIE/view?usp=drive_link" TargetMode="External"/><Relationship Id="rId491" Type="http://schemas.openxmlformats.org/officeDocument/2006/relationships/hyperlink" Target="https://drive.google.com/file/d/1TMFtfR0yAPqxMemYgWTg3R8U8tMV4gZq/view?usp=drive_link" TargetMode="External"/><Relationship Id="rId505" Type="http://schemas.openxmlformats.org/officeDocument/2006/relationships/hyperlink" Target="https://ueb.edu.vn/Tin-Tuc/UEB/nhung-van-ban-quy-pham-phap-luat-van-ban-cua-dhqghn-lien-quan-den-hoat-dong-cua-truong-thong-bao-thang-5-2026/46432" TargetMode="External"/><Relationship Id="rId37" Type="http://schemas.openxmlformats.org/officeDocument/2006/relationships/hyperlink" Target="https://drive.google.com/file/d/1IXlk5ZFOs6jOUGkiuL1FBribl3wtHEwm/view?usp=drive_link" TargetMode="External"/><Relationship Id="rId79" Type="http://schemas.openxmlformats.org/officeDocument/2006/relationships/hyperlink" Target="https://ueb.edu.vn/Tin-Tuc/UEB/nhung-van-ban-quy-pham-phap-luat-van-ban-cua-dhqghn-lien-quan-den-hoat-dong-cua-truong-cap-nhat-nua-cuoi-thang-03-2025/44432" TargetMode="External"/><Relationship Id="rId102" Type="http://schemas.openxmlformats.org/officeDocument/2006/relationships/hyperlink" Target="https://drive.google.com/file/d/1L45A08zOaUek6kpmng1RbFbM-JamFMus/view?usp=drive_link" TargetMode="External"/><Relationship Id="rId144" Type="http://schemas.openxmlformats.org/officeDocument/2006/relationships/hyperlink" Target="https://drive.google.com/file/d/1KJVlt-gZLsD95lztQ3lb3Eu-SIQAfQ_t/view?usp=drive_link" TargetMode="External"/><Relationship Id="rId547" Type="http://schemas.openxmlformats.org/officeDocument/2006/relationships/hyperlink" Target="https://drive.google.com/file/d/1xC68xvZ6x4hlCLYOaHn3V7838jZRnZBX/view?usp=drive_link" TargetMode="External"/><Relationship Id="rId589" Type="http://schemas.openxmlformats.org/officeDocument/2006/relationships/hyperlink" Target="https://drive.google.com/file/d/1ZHq97u6W-j0iMx-el7xQ9tXp8P5Z4ORR/view?usp=sharing" TargetMode="External"/><Relationship Id="rId90" Type="http://schemas.openxmlformats.org/officeDocument/2006/relationships/hyperlink" Target="https://ueb.edu.vn/Tin-Tuc/UEB/nhung-van-ban-quy-pham-phap-luat-van-ban-cua-dhqghn-lien-quan-den-hoat-dong-cua-truong-cap-nhat-nua-dau-thang-05-2025/44689" TargetMode="External"/><Relationship Id="rId186" Type="http://schemas.openxmlformats.org/officeDocument/2006/relationships/hyperlink" Target="https://ueb.edu.vn/Tin-Tuc/UEB/so-sanh-diem-moi-cua-nghi-dinh-155-2025-nd-cp-va-nghi-dinh-152-2017-nd-cp-ve-quy-dinh-tieu-chuan-dinh-muc-su-dung-tru-so-lam-viec-co-so-hoat-dong-su-nghiep/45043" TargetMode="External"/><Relationship Id="rId351" Type="http://schemas.openxmlformats.org/officeDocument/2006/relationships/hyperlink" Target="https://drive.google.com/file/d/1_MHVczeggEKJYEQcrvQHy9BB80KkeiyO/view?usp=drive_link" TargetMode="External"/><Relationship Id="rId393" Type="http://schemas.openxmlformats.org/officeDocument/2006/relationships/hyperlink" Target="https://drive.google.com/file/d/1QP3hHHdpOzth_HDKVgV0cnkSTr7dWO32/view?usp=drive_link" TargetMode="External"/><Relationship Id="rId407" Type="http://schemas.openxmlformats.org/officeDocument/2006/relationships/hyperlink" Target="https://drive.google.com/file/d/12inJAU6IJBhYj9s6r1ZUPGfNbPbObwML/view?usp=drive_link" TargetMode="External"/><Relationship Id="rId449" Type="http://schemas.openxmlformats.org/officeDocument/2006/relationships/hyperlink" Target="https://drive.google.com/file/d/1TDA3zrNSnvVFIioB967wAnWHxdQumKqy/view?usp=sharing" TargetMode="External"/><Relationship Id="rId614" Type="http://schemas.openxmlformats.org/officeDocument/2006/relationships/hyperlink" Target="https://drive.google.com/file/d/1Ix8QQbjOSw8MNN6jccuWsp9MW_ILsacd/view?usp=sharing" TargetMode="External"/><Relationship Id="rId211" Type="http://schemas.openxmlformats.org/officeDocument/2006/relationships/hyperlink" Target="https://ueb.edu.vn/Tin-Tuc/UEB/nhung-van-ban-quy-pham-phap-luat-van-ban-cua-dhqghn-lien-quan-den-hoat-dong-cua-truong-thong-bao-thang-8-2025/45153" TargetMode="External"/><Relationship Id="rId253" Type="http://schemas.openxmlformats.org/officeDocument/2006/relationships/hyperlink" Target="https://ueb.edu.vn/Tin-Tuc/UEB/nhung-van-ban-quy-pham-phap-luat-van-ban-cua-dhqghn-lien-quan-den-hoat-dong-cua-truong-thong-bao-thang-9-2025-lan-1/45231" TargetMode="External"/><Relationship Id="rId295" Type="http://schemas.openxmlformats.org/officeDocument/2006/relationships/hyperlink" Target="https://drive.google.com/file/d/1HFGtXJ-iRWtJByPaRrjuPW0LmNgX_22f/view?usp=drive_link" TargetMode="External"/><Relationship Id="rId309" Type="http://schemas.openxmlformats.org/officeDocument/2006/relationships/hyperlink" Target="https://drive.google.com/file/d/1opT9jlfGgBVpYIMzcOAndBHo1O0qKxv2/view?usp=drive_link" TargetMode="External"/><Relationship Id="rId460" Type="http://schemas.openxmlformats.org/officeDocument/2006/relationships/hyperlink" Target="https://ueb.edu.vn/Tin-Tuc/UEB/nhung-van-ban-quy-pham-phap-luat-van-ban-cua-dhqghn-lien-quan-den-hoat-dong-cua-truong-thong-bao-thang-11-2025/45605" TargetMode="External"/><Relationship Id="rId516" Type="http://schemas.openxmlformats.org/officeDocument/2006/relationships/hyperlink" Target="https://ueb.edu.vn/Tin-Tuc/UEB/nhung-van-ban-quy-pham-phap-luat-van-ban-cua-dhqghn-lien-quan-den-hoat-dong-cua-truong-thong-bao-thang-06-2026/46616" TargetMode="External"/><Relationship Id="rId48" Type="http://schemas.openxmlformats.org/officeDocument/2006/relationships/hyperlink" Target="https://drive.google.com/file/d/1GgnuaPK0baX-eGj3gOQ2XlNJrshIL1fS/view?usp=sharing" TargetMode="External"/><Relationship Id="rId113" Type="http://schemas.openxmlformats.org/officeDocument/2006/relationships/hyperlink" Target="https://ueb.edu.vn/Tin-Tuc/UEB/so-sanh-diem-moi-cua-nghi-dinh-142-2025-nd-cp-va-nghi-dinh-127-2018-nd-cp-ve-trach-nhiem-quan-ly-nha-nuoc-trong-linh-vuc-giao-duc/44925" TargetMode="External"/><Relationship Id="rId320" Type="http://schemas.openxmlformats.org/officeDocument/2006/relationships/hyperlink" Target="https://drive.google.com/file/d/1VRZmVFw1gTl3KAbfGbEL-yT0PwQ_jLZU/view?usp=drive_link" TargetMode="External"/><Relationship Id="rId558" Type="http://schemas.openxmlformats.org/officeDocument/2006/relationships/hyperlink" Target="https://drive.google.com/file/d/1yd0dZv4hTgJe3NrESSFofhURysufe-8c/view?usp=drive_link" TargetMode="External"/><Relationship Id="rId155" Type="http://schemas.openxmlformats.org/officeDocument/2006/relationships/hyperlink" Target="https://ueb.edu.vn/Tin-Tuc/UEB/nhung-van-ban-quy-pham-phap-luat-van-ban-cua-dhqghn-lien-quan-den-hoat-dong-cua-truong-cap-nhat-nua-dau-thang-06-2025/44876" TargetMode="External"/><Relationship Id="rId197" Type="http://schemas.openxmlformats.org/officeDocument/2006/relationships/hyperlink" Target="https://ueb.edu.vn/Tin-Tuc/UEB/nhung-van-ban-quy-pham-phap-luat-van-ban-cua-dhqghn-lien-quan-den-hoat-dong-cua-truong-thong-bao-thang-7-2025-lan-2/45125" TargetMode="External"/><Relationship Id="rId362" Type="http://schemas.openxmlformats.org/officeDocument/2006/relationships/hyperlink" Target="https://drive.google.com/file/d/1M9PiFWbrN4ziY6RkfH7PZk_UbwVOZG0H/view?usp=drive_link" TargetMode="External"/><Relationship Id="rId418" Type="http://schemas.openxmlformats.org/officeDocument/2006/relationships/hyperlink" Target="https://drive.google.com/file/d/1hJSADKEJugc0S_tc06ZQKY0VJQ2WkQTB/view?usp=drive_link" TargetMode="External"/><Relationship Id="rId625" Type="http://schemas.openxmlformats.org/officeDocument/2006/relationships/hyperlink" Target="https://drive.google.com/file/d/1tPEDNvYJIpS4uZkk8pkCq3hQ8_QevX8K/view?usp=sharing" TargetMode="External"/><Relationship Id="rId222" Type="http://schemas.openxmlformats.org/officeDocument/2006/relationships/hyperlink" Target="https://drive.google.com/file/d/1Al-wel7AuXWSZgcD26htXK3aTpmjsAzw/view?usp=drive_link" TargetMode="External"/><Relationship Id="rId264" Type="http://schemas.openxmlformats.org/officeDocument/2006/relationships/hyperlink" Target="https://drive.google.com/file/d/13RiH5lH8KxEDhz_OvydG73tHVgzcQjbi/view?usp=drive_link" TargetMode="External"/><Relationship Id="rId471" Type="http://schemas.openxmlformats.org/officeDocument/2006/relationships/hyperlink" Target="https://drive.google.com/file/d/13omfLrGJGXomoVqYovc1fuN2r5BQkLwQ/view?usp=drive_lin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z_Hq7Yy0nyC9FAJfULDoUhQFYyjDh1fC/view?usp=sharing" TargetMode="External"/><Relationship Id="rId117" Type="http://schemas.openxmlformats.org/officeDocument/2006/relationships/hyperlink" Target="https://ueb.edu.vn/Tin-Tuc/UEB/nhung-van-ban-quy-pham-phap-luat-van-ban-cua-dhqghn-lien-quan-den-hoat-dong-cua-truong-thong-bao-thang-5-2026/46432" TargetMode="External"/><Relationship Id="rId21" Type="http://schemas.openxmlformats.org/officeDocument/2006/relationships/hyperlink" Target="http://ueb.edu.vn/Tin-Tuc/UEB/so-sanh-cac-diem-moi-cua-cua-luat-viec-lam-2025-do-quoc-hoi-ban-hanh-ngay-16-06-2025-va-luat-viec-lam-2013-do-quoc-hoi-ban-hanh-ngay-16-11-2013/45126" TargetMode="External"/><Relationship Id="rId42" Type="http://schemas.openxmlformats.org/officeDocument/2006/relationships/hyperlink" Target="http://112.137.137.72:8080/browse/TTPC-4017?jql=project%20%3D%20TTPC%20AND%20status%20%3D%20%22In%20Progress%22" TargetMode="External"/><Relationship Id="rId47" Type="http://schemas.openxmlformats.org/officeDocument/2006/relationships/hyperlink" Target="https://drive.google.com/file/d/1xnK2dpsaA0zR3cvmrDKplsEE-vhwJjBe/view?usp=drive_link" TargetMode="External"/><Relationship Id="rId63" Type="http://schemas.openxmlformats.org/officeDocument/2006/relationships/hyperlink" Target="https://drive.google.com/file/d/13fOoSEIC8MEZT4AcJQt32bnIvArdWTfT/view?usp=drive_link" TargetMode="External"/><Relationship Id="rId68" Type="http://schemas.openxmlformats.org/officeDocument/2006/relationships/hyperlink" Target="https://drive.google.com/file/d/1rkN7O2eKVH5TtaF9oLdUP8M0zY9dRd1A/view?usp=drive_link" TargetMode="External"/><Relationship Id="rId84" Type="http://schemas.openxmlformats.org/officeDocument/2006/relationships/hyperlink" Target="https://drive.google.com/file/d/1UKiYniWcRaF6CCG2UyqvYrxS4YSWbZKS/view?usp=drive_link" TargetMode="External"/><Relationship Id="rId89" Type="http://schemas.openxmlformats.org/officeDocument/2006/relationships/hyperlink" Target="https://ueb.edu.vn/Tin-Tuc/UEB/nhung-van-ban-quy-pham-phap-luat-van-ban-cua-dhqghn-lien-quan-den-hoat-dong-cua-truong-thong-bao-thang-11-2025/45605" TargetMode="External"/><Relationship Id="rId112" Type="http://schemas.openxmlformats.org/officeDocument/2006/relationships/hyperlink" Target="https://ueb.edu.vn/Tin-Tuc/UEB/nhung-van-ban-quy-pham-phap-luat-van-ban-cua-dhqghn-lien-quan-den-hoat-dong-cua-truong-thong-bao-thang-5-2026/46432" TargetMode="External"/><Relationship Id="rId16" Type="http://schemas.openxmlformats.org/officeDocument/2006/relationships/hyperlink" Target="https://ueb.edu.vn/Tin-Tuc/UEB/so-sanh-diem-moi-cua-nghi-dinh-155-2025-nd-cp-va-nghi-dinh-152-2017-nd-cp-ve-quy-dinh-tieu-chuan-dinh-muc-su-dung-tru-so-lam-viec-co-so-hoat-dong-su-nghiep/45043" TargetMode="External"/><Relationship Id="rId107" Type="http://schemas.openxmlformats.org/officeDocument/2006/relationships/hyperlink" Target="https://ueb.edu.vn/Tin-Tuc/UEB/nhung-van-ban-quy-pham-phap-luat-van-ban-cua-dhqghn-lien-quan-den-hoat-dong-cua-truong-cap-nhat-nua-dau-thang-03-2026/46136" TargetMode="External"/><Relationship Id="rId11" Type="http://schemas.openxmlformats.org/officeDocument/2006/relationships/hyperlink" Target="https://ueb.edu.vn/Tin-Tuc/UEB/so-sanh-diem-moi-cua-nghi-dinh-142-2025-nd-cp-va-nghi-dinh-127-2018-nd-cp-ve-trach-nhiem-quan-ly-nha-nuoc-trong-linh-vuc-giao-duc/44925" TargetMode="External"/><Relationship Id="rId32" Type="http://schemas.openxmlformats.org/officeDocument/2006/relationships/hyperlink" Target="https://ueb.edu.vn/Tin-Tuc/UEB/nhung-van-ban-quy-pham-phap-luat-van-ban-cua-dhqghn-lien-quan-den-hoat-dong-cua-truong-thong-bao-thang-9-2025-lan-1/45231" TargetMode="External"/><Relationship Id="rId37" Type="http://schemas.openxmlformats.org/officeDocument/2006/relationships/hyperlink" Target="https://ueb.edu.vn/Tin-Tuc/UEB/nhung-van-ban-quy-pham-phap-luat-van-ban-cua-dhqghn-lien-quan-den-hoat-dong-cua-truong-thong-bao-thang-9-2025/45313" TargetMode="External"/><Relationship Id="rId53" Type="http://schemas.openxmlformats.org/officeDocument/2006/relationships/hyperlink" Target="https://drive.google.com/file/d/1_DR0jMP2Qy8LLfb-LPnPCuu5tzhubQRa/view?usp=drive_link" TargetMode="External"/><Relationship Id="rId58" Type="http://schemas.openxmlformats.org/officeDocument/2006/relationships/hyperlink" Target="https://drive.google.com/file/d/1wSWhYrq6bGzIe05wFa4XSXyTkOGFSSRV/view?usp=drive_link" TargetMode="External"/><Relationship Id="rId74" Type="http://schemas.openxmlformats.org/officeDocument/2006/relationships/hyperlink" Target="https://drive.google.com/file/d/1qgqxWpDw2NXXTTHvkkEbTEi01tDWyVg5/view?usp=drive_link" TargetMode="External"/><Relationship Id="rId79" Type="http://schemas.openxmlformats.org/officeDocument/2006/relationships/hyperlink" Target="https://drive.google.com/file/d/1nT1WtY9j-wqhRmCLgi3IK86g7Sr9N6ja/view?usp=drive_link" TargetMode="External"/><Relationship Id="rId102" Type="http://schemas.openxmlformats.org/officeDocument/2006/relationships/hyperlink" Target="https://ueb.edu.vn/Tin-Tuc/UEB/nhung-van-ban-quy-pham-phap-luat-van-ban-cua-dhqghn-lien-quan-den-hoat-dong-cua-truong-thong-bao-thang-12-2025/45845" TargetMode="External"/><Relationship Id="rId123" Type="http://schemas.openxmlformats.org/officeDocument/2006/relationships/printerSettings" Target="../printerSettings/printerSettings2.bin"/><Relationship Id="rId5" Type="http://schemas.openxmlformats.org/officeDocument/2006/relationships/hyperlink" Target="https://docs.google.com/document/d/11bbgqKg5Va7owi6IpZI3kwnjtK0iLgeD/edit" TargetMode="External"/><Relationship Id="rId61" Type="http://schemas.openxmlformats.org/officeDocument/2006/relationships/hyperlink" Target="https://drive.google.com/file/d/1XktW_ZkhpEtz0OpdIpRItV3oJzkKtzDm/view?usp=drive_link" TargetMode="External"/><Relationship Id="rId82" Type="http://schemas.openxmlformats.org/officeDocument/2006/relationships/hyperlink" Target="https://drive.google.com/file/d/1cgqKb1FPJPq9ERGA4AS3Ha7qN5pUrLzn/view?usp=drive_link" TargetMode="External"/><Relationship Id="rId90" Type="http://schemas.openxmlformats.org/officeDocument/2006/relationships/hyperlink" Target="https://drive.google.com/file/d/1sCyXcaOIFCQLItynWJh8vK3juJhwQ_g2/view?usp=drive_link" TargetMode="External"/><Relationship Id="rId95" Type="http://schemas.openxmlformats.org/officeDocument/2006/relationships/hyperlink" Target="https://ueb.edu.vn/Tin-Tuc/UEB/nhung-van-ban-quy-pham-phap-luat-van-ban-cua-dhqghn-lien-quan-den-hoat-dong-cua-truong-thong-bao-thang-11-2025/45715" TargetMode="External"/><Relationship Id="rId19" Type="http://schemas.openxmlformats.org/officeDocument/2006/relationships/hyperlink" Target="https://ueb.edu.vn/Tin-Tuc/UEB/so-sanh-diem-moi-cua-nghi-dinh-155-2025-nd-cp-va-nghi-dinh-152-2017-nd-cp-ve-quy-dinh-tieu-chuan-dinh-muc-su-dung-tru-so-lam-viec-co-so-hoat-dong-su-nghiep/45043" TargetMode="External"/><Relationship Id="rId14" Type="http://schemas.openxmlformats.org/officeDocument/2006/relationships/hyperlink" Target="https://ueb.edu.vn/Tin-Tuc/UEB/so-sanh-diem-moi-cua-nghi-dinh-153-2025-nd-cp-va-nghi-dinh-72-2023-nd-cp-ve-quy-dinh-tieu-chuan-dinh-muc-su-dung-xe-o-to/44968" TargetMode="External"/><Relationship Id="rId22" Type="http://schemas.openxmlformats.org/officeDocument/2006/relationships/hyperlink" Target="http://ueb.edu.vn/Tin-Tuc/UEB/so-sanh-cac-diem-moi-cua-cua-luat-viec-lam-2025-do-quoc-hoi-ban-hanh-ngay-16-06-2025-va-luat-viec-lam-2013-do-quoc-hoi-ban-hanh-ngay-16-11-2013/45126" TargetMode="External"/><Relationship Id="rId27" Type="http://schemas.openxmlformats.org/officeDocument/2006/relationships/hyperlink" Target="https://ueb.edu.vn/Tin-Tuc/UEB/nhung-van-ban-quy-pham-phap-luat-van-ban-cua-dhqghn-lien-quan-den-hoat-dong-cua-truong-thong-bao-thang-8-2025-lan-02/45199" TargetMode="External"/><Relationship Id="rId30" Type="http://schemas.openxmlformats.org/officeDocument/2006/relationships/hyperlink" Target="https://ueb.edu.vn/Tin-Tuc/UEB/nhung-van-ban-quy-pham-phap-luat-van-ban-cua-dhqghn-lien-quan-den-hoat-dong-cua-truong-thong-bao-thang-9-2025-lan-1/45231" TargetMode="External"/><Relationship Id="rId35" Type="http://schemas.openxmlformats.org/officeDocument/2006/relationships/hyperlink" Target="https://ueb.edu.vn/Tin-Tuc/UEB/nhung-van-ban-quy-pham-phap-luat-van-ban-cua-dhqghn-lien-quan-den-hoat-dong-cua-truong-thong-bao-thang-9-2025/45313" TargetMode="External"/><Relationship Id="rId43" Type="http://schemas.openxmlformats.org/officeDocument/2006/relationships/hyperlink" Target="https://ueb.edu.vn/Tin-Tuc/UEB/nhung-van-ban-quy-pham-phap-luat-van-ban-cua-dhqghn-lien-quan-den-hoat-dong-cua-truong-thong-bao-thang-10-2025/45507" TargetMode="External"/><Relationship Id="rId48" Type="http://schemas.openxmlformats.org/officeDocument/2006/relationships/hyperlink" Target="https://drive.google.com/file/d/1mUvqmik_JqVMSI2DnpwyLV4u9FPRNZq3/view?usp=drive_link" TargetMode="External"/><Relationship Id="rId56" Type="http://schemas.openxmlformats.org/officeDocument/2006/relationships/hyperlink" Target="https://drive.google.com/file/d/1ZTnpg2yk-rVxXCzdJwFMWhymoDrxz2Kb/view?usp=drive_link" TargetMode="External"/><Relationship Id="rId64" Type="http://schemas.openxmlformats.org/officeDocument/2006/relationships/hyperlink" Target="https://drive.google.com/file/d/1Ul_gaFHopdrgOF1hoQabUc-w4smvKoYM/view?usp=drive_link" TargetMode="External"/><Relationship Id="rId69" Type="http://schemas.openxmlformats.org/officeDocument/2006/relationships/hyperlink" Target="https://drive.google.com/file/d/1Al-wel7AuXWSZgcD26htXK3aTpmjsAzw/view?usp=drive_link" TargetMode="External"/><Relationship Id="rId77" Type="http://schemas.openxmlformats.org/officeDocument/2006/relationships/hyperlink" Target="https://drive.google.com/file/d/1nJkhDDEhD68245xPlIX_7pdpb5smWuyh/view?usp=drive_link" TargetMode="External"/><Relationship Id="rId100" Type="http://schemas.openxmlformats.org/officeDocument/2006/relationships/hyperlink" Target="https://ueb.edu.vn/Tin-Tuc/UEB/nhung-van-ban-quy-pham-phap-luat-van-ban-cua-dhqghn-lien-quan-den-hoat-dong-cua-truong-thong-bao-thang-12-2025/45845" TargetMode="External"/><Relationship Id="rId105" Type="http://schemas.openxmlformats.org/officeDocument/2006/relationships/hyperlink" Target="https://ueb.edu.vn/Tin-Tuc/UEB/nhung-van-ban-quy-pham-phap-luat-van-ban-cua-dhqghn-lien-quan-den-hoat-dong-cua-truong-thong-bao-thang-12-2025/45845" TargetMode="External"/><Relationship Id="rId113" Type="http://schemas.openxmlformats.org/officeDocument/2006/relationships/hyperlink" Target="https://ueb.edu.vn/Tin-Tuc/UEB/nhung-van-ban-quy-pham-phap-luat-van-ban-cua-dhqghn-lien-quan-den-hoat-dong-cua-truong-thong-bao-thang-5-2026/46432" TargetMode="External"/><Relationship Id="rId118" Type="http://schemas.openxmlformats.org/officeDocument/2006/relationships/hyperlink" Target="https://ueb.edu.vn/Tin-Tuc/UEB/nhung-van-ban-quy-pham-phap-luat-van-ban-cua-dhqghn-lien-quan-den-hoat-dong-cua-truong-thong-bao-thang-08-2026/46853" TargetMode="External"/><Relationship Id="rId8" Type="http://schemas.openxmlformats.org/officeDocument/2006/relationships/hyperlink" Target="https://ueb.edu.vn/Tin-Tuc/UEB/so-sanh-diem-moi-cua-thong-tu-08-2025-tt-bgddt-so-voi-thong-tu-27-2016-tt-bgddt-ve-thoi-han-luu-tru-ho-so-tai-lieu-chuyen-mon-nghiep-vu-trong-linh-vuc-giao-duc-dai-hoc/44727" TargetMode="External"/><Relationship Id="rId51" Type="http://schemas.openxmlformats.org/officeDocument/2006/relationships/hyperlink" Target="https://drive.google.com/file/d/17XV5RHB_zmbwL0Dn_8Xq8tLGxSxWanZk/view?usp=drive_link" TargetMode="External"/><Relationship Id="rId72" Type="http://schemas.openxmlformats.org/officeDocument/2006/relationships/hyperlink" Target="https://drive.google.com/file/d/1aGCL_jp2eHZW7-51sokWH2rv5yfh4ALs/view?usp=drive_link" TargetMode="External"/><Relationship Id="rId80" Type="http://schemas.openxmlformats.org/officeDocument/2006/relationships/hyperlink" Target="https://drive.google.com/file/d/1e6fGhxbPdSCTpqs52LetBc7qO9QMNdl3/view?usp=drive_link" TargetMode="External"/><Relationship Id="rId85" Type="http://schemas.openxmlformats.org/officeDocument/2006/relationships/hyperlink" Target="https://drive.google.com/file/d/1pHRrmU4pWzjxhibLYc28unczM6gm9a3k/view?usp=drive_link" TargetMode="External"/><Relationship Id="rId93" Type="http://schemas.openxmlformats.org/officeDocument/2006/relationships/hyperlink" Target="https://drive.google.com/file/d/1LXIOd2DPxglQ8ya4M3QSmvMD5wO06_Z1/view?usp=drive_link" TargetMode="External"/><Relationship Id="rId98" Type="http://schemas.openxmlformats.org/officeDocument/2006/relationships/hyperlink" Target="https://ueb.edu.vn/Tin-Tuc/UEB/nhung-van-ban-quy-pham-phap-luat-van-ban-cua-dhqghn-lien-quan-den-hoat-dong-cua-truong-cap-nhat-nua-sau-thang-02-2026/46074" TargetMode="External"/><Relationship Id="rId121" Type="http://schemas.openxmlformats.org/officeDocument/2006/relationships/hyperlink" Target="https://drive.google.com/file/d/1YffboEnoulp0B5e42wPCnOBQVO4vP4zB/view?usp=sharing" TargetMode="External"/><Relationship Id="rId3" Type="http://schemas.openxmlformats.org/officeDocument/2006/relationships/hyperlink" Target="https://docs.google.com/document/d/1y7mIZ6y0lLPKu9F5pgnL6iGPgr9vxqOO/edit" TargetMode="External"/><Relationship Id="rId12" Type="http://schemas.openxmlformats.org/officeDocument/2006/relationships/hyperlink" Target="https://ueb.edu.vn/Tin-Tuc/UEB/so-sanh-diem-moi-cua-nghi-dinh-142-2025-nd-cp-va-nghi-dinh-127-2018-nd-cp-ve-trach-nhiem-quan-ly-nha-nuoc-trong-linh-vuc-giao-duc/44925" TargetMode="External"/><Relationship Id="rId17" Type="http://schemas.openxmlformats.org/officeDocument/2006/relationships/hyperlink" Target="https://ueb.edu.vn/Tin-Tuc/UEB/so-sanh-diem-moi-cua-nghi-dinh-155-2025-nd-cp-va-nghi-dinh-152-2017-nd-cp-ve-quy-dinh-tieu-chuan-dinh-muc-su-dung-tru-so-lam-viec-co-so-hoat-dong-su-nghiep/45043" TargetMode="External"/><Relationship Id="rId25" Type="http://schemas.openxmlformats.org/officeDocument/2006/relationships/hyperlink" Target="https://ueb.edu.vn/Tin-Tuc/UEB/nhung-van-ban-quy-pham-phap-luat-van-ban-cua-dhqghn-lien-quan-den-hoat-dong-cua-truong-thong-bao-thang-8-2025-lan-02/45199" TargetMode="External"/><Relationship Id="rId33" Type="http://schemas.openxmlformats.org/officeDocument/2006/relationships/hyperlink" Target="https://ueb.edu.vn/Tin-Tuc/UEB/nhung-van-ban-quy-pham-phap-luat-van-ban-cua-dhqghn-lien-quan-den-hoat-dong-cua-truong-thong-bao-thang-9-2025/45313" TargetMode="External"/><Relationship Id="rId38" Type="http://schemas.openxmlformats.org/officeDocument/2006/relationships/hyperlink" Target="https://ueb.edu.vn/Tin-Tuc/UEB/nhung-van-ban-quy-pham-phap-luat-van-ban-cua-dhqghn-lien-quan-den-hoat-dong-cua-truong-thong-bao-thang-9-2025/45313" TargetMode="External"/><Relationship Id="rId46" Type="http://schemas.openxmlformats.org/officeDocument/2006/relationships/hyperlink" Target="https://drive.google.com/file/d/17wAOx6IS9mv53K_4iXsOdimEeSz7W4K-/view?usp=drive_link" TargetMode="External"/><Relationship Id="rId59" Type="http://schemas.openxmlformats.org/officeDocument/2006/relationships/hyperlink" Target="https://drive.google.com/file/d/1FEHvgcaWFnichgspQsWsNIk9z7H8AFLe/view?usp=drive_link" TargetMode="External"/><Relationship Id="rId67" Type="http://schemas.openxmlformats.org/officeDocument/2006/relationships/hyperlink" Target="https://drive.google.com/file/d/1TwL9qMkgLEaKoiLZgZucATEnTKf47rEj/view?usp=drive_link" TargetMode="External"/><Relationship Id="rId103" Type="http://schemas.openxmlformats.org/officeDocument/2006/relationships/hyperlink" Target="https://drive.google.com/file/d/13omfLrGJGXomoVqYovc1fuN2r5BQkLwQ/view?usp=drive_link" TargetMode="External"/><Relationship Id="rId108" Type="http://schemas.openxmlformats.org/officeDocument/2006/relationships/hyperlink" Target="https://ueb.edu.vn/Tin-Tuc/UEB/nhung-van-ban-quy-pham-phap-luat-van-ban-cua-dhqghn-lien-quan-den-hoat-dong-cua-truong-cap-nhat-nua-dau-thang-03-2026/46136" TargetMode="External"/><Relationship Id="rId116" Type="http://schemas.openxmlformats.org/officeDocument/2006/relationships/hyperlink" Target="https://ueb.edu.vn/Tin-Tuc/UEB/nhung-van-ban-quy-pham-phap-luat-van-ban-cua-dhqghn-lien-quan-den-hoat-dong-cua-truong-thong-bao-thang-5-2026/46432" TargetMode="External"/><Relationship Id="rId20" Type="http://schemas.openxmlformats.org/officeDocument/2006/relationships/hyperlink" Target="https://ueb.edu.vn/Tin-Tuc/UEB/so-sanh-diem-moi-cua-nghi-dinh-155-2025-nd-cp-va-nghi-dinh-152-2017-nd-cp-ve-quy-dinh-tieu-chuan-dinh-muc-su-dung-tru-so-lam-viec-co-so-hoat-dong-su-nghiep/45043" TargetMode="External"/><Relationship Id="rId41" Type="http://schemas.openxmlformats.org/officeDocument/2006/relationships/hyperlink" Target="http://112.137.137.72:8080/browse/TTPC-4017?jql=project%20%3D%20TTPC%20AND%20status%20%3D%20%22In%20Progress%22" TargetMode="External"/><Relationship Id="rId54" Type="http://schemas.openxmlformats.org/officeDocument/2006/relationships/hyperlink" Target="https://drive.google.com/file/d/1kwUlG3l8msCtO4fFJwGlrkUCUZYgX084/view?usp=drive_link" TargetMode="External"/><Relationship Id="rId62" Type="http://schemas.openxmlformats.org/officeDocument/2006/relationships/hyperlink" Target="https://drive.google.com/file/d/1z-KkgWzDa_-nig9OFEqAu1d2DIwFnfOY/view?usp=drive_link" TargetMode="External"/><Relationship Id="rId70" Type="http://schemas.openxmlformats.org/officeDocument/2006/relationships/hyperlink" Target="https://drive.google.com/file/d/1bjLqychUpyY7DTks3ivYZBQfI65jhirx/view?usp=sharing" TargetMode="External"/><Relationship Id="rId75" Type="http://schemas.openxmlformats.org/officeDocument/2006/relationships/hyperlink" Target="https://drive.google.com/file/d/1nT1WtY9j-wqhRmCLgi3IK86g7Sr9N6ja/view?usp=drive_link" TargetMode="External"/><Relationship Id="rId83" Type="http://schemas.openxmlformats.org/officeDocument/2006/relationships/hyperlink" Target="https://drive.google.com/file/d/1dd6VHLqS2ESQoeLzRjxvDfKTr_eS7Ga0/view?usp=drive_link" TargetMode="External"/><Relationship Id="rId88" Type="http://schemas.openxmlformats.org/officeDocument/2006/relationships/hyperlink" Target="https://ueb.edu.vn/Tin-Tuc/UEB/nhung-van-ban-quy-pham-phap-luat-van-ban-cua-dhqghn-lien-quan-den-hoat-dong-cua-truong-thong-bao-thang-11-2025/45605" TargetMode="External"/><Relationship Id="rId91" Type="http://schemas.openxmlformats.org/officeDocument/2006/relationships/hyperlink" Target="https://drive.google.com/file/d/179qyK-iVji2yy1AsMqgsP5GoKhVpqWHc/view?usp=drive_link" TargetMode="External"/><Relationship Id="rId96" Type="http://schemas.openxmlformats.org/officeDocument/2006/relationships/hyperlink" Target="https://ueb.edu.vn/Tin-Tuc/UEB/nhung-van-ban-quy-pham-phap-luat-van-ban-cua-dhqghn-lien-quan-den-hoat-dong-cua-truong-thong-bao-thang-11-2025/45715" TargetMode="External"/><Relationship Id="rId111" Type="http://schemas.openxmlformats.org/officeDocument/2006/relationships/hyperlink" Target="https://ueb.edu.vn/Tin-Tuc/UEB/nhung-van-ban-quy-pham-phap-luat-van-ban-cua-dhqghn-lien-quan-den-hoat-dong-cua-truong-thong-bao-thang-4-2026/46311" TargetMode="External"/><Relationship Id="rId1" Type="http://schemas.openxmlformats.org/officeDocument/2006/relationships/hyperlink" Target="https://docs.google.com/document/d/1tRy-GVoOOtnHjqGCF92sAtwMh3vNkRlX/edit" TargetMode="External"/><Relationship Id="rId6" Type="http://schemas.openxmlformats.org/officeDocument/2006/relationships/hyperlink" Target="https://docs.google.com/document/d/1HUOVICbUza44UiuKdhpGIR_Ht31LhQGD/edit" TargetMode="External"/><Relationship Id="rId15" Type="http://schemas.openxmlformats.org/officeDocument/2006/relationships/hyperlink" Target="https://ueb.edu.vn/Tin-Tuc/UEB/so-sanh-diem-moi-cua-nghi-dinh-155-2025-nd-cp-va-nghi-dinh-152-2017-nd-cp-ve-quy-dinh-tieu-chuan-dinh-muc-su-dung-tru-so-lam-viec-co-so-hoat-dong-su-nghiep/45043" TargetMode="External"/><Relationship Id="rId23" Type="http://schemas.openxmlformats.org/officeDocument/2006/relationships/hyperlink" Target="https://ueb.edu.vn/Tin-Tuc/UEB/nhung-van-ban-quy-pham-phap-luat-van-ban-cua-dhqghn-lien-quan-den-hoat-dong-cua-truong-thong-bao-thang-8-2025-lan-02/45199" TargetMode="External"/><Relationship Id="rId28" Type="http://schemas.openxmlformats.org/officeDocument/2006/relationships/hyperlink" Target="https://ueb.edu.vn/Tin-Tuc/UEB/nhung-van-ban-quy-pham-phap-luat-van-ban-cua-dhqghn-lien-quan-den-hoat-dong-cua-truong-thong-bao-thang-9-2025-lan-1/45231" TargetMode="External"/><Relationship Id="rId36" Type="http://schemas.openxmlformats.org/officeDocument/2006/relationships/hyperlink" Target="https://ueb.edu.vn/Tin-Tuc/UEB/nhung-van-ban-quy-pham-phap-luat-van-ban-cua-dhqghn-lien-quan-den-hoat-dong-cua-truong-thong-bao-thang-9-2025/45313" TargetMode="External"/><Relationship Id="rId49" Type="http://schemas.openxmlformats.org/officeDocument/2006/relationships/hyperlink" Target="https://drive.google.com/file/d/1s51qnFmwluL7Yl69TV1168TtOExPafiV/view?usp=drive_link" TargetMode="External"/><Relationship Id="rId57" Type="http://schemas.openxmlformats.org/officeDocument/2006/relationships/hyperlink" Target="https://drive.google.com/file/d/1kh-lAYCBHwL09JYjGApzem6lVliPp0zb/view?usp=drive_link" TargetMode="External"/><Relationship Id="rId106" Type="http://schemas.openxmlformats.org/officeDocument/2006/relationships/hyperlink" Target="https://drive.google.com/file/d/1FD2RdySqSk-GIt94Yugsj_gfDR_864rY/view?usp=drive_link" TargetMode="External"/><Relationship Id="rId114" Type="http://schemas.openxmlformats.org/officeDocument/2006/relationships/hyperlink" Target="https://ueb.edu.vn/Tin-Tuc/UEB/nhung-van-ban-quy-pham-phap-luat-van-ban-cua-dhqghn-lien-quan-den-hoat-dong-cua-truong-thong-bao-thang-5-2026/46432" TargetMode="External"/><Relationship Id="rId119" Type="http://schemas.openxmlformats.org/officeDocument/2006/relationships/hyperlink" Target="https://ueb.edu.vn/Tin-Tuc/UEB/nhung-van-ban-quy-pham-phap-luat-van-ban-cua-dhqghn-lien-quan-den-hoat-dong-cua-truong-thong-bao-thang-08-2026/46853" TargetMode="External"/><Relationship Id="rId10" Type="http://schemas.openxmlformats.org/officeDocument/2006/relationships/hyperlink" Target="https://ueb.edu.vn/Tin-Tuc/UEB/so-sanh-diem-moi-cua-thong-tu-08-2025-tt-bgddt-so-voi-thong-tu-27-2016-tt-bgddt-ve-thoi-han-luu-tru-ho-so-tai-lieu-chuyen-mon-nghiep-vu-trong-linh-vuc-giao-duc-dai-hoc/44727" TargetMode="External"/><Relationship Id="rId31" Type="http://schemas.openxmlformats.org/officeDocument/2006/relationships/hyperlink" Target="https://ueb.edu.vn/Tin-Tuc/UEB/nhung-van-ban-quy-pham-phap-luat-van-ban-cua-dhqghn-lien-quan-den-hoat-dong-cua-truong-thong-bao-thang-9-2025-lan-1/45231" TargetMode="External"/><Relationship Id="rId44" Type="http://schemas.openxmlformats.org/officeDocument/2006/relationships/hyperlink" Target="https://ueb.edu.vn/Tin-Tuc/UEB/nhung-van-ban-quy-pham-phap-luat-van-ban-cua-dhqghn-lien-quan-den-hoat-dong-cua-truong-thong-bao-thang-10-2025/45507" TargetMode="External"/><Relationship Id="rId52" Type="http://schemas.openxmlformats.org/officeDocument/2006/relationships/hyperlink" Target="https://drive.google.com/file/d/16OawLfE-G-eyEb9oQCmpo1h2evwUtQD7/view?usp=drive_link" TargetMode="External"/><Relationship Id="rId60" Type="http://schemas.openxmlformats.org/officeDocument/2006/relationships/hyperlink" Target="https://drive.google.com/file/d/11u2rpcLF5UY37OE4cD_xMY9pJiNkz2yn/view?usp=drive_link" TargetMode="External"/><Relationship Id="rId65" Type="http://schemas.openxmlformats.org/officeDocument/2006/relationships/hyperlink" Target="https://drive.google.com/file/d/1KJn7y0aW2xi6vQkbKSl473gdWYdrVtWN/view?usp=drive_link" TargetMode="External"/><Relationship Id="rId73" Type="http://schemas.openxmlformats.org/officeDocument/2006/relationships/hyperlink" Target="https://drive.google.com/file/d/1hYXUqtMxEY7Jaa8ZiJ0CCzPd-vn38X7b/view?usp=drive_link" TargetMode="External"/><Relationship Id="rId78" Type="http://schemas.openxmlformats.org/officeDocument/2006/relationships/hyperlink" Target="https://drive.google.com/file/d/143hTpUkNktFQonapGDPScewHHCSrU56M/view?usp=drive_link" TargetMode="External"/><Relationship Id="rId81" Type="http://schemas.openxmlformats.org/officeDocument/2006/relationships/hyperlink" Target="https://drive.google.com/file/d/1HFGtXJ-iRWtJByPaRrjuPW0LmNgX_22f/view?usp=drive_link" TargetMode="External"/><Relationship Id="rId86" Type="http://schemas.openxmlformats.org/officeDocument/2006/relationships/hyperlink" Target="https://ueb.edu.vn/Tin-Tuc/UEB/nhung-van-ban-quy-pham-phap-luat-van-ban-cua-dhqghn-lien-quan-den-hoat-dong-cua-truong-thong-bao-thang-11-2025/45605" TargetMode="External"/><Relationship Id="rId94" Type="http://schemas.openxmlformats.org/officeDocument/2006/relationships/hyperlink" Target="https://ueb.edu.vn/Tin-Tuc/UEB/nhung-van-ban-quy-pham-phap-luat-van-ban-cua-dhqghn-lien-quan-den-hoat-dong-cua-truong-thong-bao-thang-11-2025/45715" TargetMode="External"/><Relationship Id="rId99" Type="http://schemas.openxmlformats.org/officeDocument/2006/relationships/hyperlink" Target="https://ueb.edu.vn/Tin-Tuc/UEB/nhung-van-ban-quy-pham-phap-luat-van-ban-cua-dhqghn-lien-quan-den-hoat-dong-cua-truong-cap-nhat-nua-sau-thang-02-2026/46074" TargetMode="External"/><Relationship Id="rId101" Type="http://schemas.openxmlformats.org/officeDocument/2006/relationships/hyperlink" Target="https://drive.google.com/file/d/1FD2RdySqSk-GIt94Yugsj_gfDR_864rY/view?usp=drive_link" TargetMode="External"/><Relationship Id="rId122" Type="http://schemas.openxmlformats.org/officeDocument/2006/relationships/hyperlink" Target="https://drive.google.com/file/d/1fkJZazYLOpsXO3VmSXveN3DQ3izuFKJi/view?usp=sharing" TargetMode="External"/><Relationship Id="rId4" Type="http://schemas.openxmlformats.org/officeDocument/2006/relationships/hyperlink" Target="https://ueb.edu.vn/Tin-Tuc/UEB/nhung-van-ban-quy-pham-phap-luat-van-ban-cua-dhqghn-lien-quan-den-hoat-dong-cua-truong-cap-nhat-nua-dau-thang-05-2025/44689" TargetMode="External"/><Relationship Id="rId9" Type="http://schemas.openxmlformats.org/officeDocument/2006/relationships/hyperlink" Target="https://ueb.edu.vn/Tin-Tuc/UEB/nhung-van-ban-quy-pham-phap-luat-van-ban-cua-dhqghn-lien-quan-den-hoat-dong-cua-truong-cap-nhat-nua-dau-thang-05-2025/44689" TargetMode="External"/><Relationship Id="rId13" Type="http://schemas.openxmlformats.org/officeDocument/2006/relationships/hyperlink" Target="https://ueb.edu.vn/Tin-Tuc/UEB/so-sanh-diem-moi-cua-nghi-dinh-153-2025-nd-cp-va-nghi-dinh-72-2023-nd-cp-ve-quy-dinh-tieu-chuan-dinh-muc-su-dung-xe-o-to/44968" TargetMode="External"/><Relationship Id="rId18" Type="http://schemas.openxmlformats.org/officeDocument/2006/relationships/hyperlink" Target="https://ueb.edu.vn/Tin-Tuc/UEB/so-sanh-diem-moi-cua-nghi-dinh-155-2025-nd-cp-va-nghi-dinh-152-2017-nd-cp-ve-quy-dinh-tieu-chuan-dinh-muc-su-dung-tru-so-lam-viec-co-so-hoat-dong-su-nghiep/45043" TargetMode="External"/><Relationship Id="rId39" Type="http://schemas.openxmlformats.org/officeDocument/2006/relationships/hyperlink" Target="https://ueb.edu.vn/Tin-Tuc/UEB/nhung-van-ban-quy-pham-phap-luat-van-ban-cua-dhqghn-lien-quan-den-hoat-dong-cua-truong-thong-bao-thang-9-2025/45313" TargetMode="External"/><Relationship Id="rId109" Type="http://schemas.openxmlformats.org/officeDocument/2006/relationships/hyperlink" Target="https://ueb.edu.vn/Tin-Tuc/UEB/nhung-van-ban-quy-pham-phap-luat-van-ban-cua-dhqghn-lien-quan-den-hoat-dong-cua-truong-thong-bao-thang-4-2026/46311" TargetMode="External"/><Relationship Id="rId34" Type="http://schemas.openxmlformats.org/officeDocument/2006/relationships/hyperlink" Target="https://ueb.edu.vn/Tin-Tuc/UEB/nhung-van-ban-quy-pham-phap-luat-van-ban-cua-dhqghn-lien-quan-den-hoat-dong-cua-truong-thong-bao-thang-9-2025/45313" TargetMode="External"/><Relationship Id="rId50" Type="http://schemas.openxmlformats.org/officeDocument/2006/relationships/hyperlink" Target="https://drive.google.com/file/d/1IjgZgko6wE1wBVgAusrgcpMepXlYEHkX/view?usp=drive_link" TargetMode="External"/><Relationship Id="rId55" Type="http://schemas.openxmlformats.org/officeDocument/2006/relationships/hyperlink" Target="https://drive.google.com/file/d/1d68fpLdJv43K7SaM8-ecS0mCYSDB4SSk/view?usp=drive_link" TargetMode="External"/><Relationship Id="rId76" Type="http://schemas.openxmlformats.org/officeDocument/2006/relationships/hyperlink" Target="https://drive.google.com/file/d/1e6fGhxbPdSCTpqs52LetBc7qO9QMNdl3/view?usp=drive_link" TargetMode="External"/><Relationship Id="rId97" Type="http://schemas.openxmlformats.org/officeDocument/2006/relationships/hyperlink" Target="https://ueb.edu.vn/Tin-Tuc/UEB/nhung-van-ban-quy-pham-phap-luat-van-ban-cua-dhqghn-lien-quan-den-hoat-dong-cua-truong-thong-bao-thang-11-2025/45715" TargetMode="External"/><Relationship Id="rId104" Type="http://schemas.openxmlformats.org/officeDocument/2006/relationships/hyperlink" Target="https://drive.google.com/file/d/1I3OzJjW69POVYzHCgV4h9VqmCegGrHED/view?usp=drive_link" TargetMode="External"/><Relationship Id="rId120" Type="http://schemas.openxmlformats.org/officeDocument/2006/relationships/hyperlink" Target="https://drive.google.com/file/d/1z910oriIUp3AyVppDOZlEtpeyJ-pGLYH/view?usp=drive_link" TargetMode="External"/><Relationship Id="rId7" Type="http://schemas.openxmlformats.org/officeDocument/2006/relationships/hyperlink" Target="https://docs.google.com/document/d/13fVACXqu0RtleLdZjtd95aUwuIW4X6ME/edit" TargetMode="External"/><Relationship Id="rId71" Type="http://schemas.openxmlformats.org/officeDocument/2006/relationships/hyperlink" Target="https://drive.google.com/file/d/13RiH5lH8KxEDhz_OvydG73tHVgzcQjbi/view?usp=drive_link" TargetMode="External"/><Relationship Id="rId92" Type="http://schemas.openxmlformats.org/officeDocument/2006/relationships/hyperlink" Target="https://drive.google.com/file/d/1UKiYniWcRaF6CCG2UyqvYrxS4YSWbZKS/view?usp=drive_link" TargetMode="External"/><Relationship Id="rId2" Type="http://schemas.openxmlformats.org/officeDocument/2006/relationships/hyperlink" Target="https://ueb.edu.vn/Tin-Tuc/UEB/mot-so-diem-moi-cua-nghi-dinh-so-37-2025-nd-cp-ngay-26-02-2025-cua-chinh-phu/43294" TargetMode="External"/><Relationship Id="rId29" Type="http://schemas.openxmlformats.org/officeDocument/2006/relationships/hyperlink" Target="https://ueb.edu.vn/Tin-Tuc/UEB/nhung-van-ban-quy-pham-phap-luat-van-ban-cua-dhqghn-lien-quan-den-hoat-dong-cua-truong-thong-bao-thang-9-2025-lan-1/45231" TargetMode="External"/><Relationship Id="rId24" Type="http://schemas.openxmlformats.org/officeDocument/2006/relationships/hyperlink" Target="https://ueb.edu.vn/Tin-Tuc/UEB/nhung-van-ban-quy-pham-phap-luat-van-ban-cua-dhqghn-lien-quan-den-hoat-dong-cua-truong-thong-bao-thang-8-2025-lan-02/45199" TargetMode="External"/><Relationship Id="rId40" Type="http://schemas.openxmlformats.org/officeDocument/2006/relationships/hyperlink" Target="https://drive.google.com/file/d/1p97hRr-XFTJEawf851GySswo3oTR1din/view?usp=drive_link" TargetMode="External"/><Relationship Id="rId45" Type="http://schemas.openxmlformats.org/officeDocument/2006/relationships/hyperlink" Target="https://drive.google.com/file/d/1YLxcdxH7ULdBSnyZpAfED7S51WBS3bGP/view?usp=drive_link" TargetMode="External"/><Relationship Id="rId66" Type="http://schemas.openxmlformats.org/officeDocument/2006/relationships/hyperlink" Target="https://drive.google.com/file/d/1X1inOyQgyqvMO7t2TL5idz1Oh3Qal6ZL/view?usp=drive_link" TargetMode="External"/><Relationship Id="rId87" Type="http://schemas.openxmlformats.org/officeDocument/2006/relationships/hyperlink" Target="https://ueb.edu.vn/Tin-Tuc/UEB/nhung-van-ban-quy-pham-phap-luat-van-ban-cua-dhqghn-lien-quan-den-hoat-dong-cua-truong-thong-bao-thang-11-2025/45605" TargetMode="External"/><Relationship Id="rId110" Type="http://schemas.openxmlformats.org/officeDocument/2006/relationships/hyperlink" Target="https://ueb.edu.vn/Tin-Tuc/UEB/nhung-van-ban-quy-pham-phap-luat-van-ban-cua-dhqghn-lien-quan-den-hoat-dong-cua-truong-thong-bao-thang-4-2026/46311" TargetMode="External"/><Relationship Id="rId115" Type="http://schemas.openxmlformats.org/officeDocument/2006/relationships/hyperlink" Target="https://ueb.edu.vn/Tin-Tuc/UEB/nhung-van-ban-quy-pham-phap-luat-van-ban-cua-dhqghn-lien-quan-den-hoat-dong-cua-truong-thong-bao-thang-5-2026/4643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Z1000"/>
  <sheetViews>
    <sheetView workbookViewId="0">
      <selection activeCell="N14" sqref="N14"/>
    </sheetView>
  </sheetViews>
  <sheetFormatPr defaultColWidth="12.5703125" defaultRowHeight="15.75" customHeight="1"/>
  <cols>
    <col min="1" max="1" width="5.42578125" customWidth="1"/>
    <col min="2" max="2" width="10.5703125" customWidth="1"/>
    <col min="3" max="3" width="14.85546875" customWidth="1"/>
    <col min="4" max="4" width="24.140625" customWidth="1"/>
    <col min="5" max="5" width="38.5703125" customWidth="1"/>
    <col min="6" max="6" width="20.42578125" customWidth="1"/>
    <col min="8" max="9" width="20.85546875" customWidth="1"/>
    <col min="10" max="10" width="19.7109375" customWidth="1"/>
  </cols>
  <sheetData>
    <row r="1" spans="1:26" ht="12.75">
      <c r="A1" s="21" t="s">
        <v>0</v>
      </c>
      <c r="B1" s="22"/>
      <c r="C1" s="22"/>
      <c r="D1" s="22"/>
      <c r="E1" s="22"/>
      <c r="F1" s="22"/>
      <c r="G1" s="22"/>
      <c r="H1" s="22"/>
      <c r="I1" s="22"/>
      <c r="J1" s="22"/>
      <c r="K1" s="22"/>
      <c r="L1" s="22"/>
      <c r="M1" s="22"/>
      <c r="N1" s="22"/>
      <c r="O1" s="22"/>
      <c r="P1" s="22"/>
      <c r="Q1" s="22"/>
      <c r="R1" s="22"/>
      <c r="S1" s="22"/>
      <c r="T1" s="22"/>
      <c r="U1" s="2"/>
      <c r="V1" s="2"/>
      <c r="W1" s="2"/>
      <c r="X1" s="2"/>
      <c r="Y1" s="2"/>
      <c r="Z1" s="2"/>
    </row>
    <row r="2" spans="1:26" ht="12.75">
      <c r="A2" s="22"/>
      <c r="B2" s="22"/>
      <c r="C2" s="22"/>
      <c r="D2" s="22"/>
      <c r="E2" s="22"/>
      <c r="F2" s="22"/>
      <c r="G2" s="22"/>
      <c r="H2" s="22"/>
      <c r="I2" s="22"/>
      <c r="J2" s="22"/>
      <c r="K2" s="22"/>
      <c r="L2" s="22"/>
      <c r="M2" s="22"/>
      <c r="N2" s="22"/>
      <c r="O2" s="22"/>
      <c r="P2" s="22"/>
      <c r="Q2" s="22"/>
      <c r="R2" s="22"/>
      <c r="S2" s="22"/>
      <c r="T2" s="22"/>
      <c r="U2" s="2"/>
      <c r="V2" s="2"/>
      <c r="W2" s="2"/>
      <c r="X2" s="2"/>
      <c r="Y2" s="2"/>
      <c r="Z2" s="2"/>
    </row>
    <row r="3" spans="1:26" ht="38.25">
      <c r="A3" s="23" t="s">
        <v>1</v>
      </c>
      <c r="B3" s="23" t="s">
        <v>2</v>
      </c>
      <c r="C3" s="23" t="s">
        <v>3</v>
      </c>
      <c r="D3" s="23" t="s">
        <v>4</v>
      </c>
      <c r="E3" s="23" t="s">
        <v>5</v>
      </c>
      <c r="F3" s="23" t="s">
        <v>6</v>
      </c>
      <c r="G3" s="23" t="s">
        <v>7</v>
      </c>
      <c r="H3" s="23" t="s">
        <v>8</v>
      </c>
      <c r="I3" s="23" t="s">
        <v>9</v>
      </c>
      <c r="J3" s="32" t="s">
        <v>10</v>
      </c>
      <c r="K3" s="23" t="s">
        <v>11</v>
      </c>
      <c r="L3" s="23" t="s">
        <v>12</v>
      </c>
      <c r="M3" s="22"/>
      <c r="N3" s="22"/>
      <c r="O3" s="22"/>
      <c r="P3" s="22"/>
      <c r="Q3" s="22"/>
      <c r="R3" s="22"/>
      <c r="S3" s="22"/>
      <c r="T3" s="22"/>
      <c r="U3" s="22"/>
      <c r="V3" s="22"/>
      <c r="W3" s="22"/>
      <c r="X3" s="22"/>
      <c r="Y3" s="22"/>
      <c r="Z3" s="22"/>
    </row>
    <row r="4" spans="1:26" ht="12.75">
      <c r="A4" s="229">
        <v>1</v>
      </c>
      <c r="B4" s="226" t="s">
        <v>13</v>
      </c>
      <c r="C4" s="226" t="s">
        <v>14</v>
      </c>
      <c r="D4" s="226" t="s">
        <v>15</v>
      </c>
      <c r="E4" s="24" t="s">
        <v>16</v>
      </c>
      <c r="F4" s="25"/>
      <c r="G4" s="26" t="s">
        <v>17</v>
      </c>
      <c r="H4" s="26" t="s">
        <v>18</v>
      </c>
      <c r="I4" s="26" t="s">
        <v>19</v>
      </c>
      <c r="J4" s="26" t="s">
        <v>19</v>
      </c>
      <c r="K4" s="26" t="s">
        <v>20</v>
      </c>
      <c r="L4" s="220" t="s">
        <v>21</v>
      </c>
      <c r="M4" s="22"/>
      <c r="N4" s="22"/>
      <c r="O4" s="22"/>
      <c r="P4" s="22"/>
      <c r="Q4" s="22"/>
      <c r="R4" s="22"/>
      <c r="S4" s="22"/>
      <c r="T4" s="22"/>
      <c r="U4" s="2"/>
      <c r="V4" s="2"/>
      <c r="W4" s="2"/>
      <c r="X4" s="2"/>
      <c r="Y4" s="2"/>
      <c r="Z4" s="2"/>
    </row>
    <row r="5" spans="1:26" ht="12.75">
      <c r="A5" s="221"/>
      <c r="B5" s="221"/>
      <c r="C5" s="221"/>
      <c r="D5" s="221"/>
      <c r="E5" s="24" t="s">
        <v>22</v>
      </c>
      <c r="F5" s="25"/>
      <c r="G5" s="26" t="s">
        <v>17</v>
      </c>
      <c r="H5" s="26" t="s">
        <v>18</v>
      </c>
      <c r="I5" s="26" t="s">
        <v>19</v>
      </c>
      <c r="J5" s="26" t="s">
        <v>19</v>
      </c>
      <c r="K5" s="26" t="s">
        <v>20</v>
      </c>
      <c r="L5" s="221"/>
      <c r="M5" s="22"/>
      <c r="N5" s="22"/>
      <c r="O5" s="22"/>
      <c r="P5" s="22"/>
      <c r="Q5" s="22"/>
      <c r="R5" s="22"/>
      <c r="S5" s="22"/>
      <c r="T5" s="22"/>
      <c r="U5" s="2"/>
      <c r="V5" s="2"/>
      <c r="W5" s="2"/>
      <c r="X5" s="2"/>
      <c r="Y5" s="2"/>
      <c r="Z5" s="2"/>
    </row>
    <row r="6" spans="1:26" ht="12.75">
      <c r="A6" s="221"/>
      <c r="B6" s="221"/>
      <c r="C6" s="221"/>
      <c r="D6" s="221"/>
      <c r="E6" s="24" t="s">
        <v>23</v>
      </c>
      <c r="F6" s="25"/>
      <c r="G6" s="26" t="s">
        <v>17</v>
      </c>
      <c r="H6" s="26" t="s">
        <v>18</v>
      </c>
      <c r="I6" s="26" t="s">
        <v>19</v>
      </c>
      <c r="J6" s="26" t="s">
        <v>19</v>
      </c>
      <c r="K6" s="26" t="s">
        <v>20</v>
      </c>
      <c r="L6" s="221"/>
      <c r="M6" s="22"/>
      <c r="N6" s="22"/>
      <c r="O6" s="22"/>
      <c r="P6" s="22"/>
      <c r="Q6" s="22"/>
      <c r="R6" s="22"/>
      <c r="S6" s="22"/>
      <c r="T6" s="22"/>
      <c r="U6" s="2"/>
      <c r="V6" s="2"/>
      <c r="W6" s="2"/>
      <c r="X6" s="2"/>
      <c r="Y6" s="2"/>
      <c r="Z6" s="2"/>
    </row>
    <row r="7" spans="1:26" ht="12.75">
      <c r="A7" s="221"/>
      <c r="B7" s="221"/>
      <c r="C7" s="221"/>
      <c r="D7" s="221"/>
      <c r="E7" s="24" t="s">
        <v>24</v>
      </c>
      <c r="F7" s="25"/>
      <c r="G7" s="26" t="s">
        <v>17</v>
      </c>
      <c r="H7" s="26" t="s">
        <v>18</v>
      </c>
      <c r="I7" s="26" t="s">
        <v>19</v>
      </c>
      <c r="J7" s="26" t="s">
        <v>19</v>
      </c>
      <c r="K7" s="26" t="s">
        <v>20</v>
      </c>
      <c r="L7" s="221"/>
      <c r="M7" s="22"/>
      <c r="N7" s="22"/>
      <c r="O7" s="22"/>
      <c r="P7" s="22"/>
      <c r="Q7" s="22"/>
      <c r="R7" s="22"/>
      <c r="S7" s="22"/>
      <c r="T7" s="22"/>
      <c r="U7" s="2"/>
      <c r="V7" s="2"/>
      <c r="W7" s="2"/>
      <c r="X7" s="2"/>
      <c r="Y7" s="2"/>
      <c r="Z7" s="2"/>
    </row>
    <row r="8" spans="1:26" ht="12.75">
      <c r="A8" s="221"/>
      <c r="B8" s="221"/>
      <c r="C8" s="221"/>
      <c r="D8" s="221"/>
      <c r="E8" s="24" t="s">
        <v>25</v>
      </c>
      <c r="F8" s="25"/>
      <c r="G8" s="26" t="s">
        <v>17</v>
      </c>
      <c r="H8" s="26" t="s">
        <v>18</v>
      </c>
      <c r="I8" s="26" t="s">
        <v>19</v>
      </c>
      <c r="J8" s="26" t="s">
        <v>19</v>
      </c>
      <c r="K8" s="26" t="s">
        <v>20</v>
      </c>
      <c r="L8" s="221"/>
      <c r="M8" s="22"/>
      <c r="N8" s="22"/>
      <c r="O8" s="22"/>
      <c r="P8" s="22"/>
      <c r="Q8" s="22"/>
      <c r="R8" s="22"/>
      <c r="S8" s="22"/>
      <c r="T8" s="22"/>
      <c r="U8" s="2"/>
      <c r="V8" s="2"/>
      <c r="W8" s="2"/>
      <c r="X8" s="2"/>
      <c r="Y8" s="2"/>
      <c r="Z8" s="2"/>
    </row>
    <row r="9" spans="1:26" ht="12.75">
      <c r="A9" s="221"/>
      <c r="B9" s="221"/>
      <c r="C9" s="221"/>
      <c r="D9" s="221"/>
      <c r="E9" s="24" t="s">
        <v>26</v>
      </c>
      <c r="F9" s="25"/>
      <c r="G9" s="26" t="s">
        <v>17</v>
      </c>
      <c r="H9" s="26" t="s">
        <v>18</v>
      </c>
      <c r="I9" s="26" t="s">
        <v>19</v>
      </c>
      <c r="J9" s="26" t="s">
        <v>19</v>
      </c>
      <c r="K9" s="26" t="s">
        <v>20</v>
      </c>
      <c r="L9" s="221"/>
      <c r="M9" s="22"/>
      <c r="N9" s="22"/>
      <c r="O9" s="22"/>
      <c r="P9" s="22"/>
      <c r="Q9" s="22"/>
      <c r="R9" s="22"/>
      <c r="S9" s="22"/>
      <c r="T9" s="22"/>
      <c r="U9" s="2"/>
      <c r="V9" s="2"/>
      <c r="W9" s="2"/>
      <c r="X9" s="2"/>
      <c r="Y9" s="2"/>
      <c r="Z9" s="2"/>
    </row>
    <row r="10" spans="1:26" ht="12.75">
      <c r="A10" s="221"/>
      <c r="B10" s="221"/>
      <c r="C10" s="221"/>
      <c r="D10" s="221"/>
      <c r="E10" s="24" t="s">
        <v>27</v>
      </c>
      <c r="F10" s="25"/>
      <c r="G10" s="26" t="s">
        <v>17</v>
      </c>
      <c r="H10" s="26" t="s">
        <v>18</v>
      </c>
      <c r="I10" s="26" t="s">
        <v>19</v>
      </c>
      <c r="J10" s="26" t="s">
        <v>19</v>
      </c>
      <c r="K10" s="26" t="s">
        <v>20</v>
      </c>
      <c r="L10" s="221"/>
      <c r="M10" s="22"/>
      <c r="N10" s="22"/>
      <c r="O10" s="22"/>
      <c r="P10" s="22"/>
      <c r="Q10" s="22"/>
      <c r="R10" s="22"/>
      <c r="S10" s="22"/>
      <c r="T10" s="22"/>
      <c r="U10" s="2"/>
      <c r="V10" s="2"/>
      <c r="W10" s="2"/>
      <c r="X10" s="2"/>
      <c r="Y10" s="2"/>
      <c r="Z10" s="2"/>
    </row>
    <row r="11" spans="1:26" ht="12.75">
      <c r="A11" s="221"/>
      <c r="B11" s="221"/>
      <c r="C11" s="221"/>
      <c r="D11" s="221"/>
      <c r="E11" s="24" t="s">
        <v>28</v>
      </c>
      <c r="F11" s="26" t="s">
        <v>29</v>
      </c>
      <c r="G11" s="26" t="s">
        <v>17</v>
      </c>
      <c r="H11" s="26" t="s">
        <v>18</v>
      </c>
      <c r="I11" s="26" t="s">
        <v>19</v>
      </c>
      <c r="J11" s="26" t="s">
        <v>19</v>
      </c>
      <c r="K11" s="26" t="s">
        <v>20</v>
      </c>
      <c r="L11" s="221"/>
      <c r="M11" s="22"/>
      <c r="N11" s="22"/>
      <c r="O11" s="22"/>
      <c r="P11" s="22"/>
      <c r="Q11" s="22"/>
      <c r="R11" s="22"/>
      <c r="S11" s="22"/>
      <c r="T11" s="22"/>
      <c r="U11" s="2"/>
      <c r="V11" s="2"/>
      <c r="W11" s="2"/>
      <c r="X11" s="2"/>
      <c r="Y11" s="2"/>
      <c r="Z11" s="2"/>
    </row>
    <row r="12" spans="1:26" ht="12.75">
      <c r="A12" s="221"/>
      <c r="B12" s="221"/>
      <c r="C12" s="221"/>
      <c r="D12" s="221"/>
      <c r="E12" s="24" t="s">
        <v>30</v>
      </c>
      <c r="F12" s="26" t="s">
        <v>29</v>
      </c>
      <c r="G12" s="26" t="s">
        <v>17</v>
      </c>
      <c r="H12" s="26" t="s">
        <v>18</v>
      </c>
      <c r="I12" s="26" t="s">
        <v>19</v>
      </c>
      <c r="J12" s="26" t="s">
        <v>19</v>
      </c>
      <c r="K12" s="26" t="s">
        <v>20</v>
      </c>
      <c r="L12" s="221"/>
      <c r="M12" s="22"/>
      <c r="N12" s="22"/>
      <c r="O12" s="22"/>
      <c r="P12" s="22"/>
      <c r="Q12" s="22"/>
      <c r="R12" s="22"/>
      <c r="S12" s="22"/>
      <c r="T12" s="22"/>
      <c r="U12" s="2"/>
      <c r="V12" s="2"/>
      <c r="W12" s="2"/>
      <c r="X12" s="2"/>
      <c r="Y12" s="2"/>
      <c r="Z12" s="2"/>
    </row>
    <row r="13" spans="1:26" ht="12.75">
      <c r="A13" s="221"/>
      <c r="B13" s="221"/>
      <c r="C13" s="221"/>
      <c r="D13" s="221"/>
      <c r="E13" s="24" t="s">
        <v>31</v>
      </c>
      <c r="F13" s="26" t="s">
        <v>29</v>
      </c>
      <c r="G13" s="26" t="s">
        <v>17</v>
      </c>
      <c r="H13" s="26" t="s">
        <v>18</v>
      </c>
      <c r="I13" s="26" t="s">
        <v>19</v>
      </c>
      <c r="J13" s="26" t="s">
        <v>19</v>
      </c>
      <c r="K13" s="26" t="s">
        <v>20</v>
      </c>
      <c r="L13" s="221"/>
      <c r="M13" s="22"/>
      <c r="N13" s="22"/>
      <c r="O13" s="22"/>
      <c r="P13" s="22"/>
      <c r="Q13" s="22"/>
      <c r="R13" s="22"/>
      <c r="S13" s="22"/>
      <c r="T13" s="22"/>
      <c r="U13" s="2"/>
      <c r="V13" s="2"/>
      <c r="W13" s="2"/>
      <c r="X13" s="2"/>
      <c r="Y13" s="2"/>
      <c r="Z13" s="2"/>
    </row>
    <row r="14" spans="1:26" ht="12.75">
      <c r="A14" s="221"/>
      <c r="B14" s="221"/>
      <c r="C14" s="221"/>
      <c r="D14" s="221"/>
      <c r="E14" s="24" t="s">
        <v>32</v>
      </c>
      <c r="F14" s="26" t="s">
        <v>29</v>
      </c>
      <c r="G14" s="26" t="s">
        <v>17</v>
      </c>
      <c r="H14" s="26" t="s">
        <v>18</v>
      </c>
      <c r="I14" s="26" t="s">
        <v>19</v>
      </c>
      <c r="J14" s="26" t="s">
        <v>19</v>
      </c>
      <c r="K14" s="26" t="s">
        <v>20</v>
      </c>
      <c r="L14" s="221"/>
      <c r="M14" s="22"/>
      <c r="N14" s="22"/>
      <c r="O14" s="22"/>
      <c r="P14" s="22"/>
      <c r="Q14" s="22"/>
      <c r="R14" s="22"/>
      <c r="S14" s="22"/>
      <c r="T14" s="22"/>
      <c r="U14" s="2"/>
      <c r="V14" s="2"/>
      <c r="W14" s="2"/>
      <c r="X14" s="2"/>
      <c r="Y14" s="2"/>
      <c r="Z14" s="2"/>
    </row>
    <row r="15" spans="1:26" ht="12.75">
      <c r="A15" s="221"/>
      <c r="B15" s="221"/>
      <c r="C15" s="221"/>
      <c r="D15" s="221"/>
      <c r="E15" s="24" t="s">
        <v>33</v>
      </c>
      <c r="F15" s="26" t="s">
        <v>29</v>
      </c>
      <c r="G15" s="26" t="s">
        <v>17</v>
      </c>
      <c r="H15" s="26" t="s">
        <v>18</v>
      </c>
      <c r="I15" s="26" t="s">
        <v>19</v>
      </c>
      <c r="J15" s="26" t="s">
        <v>19</v>
      </c>
      <c r="K15" s="26" t="s">
        <v>20</v>
      </c>
      <c r="L15" s="221"/>
      <c r="M15" s="22"/>
      <c r="N15" s="22"/>
      <c r="O15" s="22"/>
      <c r="P15" s="22"/>
      <c r="Q15" s="22"/>
      <c r="R15" s="22"/>
      <c r="S15" s="22"/>
      <c r="T15" s="22"/>
      <c r="U15" s="2"/>
      <c r="V15" s="2"/>
      <c r="W15" s="2"/>
      <c r="X15" s="2"/>
      <c r="Y15" s="2"/>
      <c r="Z15" s="2"/>
    </row>
    <row r="16" spans="1:26" ht="12.75">
      <c r="A16" s="221"/>
      <c r="B16" s="221"/>
      <c r="C16" s="221"/>
      <c r="D16" s="221"/>
      <c r="E16" s="24" t="s">
        <v>34</v>
      </c>
      <c r="F16" s="26" t="s">
        <v>29</v>
      </c>
      <c r="G16" s="26" t="s">
        <v>17</v>
      </c>
      <c r="H16" s="26" t="s">
        <v>18</v>
      </c>
      <c r="I16" s="26" t="s">
        <v>19</v>
      </c>
      <c r="J16" s="26" t="s">
        <v>19</v>
      </c>
      <c r="K16" s="26" t="s">
        <v>20</v>
      </c>
      <c r="L16" s="221"/>
      <c r="M16" s="22"/>
      <c r="N16" s="22"/>
      <c r="O16" s="22"/>
      <c r="P16" s="22"/>
      <c r="Q16" s="22"/>
      <c r="R16" s="22"/>
      <c r="S16" s="22"/>
      <c r="T16" s="22"/>
      <c r="U16" s="2"/>
      <c r="V16" s="2"/>
      <c r="W16" s="2"/>
      <c r="X16" s="2"/>
      <c r="Y16" s="2"/>
      <c r="Z16" s="2"/>
    </row>
    <row r="17" spans="1:26" ht="12.75">
      <c r="A17" s="221"/>
      <c r="B17" s="221"/>
      <c r="C17" s="221"/>
      <c r="D17" s="221"/>
      <c r="E17" s="24" t="s">
        <v>35</v>
      </c>
      <c r="F17" s="26" t="s">
        <v>29</v>
      </c>
      <c r="G17" s="26" t="s">
        <v>17</v>
      </c>
      <c r="H17" s="26" t="s">
        <v>18</v>
      </c>
      <c r="I17" s="26" t="s">
        <v>19</v>
      </c>
      <c r="J17" s="26" t="s">
        <v>19</v>
      </c>
      <c r="K17" s="26" t="s">
        <v>20</v>
      </c>
      <c r="L17" s="221"/>
      <c r="M17" s="22"/>
      <c r="N17" s="22"/>
      <c r="O17" s="22"/>
      <c r="P17" s="22"/>
      <c r="Q17" s="22"/>
      <c r="R17" s="22"/>
      <c r="S17" s="22"/>
      <c r="T17" s="22"/>
      <c r="U17" s="2"/>
      <c r="V17" s="2"/>
      <c r="W17" s="2"/>
      <c r="X17" s="2"/>
      <c r="Y17" s="2"/>
      <c r="Z17" s="2"/>
    </row>
    <row r="18" spans="1:26" ht="12.75">
      <c r="A18" s="221"/>
      <c r="B18" s="221"/>
      <c r="C18" s="221"/>
      <c r="D18" s="221"/>
      <c r="E18" s="24" t="s">
        <v>36</v>
      </c>
      <c r="F18" s="26" t="s">
        <v>29</v>
      </c>
      <c r="G18" s="26" t="s">
        <v>17</v>
      </c>
      <c r="H18" s="26" t="s">
        <v>18</v>
      </c>
      <c r="I18" s="26" t="s">
        <v>19</v>
      </c>
      <c r="J18" s="26" t="s">
        <v>19</v>
      </c>
      <c r="K18" s="26" t="s">
        <v>20</v>
      </c>
      <c r="L18" s="221"/>
      <c r="M18" s="22"/>
      <c r="N18" s="22"/>
      <c r="O18" s="22"/>
      <c r="P18" s="22"/>
      <c r="Q18" s="22"/>
      <c r="R18" s="22"/>
      <c r="S18" s="22"/>
      <c r="T18" s="22"/>
      <c r="U18" s="2"/>
      <c r="V18" s="2"/>
      <c r="W18" s="2"/>
      <c r="X18" s="2"/>
      <c r="Y18" s="2"/>
      <c r="Z18" s="2"/>
    </row>
    <row r="19" spans="1:26" ht="25.5">
      <c r="A19" s="221"/>
      <c r="B19" s="221"/>
      <c r="C19" s="221"/>
      <c r="D19" s="221"/>
      <c r="E19" s="27" t="s">
        <v>37</v>
      </c>
      <c r="F19" s="26" t="s">
        <v>29</v>
      </c>
      <c r="G19" s="26" t="s">
        <v>17</v>
      </c>
      <c r="H19" s="26" t="s">
        <v>18</v>
      </c>
      <c r="I19" s="26" t="s">
        <v>19</v>
      </c>
      <c r="J19" s="26" t="s">
        <v>19</v>
      </c>
      <c r="K19" s="26" t="s">
        <v>20</v>
      </c>
      <c r="L19" s="221"/>
      <c r="M19" s="22"/>
      <c r="N19" s="22"/>
      <c r="O19" s="22"/>
      <c r="P19" s="22"/>
      <c r="Q19" s="22"/>
      <c r="R19" s="22"/>
      <c r="S19" s="22"/>
      <c r="T19" s="22"/>
      <c r="U19" s="2"/>
      <c r="V19" s="2"/>
      <c r="W19" s="2"/>
      <c r="X19" s="2"/>
      <c r="Y19" s="2"/>
      <c r="Z19" s="2"/>
    </row>
    <row r="20" spans="1:26" ht="25.5">
      <c r="A20" s="221"/>
      <c r="B20" s="221"/>
      <c r="C20" s="221"/>
      <c r="D20" s="221"/>
      <c r="E20" s="27" t="s">
        <v>38</v>
      </c>
      <c r="F20" s="26" t="s">
        <v>29</v>
      </c>
      <c r="G20" s="26" t="s">
        <v>17</v>
      </c>
      <c r="H20" s="26" t="s">
        <v>18</v>
      </c>
      <c r="I20" s="26" t="s">
        <v>19</v>
      </c>
      <c r="J20" s="26" t="s">
        <v>19</v>
      </c>
      <c r="K20" s="26" t="s">
        <v>20</v>
      </c>
      <c r="L20" s="221"/>
      <c r="M20" s="22"/>
      <c r="N20" s="22"/>
      <c r="O20" s="22"/>
      <c r="P20" s="22"/>
      <c r="Q20" s="22"/>
      <c r="R20" s="22"/>
      <c r="S20" s="22"/>
      <c r="T20" s="22"/>
      <c r="U20" s="2"/>
      <c r="V20" s="2"/>
      <c r="W20" s="2"/>
      <c r="X20" s="2"/>
      <c r="Y20" s="2"/>
      <c r="Z20" s="2"/>
    </row>
    <row r="21" spans="1:26" ht="25.5">
      <c r="A21" s="221"/>
      <c r="B21" s="221"/>
      <c r="C21" s="221"/>
      <c r="D21" s="221"/>
      <c r="E21" s="27" t="s">
        <v>39</v>
      </c>
      <c r="F21" s="26" t="s">
        <v>29</v>
      </c>
      <c r="G21" s="26" t="s">
        <v>17</v>
      </c>
      <c r="H21" s="26" t="s">
        <v>18</v>
      </c>
      <c r="I21" s="26" t="s">
        <v>19</v>
      </c>
      <c r="J21" s="26" t="s">
        <v>19</v>
      </c>
      <c r="K21" s="26" t="s">
        <v>20</v>
      </c>
      <c r="L21" s="221"/>
      <c r="M21" s="22"/>
      <c r="N21" s="22"/>
      <c r="O21" s="22"/>
      <c r="P21" s="22"/>
      <c r="Q21" s="22"/>
      <c r="R21" s="22"/>
      <c r="S21" s="22"/>
      <c r="T21" s="22"/>
      <c r="U21" s="2"/>
      <c r="V21" s="2"/>
      <c r="W21" s="2"/>
      <c r="X21" s="2"/>
      <c r="Y21" s="2"/>
      <c r="Z21" s="2"/>
    </row>
    <row r="22" spans="1:26" ht="25.5">
      <c r="A22" s="221"/>
      <c r="B22" s="221"/>
      <c r="C22" s="221"/>
      <c r="D22" s="221"/>
      <c r="E22" s="27" t="s">
        <v>40</v>
      </c>
      <c r="F22" s="26" t="s">
        <v>29</v>
      </c>
      <c r="G22" s="26" t="s">
        <v>17</v>
      </c>
      <c r="H22" s="26" t="s">
        <v>18</v>
      </c>
      <c r="I22" s="26" t="s">
        <v>19</v>
      </c>
      <c r="J22" s="26" t="s">
        <v>19</v>
      </c>
      <c r="K22" s="26" t="s">
        <v>20</v>
      </c>
      <c r="L22" s="221"/>
      <c r="M22" s="22"/>
      <c r="N22" s="22"/>
      <c r="O22" s="22"/>
      <c r="P22" s="22"/>
      <c r="Q22" s="22"/>
      <c r="R22" s="22"/>
      <c r="S22" s="22"/>
      <c r="T22" s="22"/>
      <c r="U22" s="2"/>
      <c r="V22" s="2"/>
      <c r="W22" s="2"/>
      <c r="X22" s="2"/>
      <c r="Y22" s="2"/>
      <c r="Z22" s="2"/>
    </row>
    <row r="23" spans="1:26" ht="12.75">
      <c r="A23" s="221"/>
      <c r="B23" s="221"/>
      <c r="C23" s="221"/>
      <c r="D23" s="221"/>
      <c r="E23" s="27" t="s">
        <v>41</v>
      </c>
      <c r="F23" s="26" t="s">
        <v>29</v>
      </c>
      <c r="G23" s="26" t="s">
        <v>17</v>
      </c>
      <c r="H23" s="26" t="s">
        <v>18</v>
      </c>
      <c r="I23" s="26" t="s">
        <v>19</v>
      </c>
      <c r="J23" s="26" t="s">
        <v>19</v>
      </c>
      <c r="K23" s="26" t="s">
        <v>20</v>
      </c>
      <c r="L23" s="221"/>
      <c r="M23" s="22"/>
      <c r="N23" s="22"/>
      <c r="O23" s="22"/>
      <c r="P23" s="22"/>
      <c r="Q23" s="22"/>
      <c r="R23" s="22"/>
      <c r="S23" s="22"/>
      <c r="T23" s="22"/>
      <c r="U23" s="2"/>
      <c r="V23" s="2"/>
      <c r="W23" s="2"/>
      <c r="X23" s="2"/>
      <c r="Y23" s="2"/>
      <c r="Z23" s="2"/>
    </row>
    <row r="24" spans="1:26" ht="12.75">
      <c r="A24" s="221"/>
      <c r="B24" s="221"/>
      <c r="C24" s="221"/>
      <c r="D24" s="221"/>
      <c r="E24" s="27" t="s">
        <v>42</v>
      </c>
      <c r="F24" s="26" t="s">
        <v>29</v>
      </c>
      <c r="G24" s="26" t="s">
        <v>17</v>
      </c>
      <c r="H24" s="26" t="s">
        <v>18</v>
      </c>
      <c r="I24" s="26" t="s">
        <v>19</v>
      </c>
      <c r="J24" s="26" t="s">
        <v>19</v>
      </c>
      <c r="K24" s="26" t="s">
        <v>20</v>
      </c>
      <c r="L24" s="221"/>
      <c r="M24" s="22"/>
      <c r="N24" s="22"/>
      <c r="O24" s="22"/>
      <c r="P24" s="22"/>
      <c r="Q24" s="22"/>
      <c r="R24" s="22"/>
      <c r="S24" s="22"/>
      <c r="T24" s="22"/>
      <c r="U24" s="2"/>
      <c r="V24" s="2"/>
      <c r="W24" s="2"/>
      <c r="X24" s="2"/>
      <c r="Y24" s="2"/>
      <c r="Z24" s="2"/>
    </row>
    <row r="25" spans="1:26" ht="25.5">
      <c r="A25" s="221"/>
      <c r="B25" s="221"/>
      <c r="C25" s="221"/>
      <c r="D25" s="222"/>
      <c r="E25" s="27" t="s">
        <v>43</v>
      </c>
      <c r="F25" s="26" t="s">
        <v>29</v>
      </c>
      <c r="G25" s="26" t="s">
        <v>17</v>
      </c>
      <c r="H25" s="26" t="s">
        <v>18</v>
      </c>
      <c r="I25" s="26" t="s">
        <v>19</v>
      </c>
      <c r="J25" s="26" t="s">
        <v>19</v>
      </c>
      <c r="K25" s="26" t="s">
        <v>20</v>
      </c>
      <c r="L25" s="221"/>
      <c r="M25" s="22"/>
      <c r="N25" s="22"/>
      <c r="O25" s="22"/>
      <c r="P25" s="22"/>
      <c r="Q25" s="22"/>
      <c r="R25" s="22"/>
      <c r="S25" s="22"/>
      <c r="T25" s="22"/>
      <c r="U25" s="2"/>
      <c r="V25" s="2"/>
      <c r="W25" s="2"/>
      <c r="X25" s="2"/>
      <c r="Y25" s="2"/>
      <c r="Z25" s="2"/>
    </row>
    <row r="26" spans="1:26" ht="12.75">
      <c r="A26" s="221"/>
      <c r="B26" s="221"/>
      <c r="C26" s="221"/>
      <c r="D26" s="226" t="s">
        <v>44</v>
      </c>
      <c r="E26" s="28" t="s">
        <v>45</v>
      </c>
      <c r="F26" s="26" t="s">
        <v>46</v>
      </c>
      <c r="G26" s="26" t="s">
        <v>17</v>
      </c>
      <c r="H26" s="26" t="s">
        <v>18</v>
      </c>
      <c r="I26" s="26" t="s">
        <v>19</v>
      </c>
      <c r="J26" s="26" t="s">
        <v>19</v>
      </c>
      <c r="K26" s="26" t="s">
        <v>20</v>
      </c>
      <c r="L26" s="221"/>
      <c r="M26" s="22"/>
      <c r="N26" s="22"/>
      <c r="O26" s="22"/>
      <c r="P26" s="22"/>
      <c r="Q26" s="22"/>
      <c r="R26" s="22"/>
      <c r="S26" s="22"/>
      <c r="T26" s="22"/>
      <c r="U26" s="2"/>
      <c r="V26" s="2"/>
      <c r="W26" s="2"/>
      <c r="X26" s="2"/>
      <c r="Y26" s="2"/>
      <c r="Z26" s="2"/>
    </row>
    <row r="27" spans="1:26" ht="25.5">
      <c r="A27" s="221"/>
      <c r="B27" s="221"/>
      <c r="C27" s="221"/>
      <c r="D27" s="222"/>
      <c r="E27" s="28" t="s">
        <v>47</v>
      </c>
      <c r="F27" s="26" t="s">
        <v>46</v>
      </c>
      <c r="G27" s="26" t="s">
        <v>17</v>
      </c>
      <c r="H27" s="26" t="s">
        <v>18</v>
      </c>
      <c r="I27" s="26" t="s">
        <v>19</v>
      </c>
      <c r="J27" s="26" t="s">
        <v>19</v>
      </c>
      <c r="K27" s="26" t="s">
        <v>20</v>
      </c>
      <c r="L27" s="221"/>
      <c r="M27" s="22"/>
      <c r="N27" s="22"/>
      <c r="O27" s="22"/>
      <c r="P27" s="22"/>
      <c r="Q27" s="22"/>
      <c r="R27" s="22"/>
      <c r="S27" s="22"/>
      <c r="T27" s="22"/>
      <c r="U27" s="2"/>
      <c r="V27" s="2"/>
      <c r="W27" s="2"/>
      <c r="X27" s="2"/>
      <c r="Y27" s="2"/>
      <c r="Z27" s="2"/>
    </row>
    <row r="28" spans="1:26" ht="12.75">
      <c r="A28" s="221"/>
      <c r="B28" s="221"/>
      <c r="C28" s="221"/>
      <c r="D28" s="226" t="s">
        <v>48</v>
      </c>
      <c r="E28" s="24" t="s">
        <v>49</v>
      </c>
      <c r="F28" s="25"/>
      <c r="G28" s="26" t="s">
        <v>17</v>
      </c>
      <c r="H28" s="26" t="s">
        <v>18</v>
      </c>
      <c r="I28" s="26" t="s">
        <v>19</v>
      </c>
      <c r="J28" s="26" t="s">
        <v>19</v>
      </c>
      <c r="K28" s="26" t="s">
        <v>20</v>
      </c>
      <c r="L28" s="221"/>
      <c r="M28" s="22"/>
      <c r="N28" s="22"/>
      <c r="O28" s="22"/>
      <c r="P28" s="22"/>
      <c r="Q28" s="22"/>
      <c r="R28" s="22"/>
      <c r="S28" s="22"/>
      <c r="T28" s="22"/>
      <c r="U28" s="2"/>
      <c r="V28" s="2"/>
      <c r="W28" s="2"/>
      <c r="X28" s="2"/>
      <c r="Y28" s="2"/>
      <c r="Z28" s="2"/>
    </row>
    <row r="29" spans="1:26" ht="12.75">
      <c r="A29" s="221"/>
      <c r="B29" s="221"/>
      <c r="C29" s="221"/>
      <c r="D29" s="221"/>
      <c r="E29" s="28" t="s">
        <v>50</v>
      </c>
      <c r="F29" s="26" t="s">
        <v>46</v>
      </c>
      <c r="G29" s="26" t="s">
        <v>17</v>
      </c>
      <c r="H29" s="26" t="s">
        <v>18</v>
      </c>
      <c r="I29" s="26" t="s">
        <v>19</v>
      </c>
      <c r="J29" s="26" t="s">
        <v>19</v>
      </c>
      <c r="K29" s="26" t="s">
        <v>20</v>
      </c>
      <c r="L29" s="221"/>
      <c r="M29" s="22"/>
      <c r="N29" s="22"/>
      <c r="O29" s="22"/>
      <c r="P29" s="22"/>
      <c r="Q29" s="22"/>
      <c r="R29" s="22"/>
      <c r="S29" s="22"/>
      <c r="T29" s="22"/>
      <c r="U29" s="2"/>
      <c r="V29" s="2"/>
      <c r="W29" s="2"/>
      <c r="X29" s="2"/>
      <c r="Y29" s="2"/>
      <c r="Z29" s="2"/>
    </row>
    <row r="30" spans="1:26" ht="12.75">
      <c r="A30" s="221"/>
      <c r="B30" s="221"/>
      <c r="C30" s="221"/>
      <c r="D30" s="221"/>
      <c r="E30" s="24" t="s">
        <v>51</v>
      </c>
      <c r="F30" s="25"/>
      <c r="G30" s="26" t="s">
        <v>17</v>
      </c>
      <c r="H30" s="26" t="s">
        <v>18</v>
      </c>
      <c r="I30" s="26" t="s">
        <v>19</v>
      </c>
      <c r="J30" s="26" t="s">
        <v>19</v>
      </c>
      <c r="K30" s="26" t="s">
        <v>20</v>
      </c>
      <c r="L30" s="221"/>
      <c r="M30" s="22"/>
      <c r="N30" s="22"/>
      <c r="O30" s="22"/>
      <c r="P30" s="22"/>
      <c r="Q30" s="22"/>
      <c r="R30" s="22"/>
      <c r="S30" s="22"/>
      <c r="T30" s="22"/>
      <c r="U30" s="2"/>
      <c r="V30" s="2"/>
      <c r="W30" s="2"/>
      <c r="X30" s="2"/>
      <c r="Y30" s="2"/>
      <c r="Z30" s="2"/>
    </row>
    <row r="31" spans="1:26" ht="25.5">
      <c r="A31" s="221"/>
      <c r="B31" s="221"/>
      <c r="C31" s="221"/>
      <c r="D31" s="221"/>
      <c r="E31" s="24" t="s">
        <v>52</v>
      </c>
      <c r="F31" s="25"/>
      <c r="G31" s="26" t="s">
        <v>17</v>
      </c>
      <c r="H31" s="26" t="s">
        <v>18</v>
      </c>
      <c r="I31" s="26" t="s">
        <v>19</v>
      </c>
      <c r="J31" s="26" t="s">
        <v>19</v>
      </c>
      <c r="K31" s="26" t="s">
        <v>20</v>
      </c>
      <c r="L31" s="221"/>
      <c r="M31" s="22"/>
      <c r="N31" s="22"/>
      <c r="O31" s="22"/>
      <c r="P31" s="22"/>
      <c r="Q31" s="22"/>
      <c r="R31" s="22"/>
      <c r="S31" s="22"/>
      <c r="T31" s="22"/>
      <c r="U31" s="2"/>
      <c r="V31" s="2"/>
      <c r="W31" s="2"/>
      <c r="X31" s="2"/>
      <c r="Y31" s="2"/>
      <c r="Z31" s="2"/>
    </row>
    <row r="32" spans="1:26" ht="25.5">
      <c r="A32" s="221"/>
      <c r="B32" s="221"/>
      <c r="C32" s="221"/>
      <c r="D32" s="221"/>
      <c r="E32" s="24" t="s">
        <v>53</v>
      </c>
      <c r="F32" s="25"/>
      <c r="G32" s="26" t="s">
        <v>17</v>
      </c>
      <c r="H32" s="26" t="s">
        <v>18</v>
      </c>
      <c r="I32" s="26" t="s">
        <v>19</v>
      </c>
      <c r="J32" s="26" t="s">
        <v>19</v>
      </c>
      <c r="K32" s="26" t="s">
        <v>20</v>
      </c>
      <c r="L32" s="221"/>
      <c r="M32" s="22"/>
      <c r="N32" s="22"/>
      <c r="O32" s="22"/>
      <c r="P32" s="22"/>
      <c r="Q32" s="22"/>
      <c r="R32" s="22"/>
      <c r="S32" s="22"/>
      <c r="T32" s="22"/>
      <c r="U32" s="2"/>
      <c r="V32" s="2"/>
      <c r="W32" s="2"/>
      <c r="X32" s="2"/>
      <c r="Y32" s="2"/>
      <c r="Z32" s="2"/>
    </row>
    <row r="33" spans="1:26" ht="12.75">
      <c r="A33" s="221"/>
      <c r="B33" s="221"/>
      <c r="C33" s="221"/>
      <c r="D33" s="221"/>
      <c r="E33" s="24" t="s">
        <v>54</v>
      </c>
      <c r="F33" s="25"/>
      <c r="G33" s="26" t="s">
        <v>17</v>
      </c>
      <c r="H33" s="26" t="s">
        <v>18</v>
      </c>
      <c r="I33" s="26" t="s">
        <v>19</v>
      </c>
      <c r="J33" s="26" t="s">
        <v>19</v>
      </c>
      <c r="K33" s="26" t="s">
        <v>20</v>
      </c>
      <c r="L33" s="221"/>
      <c r="M33" s="22"/>
      <c r="N33" s="22"/>
      <c r="O33" s="22"/>
      <c r="P33" s="22"/>
      <c r="Q33" s="22"/>
      <c r="R33" s="22"/>
      <c r="S33" s="22"/>
      <c r="T33" s="22"/>
      <c r="U33" s="2"/>
      <c r="V33" s="2"/>
      <c r="W33" s="2"/>
      <c r="X33" s="2"/>
      <c r="Y33" s="2"/>
      <c r="Z33" s="2"/>
    </row>
    <row r="34" spans="1:26" ht="12.75">
      <c r="A34" s="221"/>
      <c r="B34" s="221"/>
      <c r="C34" s="221"/>
      <c r="D34" s="222"/>
      <c r="E34" s="28" t="s">
        <v>55</v>
      </c>
      <c r="F34" s="26" t="s">
        <v>46</v>
      </c>
      <c r="G34" s="26" t="s">
        <v>17</v>
      </c>
      <c r="H34" s="26" t="s">
        <v>18</v>
      </c>
      <c r="I34" s="26" t="s">
        <v>19</v>
      </c>
      <c r="J34" s="26" t="s">
        <v>19</v>
      </c>
      <c r="K34" s="26" t="s">
        <v>20</v>
      </c>
      <c r="L34" s="222"/>
      <c r="M34" s="22"/>
      <c r="N34" s="22"/>
      <c r="O34" s="22"/>
      <c r="P34" s="22"/>
      <c r="Q34" s="22"/>
      <c r="R34" s="22"/>
      <c r="S34" s="22"/>
      <c r="T34" s="22"/>
      <c r="U34" s="2"/>
      <c r="V34" s="2"/>
      <c r="W34" s="2"/>
      <c r="X34" s="2"/>
      <c r="Y34" s="2"/>
      <c r="Z34" s="2"/>
    </row>
    <row r="35" spans="1:26" ht="25.5">
      <c r="A35" s="221"/>
      <c r="B35" s="221"/>
      <c r="C35" s="221"/>
      <c r="D35" s="226" t="s">
        <v>56</v>
      </c>
      <c r="E35" s="28" t="s">
        <v>57</v>
      </c>
      <c r="F35" s="26" t="s">
        <v>46</v>
      </c>
      <c r="G35" s="26" t="s">
        <v>17</v>
      </c>
      <c r="H35" s="26" t="s">
        <v>18</v>
      </c>
      <c r="I35" s="26" t="s">
        <v>19</v>
      </c>
      <c r="J35" s="26" t="s">
        <v>19</v>
      </c>
      <c r="K35" s="26" t="s">
        <v>20</v>
      </c>
      <c r="L35" s="223"/>
      <c r="M35" s="22"/>
      <c r="N35" s="22"/>
      <c r="O35" s="22"/>
      <c r="P35" s="22"/>
      <c r="Q35" s="22"/>
      <c r="R35" s="22"/>
      <c r="S35" s="22"/>
      <c r="T35" s="22"/>
      <c r="U35" s="2"/>
      <c r="V35" s="2"/>
      <c r="W35" s="2"/>
      <c r="X35" s="2"/>
      <c r="Y35" s="2"/>
      <c r="Z35" s="2"/>
    </row>
    <row r="36" spans="1:26" ht="25.5">
      <c r="A36" s="221"/>
      <c r="B36" s="221"/>
      <c r="C36" s="221"/>
      <c r="D36" s="222"/>
      <c r="E36" s="28" t="s">
        <v>58</v>
      </c>
      <c r="F36" s="26" t="s">
        <v>46</v>
      </c>
      <c r="G36" s="26" t="s">
        <v>17</v>
      </c>
      <c r="H36" s="26" t="s">
        <v>18</v>
      </c>
      <c r="I36" s="26" t="s">
        <v>19</v>
      </c>
      <c r="J36" s="26" t="s">
        <v>19</v>
      </c>
      <c r="K36" s="26" t="s">
        <v>20</v>
      </c>
      <c r="L36" s="221"/>
      <c r="M36" s="22"/>
      <c r="N36" s="22"/>
      <c r="O36" s="22"/>
      <c r="P36" s="22"/>
      <c r="Q36" s="22"/>
      <c r="R36" s="22"/>
      <c r="S36" s="22"/>
      <c r="T36" s="22"/>
      <c r="U36" s="2"/>
      <c r="V36" s="2"/>
      <c r="W36" s="2"/>
      <c r="X36" s="2"/>
      <c r="Y36" s="2"/>
      <c r="Z36" s="2"/>
    </row>
    <row r="37" spans="1:26" ht="12.75">
      <c r="A37" s="221"/>
      <c r="B37" s="221"/>
      <c r="C37" s="221"/>
      <c r="D37" s="226" t="s">
        <v>59</v>
      </c>
      <c r="E37" s="24" t="s">
        <v>60</v>
      </c>
      <c r="F37" s="25"/>
      <c r="G37" s="26" t="s">
        <v>17</v>
      </c>
      <c r="H37" s="26" t="s">
        <v>18</v>
      </c>
      <c r="I37" s="26" t="s">
        <v>19</v>
      </c>
      <c r="J37" s="26" t="s">
        <v>19</v>
      </c>
      <c r="K37" s="26" t="s">
        <v>20</v>
      </c>
      <c r="L37" s="221"/>
      <c r="M37" s="22"/>
      <c r="N37" s="22"/>
      <c r="O37" s="22"/>
      <c r="P37" s="22"/>
      <c r="Q37" s="22"/>
      <c r="R37" s="22"/>
      <c r="S37" s="22"/>
      <c r="T37" s="22"/>
      <c r="U37" s="2"/>
      <c r="V37" s="2"/>
      <c r="W37" s="2"/>
      <c r="X37" s="2"/>
      <c r="Y37" s="2"/>
      <c r="Z37" s="2"/>
    </row>
    <row r="38" spans="1:26" ht="12.75">
      <c r="A38" s="221"/>
      <c r="B38" s="221"/>
      <c r="C38" s="221"/>
      <c r="D38" s="222"/>
      <c r="E38" s="24" t="s">
        <v>61</v>
      </c>
      <c r="F38" s="25"/>
      <c r="G38" s="26" t="s">
        <v>17</v>
      </c>
      <c r="H38" s="26" t="s">
        <v>18</v>
      </c>
      <c r="I38" s="26" t="s">
        <v>19</v>
      </c>
      <c r="J38" s="26" t="s">
        <v>19</v>
      </c>
      <c r="K38" s="26" t="s">
        <v>20</v>
      </c>
      <c r="L38" s="221"/>
      <c r="M38" s="22"/>
      <c r="N38" s="22"/>
      <c r="O38" s="22"/>
      <c r="P38" s="22"/>
      <c r="Q38" s="22"/>
      <c r="R38" s="22"/>
      <c r="S38" s="22"/>
      <c r="T38" s="22"/>
      <c r="U38" s="2"/>
      <c r="V38" s="2"/>
      <c r="W38" s="2"/>
      <c r="X38" s="2"/>
      <c r="Y38" s="2"/>
      <c r="Z38" s="2"/>
    </row>
    <row r="39" spans="1:26" ht="25.5">
      <c r="A39" s="221"/>
      <c r="B39" s="221"/>
      <c r="C39" s="221"/>
      <c r="D39" s="226" t="s">
        <v>62</v>
      </c>
      <c r="E39" s="28" t="s">
        <v>63</v>
      </c>
      <c r="F39" s="26" t="s">
        <v>46</v>
      </c>
      <c r="G39" s="26" t="s">
        <v>17</v>
      </c>
      <c r="H39" s="26" t="s">
        <v>18</v>
      </c>
      <c r="I39" s="26" t="s">
        <v>19</v>
      </c>
      <c r="J39" s="26" t="s">
        <v>19</v>
      </c>
      <c r="K39" s="26" t="s">
        <v>20</v>
      </c>
      <c r="L39" s="220" t="s">
        <v>64</v>
      </c>
      <c r="M39" s="22"/>
      <c r="N39" s="22"/>
      <c r="O39" s="22"/>
      <c r="P39" s="22"/>
      <c r="Q39" s="22"/>
      <c r="R39" s="22"/>
      <c r="S39" s="22"/>
      <c r="T39" s="22"/>
      <c r="U39" s="2"/>
      <c r="V39" s="2"/>
      <c r="W39" s="2"/>
      <c r="X39" s="2"/>
      <c r="Y39" s="2"/>
      <c r="Z39" s="2"/>
    </row>
    <row r="40" spans="1:26" ht="25.5">
      <c r="A40" s="222"/>
      <c r="B40" s="222"/>
      <c r="C40" s="222"/>
      <c r="D40" s="222"/>
      <c r="E40" s="28" t="s">
        <v>65</v>
      </c>
      <c r="F40" s="26" t="s">
        <v>46</v>
      </c>
      <c r="G40" s="26" t="s">
        <v>17</v>
      </c>
      <c r="H40" s="26" t="s">
        <v>18</v>
      </c>
      <c r="I40" s="26" t="s">
        <v>19</v>
      </c>
      <c r="J40" s="26" t="s">
        <v>19</v>
      </c>
      <c r="K40" s="26" t="s">
        <v>20</v>
      </c>
      <c r="L40" s="222"/>
      <c r="M40" s="22"/>
      <c r="N40" s="22"/>
      <c r="O40" s="22"/>
      <c r="P40" s="22"/>
      <c r="Q40" s="22"/>
      <c r="R40" s="22"/>
      <c r="S40" s="22"/>
      <c r="T40" s="22"/>
      <c r="U40" s="2"/>
      <c r="V40" s="2"/>
      <c r="W40" s="2"/>
      <c r="X40" s="2"/>
      <c r="Y40" s="2"/>
      <c r="Z40" s="2"/>
    </row>
    <row r="41" spans="1:26" ht="25.5">
      <c r="A41" s="229">
        <v>2</v>
      </c>
      <c r="B41" s="226" t="s">
        <v>66</v>
      </c>
      <c r="C41" s="226" t="s">
        <v>67</v>
      </c>
      <c r="D41" s="226" t="s">
        <v>68</v>
      </c>
      <c r="E41" s="24" t="s">
        <v>69</v>
      </c>
      <c r="F41" s="25"/>
      <c r="G41" s="26" t="s">
        <v>17</v>
      </c>
      <c r="H41" s="26" t="s">
        <v>70</v>
      </c>
      <c r="I41" s="26" t="s">
        <v>71</v>
      </c>
      <c r="J41" s="26" t="s">
        <v>72</v>
      </c>
      <c r="K41" s="26" t="s">
        <v>73</v>
      </c>
      <c r="L41" s="220" t="s">
        <v>74</v>
      </c>
      <c r="M41" s="22"/>
      <c r="N41" s="22"/>
      <c r="O41" s="22"/>
      <c r="P41" s="22"/>
      <c r="Q41" s="22"/>
      <c r="R41" s="22"/>
      <c r="S41" s="22"/>
      <c r="T41" s="22"/>
      <c r="U41" s="2"/>
      <c r="V41" s="2"/>
      <c r="W41" s="2"/>
      <c r="X41" s="2"/>
      <c r="Y41" s="2"/>
      <c r="Z41" s="2"/>
    </row>
    <row r="42" spans="1:26" ht="25.5">
      <c r="A42" s="221"/>
      <c r="B42" s="221"/>
      <c r="C42" s="221"/>
      <c r="D42" s="221"/>
      <c r="E42" s="28" t="s">
        <v>75</v>
      </c>
      <c r="F42" s="26" t="s">
        <v>46</v>
      </c>
      <c r="G42" s="26" t="s">
        <v>17</v>
      </c>
      <c r="H42" s="26" t="s">
        <v>70</v>
      </c>
      <c r="I42" s="26" t="s">
        <v>71</v>
      </c>
      <c r="J42" s="26" t="s">
        <v>72</v>
      </c>
      <c r="K42" s="26" t="s">
        <v>73</v>
      </c>
      <c r="L42" s="221"/>
      <c r="M42" s="22"/>
      <c r="N42" s="22"/>
      <c r="O42" s="22"/>
      <c r="P42" s="22"/>
      <c r="Q42" s="22"/>
      <c r="R42" s="22"/>
      <c r="S42" s="22"/>
      <c r="T42" s="22"/>
      <c r="U42" s="2"/>
      <c r="V42" s="2"/>
      <c r="W42" s="2"/>
      <c r="X42" s="2"/>
      <c r="Y42" s="2"/>
      <c r="Z42" s="2"/>
    </row>
    <row r="43" spans="1:26" ht="25.5">
      <c r="A43" s="221"/>
      <c r="B43" s="221"/>
      <c r="C43" s="221"/>
      <c r="D43" s="221"/>
      <c r="E43" s="24" t="s">
        <v>76</v>
      </c>
      <c r="F43" s="25"/>
      <c r="G43" s="26" t="s">
        <v>17</v>
      </c>
      <c r="H43" s="26" t="s">
        <v>70</v>
      </c>
      <c r="I43" s="26" t="s">
        <v>71</v>
      </c>
      <c r="J43" s="26" t="s">
        <v>72</v>
      </c>
      <c r="K43" s="26" t="s">
        <v>73</v>
      </c>
      <c r="L43" s="221"/>
      <c r="M43" s="22"/>
      <c r="N43" s="22"/>
      <c r="O43" s="22"/>
      <c r="P43" s="22"/>
      <c r="Q43" s="22"/>
      <c r="R43" s="22"/>
      <c r="S43" s="22"/>
      <c r="T43" s="22"/>
      <c r="U43" s="2"/>
      <c r="V43" s="2"/>
      <c r="W43" s="2"/>
      <c r="X43" s="2"/>
      <c r="Y43" s="2"/>
      <c r="Z43" s="2"/>
    </row>
    <row r="44" spans="1:26" ht="25.5">
      <c r="A44" s="221"/>
      <c r="B44" s="221"/>
      <c r="C44" s="221"/>
      <c r="D44" s="221"/>
      <c r="E44" s="28" t="s">
        <v>77</v>
      </c>
      <c r="F44" s="26" t="s">
        <v>46</v>
      </c>
      <c r="G44" s="26" t="s">
        <v>17</v>
      </c>
      <c r="H44" s="26" t="s">
        <v>70</v>
      </c>
      <c r="I44" s="26" t="s">
        <v>71</v>
      </c>
      <c r="J44" s="26" t="s">
        <v>72</v>
      </c>
      <c r="K44" s="26" t="s">
        <v>73</v>
      </c>
      <c r="L44" s="221"/>
      <c r="M44" s="22"/>
      <c r="N44" s="22"/>
      <c r="O44" s="22"/>
      <c r="P44" s="22"/>
      <c r="Q44" s="22"/>
      <c r="R44" s="22"/>
      <c r="S44" s="22"/>
      <c r="T44" s="22"/>
      <c r="U44" s="2"/>
      <c r="V44" s="2"/>
      <c r="W44" s="2"/>
      <c r="X44" s="2"/>
      <c r="Y44" s="2"/>
      <c r="Z44" s="2"/>
    </row>
    <row r="45" spans="1:26" ht="25.5">
      <c r="A45" s="221"/>
      <c r="B45" s="221"/>
      <c r="C45" s="221"/>
      <c r="D45" s="221"/>
      <c r="E45" s="28" t="s">
        <v>78</v>
      </c>
      <c r="F45" s="26" t="s">
        <v>46</v>
      </c>
      <c r="G45" s="26" t="s">
        <v>17</v>
      </c>
      <c r="H45" s="26" t="s">
        <v>70</v>
      </c>
      <c r="I45" s="26" t="s">
        <v>71</v>
      </c>
      <c r="J45" s="26" t="s">
        <v>72</v>
      </c>
      <c r="K45" s="26" t="s">
        <v>73</v>
      </c>
      <c r="L45" s="221"/>
      <c r="M45" s="22"/>
      <c r="N45" s="22"/>
      <c r="O45" s="22"/>
      <c r="P45" s="22"/>
      <c r="Q45" s="22"/>
      <c r="R45" s="22"/>
      <c r="S45" s="22"/>
      <c r="T45" s="22"/>
      <c r="U45" s="2"/>
      <c r="V45" s="2"/>
      <c r="W45" s="2"/>
      <c r="X45" s="2"/>
      <c r="Y45" s="2"/>
      <c r="Z45" s="2"/>
    </row>
    <row r="46" spans="1:26" ht="25.5">
      <c r="A46" s="221"/>
      <c r="B46" s="221"/>
      <c r="C46" s="221"/>
      <c r="D46" s="221"/>
      <c r="E46" s="28" t="s">
        <v>79</v>
      </c>
      <c r="F46" s="26" t="s">
        <v>46</v>
      </c>
      <c r="G46" s="26" t="s">
        <v>17</v>
      </c>
      <c r="H46" s="26" t="s">
        <v>70</v>
      </c>
      <c r="I46" s="26" t="s">
        <v>71</v>
      </c>
      <c r="J46" s="26" t="s">
        <v>72</v>
      </c>
      <c r="K46" s="26" t="s">
        <v>73</v>
      </c>
      <c r="L46" s="221"/>
      <c r="M46" s="22"/>
      <c r="N46" s="22"/>
      <c r="O46" s="22"/>
      <c r="P46" s="22"/>
      <c r="Q46" s="22"/>
      <c r="R46" s="22"/>
      <c r="S46" s="22"/>
      <c r="T46" s="22"/>
      <c r="U46" s="2"/>
      <c r="V46" s="2"/>
      <c r="W46" s="2"/>
      <c r="X46" s="2"/>
      <c r="Y46" s="2"/>
      <c r="Z46" s="2"/>
    </row>
    <row r="47" spans="1:26" ht="25.5">
      <c r="A47" s="221"/>
      <c r="B47" s="221"/>
      <c r="C47" s="221"/>
      <c r="D47" s="221"/>
      <c r="E47" s="24" t="s">
        <v>80</v>
      </c>
      <c r="F47" s="25"/>
      <c r="G47" s="26" t="s">
        <v>17</v>
      </c>
      <c r="H47" s="26" t="s">
        <v>70</v>
      </c>
      <c r="I47" s="26" t="s">
        <v>71</v>
      </c>
      <c r="J47" s="26" t="s">
        <v>72</v>
      </c>
      <c r="K47" s="26" t="s">
        <v>73</v>
      </c>
      <c r="L47" s="221"/>
      <c r="M47" s="22"/>
      <c r="N47" s="22"/>
      <c r="O47" s="22"/>
      <c r="P47" s="22"/>
      <c r="Q47" s="22"/>
      <c r="R47" s="22"/>
      <c r="S47" s="22"/>
      <c r="T47" s="22"/>
      <c r="U47" s="2"/>
      <c r="V47" s="2"/>
      <c r="W47" s="2"/>
      <c r="X47" s="2"/>
      <c r="Y47" s="2"/>
      <c r="Z47" s="2"/>
    </row>
    <row r="48" spans="1:26" ht="25.5">
      <c r="A48" s="221"/>
      <c r="B48" s="221"/>
      <c r="C48" s="221"/>
      <c r="D48" s="221"/>
      <c r="E48" s="24" t="s">
        <v>81</v>
      </c>
      <c r="F48" s="25"/>
      <c r="G48" s="26" t="s">
        <v>17</v>
      </c>
      <c r="H48" s="26" t="s">
        <v>70</v>
      </c>
      <c r="I48" s="26" t="s">
        <v>71</v>
      </c>
      <c r="J48" s="26" t="s">
        <v>72</v>
      </c>
      <c r="K48" s="26" t="s">
        <v>73</v>
      </c>
      <c r="L48" s="221"/>
      <c r="M48" s="22"/>
      <c r="N48" s="22"/>
      <c r="O48" s="22"/>
      <c r="P48" s="22"/>
      <c r="Q48" s="22"/>
      <c r="R48" s="22"/>
      <c r="S48" s="22"/>
      <c r="T48" s="22"/>
      <c r="U48" s="2"/>
      <c r="V48" s="2"/>
      <c r="W48" s="2"/>
      <c r="X48" s="2"/>
      <c r="Y48" s="2"/>
      <c r="Z48" s="2"/>
    </row>
    <row r="49" spans="1:26" ht="25.5">
      <c r="A49" s="221"/>
      <c r="B49" s="221"/>
      <c r="C49" s="221"/>
      <c r="D49" s="221"/>
      <c r="E49" s="24" t="s">
        <v>82</v>
      </c>
      <c r="F49" s="25"/>
      <c r="G49" s="26" t="s">
        <v>17</v>
      </c>
      <c r="H49" s="26" t="s">
        <v>70</v>
      </c>
      <c r="I49" s="26" t="s">
        <v>71</v>
      </c>
      <c r="J49" s="26" t="s">
        <v>72</v>
      </c>
      <c r="K49" s="26" t="s">
        <v>73</v>
      </c>
      <c r="L49" s="221"/>
      <c r="M49" s="22"/>
      <c r="N49" s="22"/>
      <c r="O49" s="22"/>
      <c r="P49" s="22"/>
      <c r="Q49" s="22"/>
      <c r="R49" s="22"/>
      <c r="S49" s="22"/>
      <c r="T49" s="22"/>
      <c r="U49" s="2"/>
      <c r="V49" s="2"/>
      <c r="W49" s="2"/>
      <c r="X49" s="2"/>
      <c r="Y49" s="2"/>
      <c r="Z49" s="2"/>
    </row>
    <row r="50" spans="1:26" ht="25.5" hidden="1">
      <c r="A50" s="221"/>
      <c r="B50" s="221"/>
      <c r="C50" s="221"/>
      <c r="D50" s="221"/>
      <c r="E50" s="24" t="s">
        <v>83</v>
      </c>
      <c r="F50" s="25"/>
      <c r="G50" s="26" t="s">
        <v>17</v>
      </c>
      <c r="H50" s="26" t="s">
        <v>70</v>
      </c>
      <c r="I50" s="26" t="s">
        <v>71</v>
      </c>
      <c r="J50" s="33" t="s">
        <v>72</v>
      </c>
      <c r="K50" s="26" t="s">
        <v>73</v>
      </c>
      <c r="L50" s="221"/>
      <c r="M50" s="22"/>
      <c r="N50" s="22"/>
      <c r="O50" s="22"/>
      <c r="P50" s="22"/>
      <c r="Q50" s="22"/>
      <c r="R50" s="22"/>
      <c r="S50" s="22"/>
      <c r="T50" s="22"/>
      <c r="U50" s="2"/>
      <c r="V50" s="2"/>
      <c r="W50" s="2"/>
      <c r="X50" s="2"/>
      <c r="Y50" s="2"/>
      <c r="Z50" s="2"/>
    </row>
    <row r="51" spans="1:26" ht="25.5" hidden="1">
      <c r="A51" s="221"/>
      <c r="B51" s="221"/>
      <c r="C51" s="221"/>
      <c r="D51" s="221"/>
      <c r="E51" s="24" t="s">
        <v>84</v>
      </c>
      <c r="F51" s="25"/>
      <c r="G51" s="26" t="s">
        <v>17</v>
      </c>
      <c r="H51" s="26" t="s">
        <v>70</v>
      </c>
      <c r="I51" s="26" t="s">
        <v>71</v>
      </c>
      <c r="J51" s="33" t="s">
        <v>72</v>
      </c>
      <c r="K51" s="26" t="s">
        <v>73</v>
      </c>
      <c r="L51" s="221"/>
      <c r="M51" s="22"/>
      <c r="N51" s="22"/>
      <c r="O51" s="22"/>
      <c r="P51" s="22"/>
      <c r="Q51" s="22"/>
      <c r="R51" s="22"/>
      <c r="S51" s="22"/>
      <c r="T51" s="22"/>
      <c r="U51" s="2"/>
      <c r="V51" s="2"/>
      <c r="W51" s="2"/>
      <c r="X51" s="2"/>
      <c r="Y51" s="2"/>
      <c r="Z51" s="2"/>
    </row>
    <row r="52" spans="1:26" ht="25.5" hidden="1">
      <c r="A52" s="221"/>
      <c r="B52" s="221"/>
      <c r="C52" s="221"/>
      <c r="D52" s="221"/>
      <c r="E52" s="28" t="s">
        <v>85</v>
      </c>
      <c r="F52" s="26" t="s">
        <v>46</v>
      </c>
      <c r="G52" s="26" t="s">
        <v>17</v>
      </c>
      <c r="H52" s="26" t="s">
        <v>70</v>
      </c>
      <c r="I52" s="26" t="s">
        <v>71</v>
      </c>
      <c r="J52" s="33" t="s">
        <v>72</v>
      </c>
      <c r="K52" s="26" t="s">
        <v>73</v>
      </c>
      <c r="L52" s="221"/>
      <c r="M52" s="22"/>
      <c r="N52" s="22"/>
      <c r="O52" s="22"/>
      <c r="P52" s="22"/>
      <c r="Q52" s="22"/>
      <c r="R52" s="22"/>
      <c r="S52" s="22"/>
      <c r="T52" s="22"/>
      <c r="U52" s="2"/>
      <c r="V52" s="2"/>
      <c r="W52" s="2"/>
      <c r="X52" s="2"/>
      <c r="Y52" s="2"/>
      <c r="Z52" s="2"/>
    </row>
    <row r="53" spans="1:26" ht="25.5" hidden="1">
      <c r="A53" s="221"/>
      <c r="B53" s="221"/>
      <c r="C53" s="221"/>
      <c r="D53" s="221"/>
      <c r="E53" s="24" t="s">
        <v>86</v>
      </c>
      <c r="F53" s="25"/>
      <c r="G53" s="26" t="s">
        <v>17</v>
      </c>
      <c r="H53" s="26" t="s">
        <v>70</v>
      </c>
      <c r="I53" s="26" t="s">
        <v>71</v>
      </c>
      <c r="J53" s="33" t="s">
        <v>72</v>
      </c>
      <c r="K53" s="26" t="s">
        <v>73</v>
      </c>
      <c r="L53" s="221"/>
      <c r="M53" s="22"/>
      <c r="N53" s="22"/>
      <c r="O53" s="22"/>
      <c r="P53" s="22"/>
      <c r="Q53" s="22"/>
      <c r="R53" s="22"/>
      <c r="S53" s="22"/>
      <c r="T53" s="22"/>
      <c r="U53" s="2"/>
      <c r="V53" s="2"/>
      <c r="W53" s="2"/>
      <c r="X53" s="2"/>
      <c r="Y53" s="2"/>
      <c r="Z53" s="2"/>
    </row>
    <row r="54" spans="1:26" ht="25.5" hidden="1">
      <c r="A54" s="221"/>
      <c r="B54" s="221"/>
      <c r="C54" s="221"/>
      <c r="D54" s="221"/>
      <c r="E54" s="24" t="s">
        <v>87</v>
      </c>
      <c r="F54" s="25"/>
      <c r="G54" s="26" t="s">
        <v>17</v>
      </c>
      <c r="H54" s="26" t="s">
        <v>70</v>
      </c>
      <c r="I54" s="26" t="s">
        <v>71</v>
      </c>
      <c r="J54" s="33" t="s">
        <v>72</v>
      </c>
      <c r="K54" s="26" t="s">
        <v>73</v>
      </c>
      <c r="L54" s="221"/>
      <c r="M54" s="22"/>
      <c r="N54" s="22"/>
      <c r="O54" s="22"/>
      <c r="P54" s="22"/>
      <c r="Q54" s="22"/>
      <c r="R54" s="22"/>
      <c r="S54" s="22"/>
      <c r="T54" s="22"/>
      <c r="U54" s="2"/>
      <c r="V54" s="2"/>
      <c r="W54" s="2"/>
      <c r="X54" s="2"/>
      <c r="Y54" s="2"/>
      <c r="Z54" s="2"/>
    </row>
    <row r="55" spans="1:26" ht="25.5" hidden="1">
      <c r="A55" s="221"/>
      <c r="B55" s="221"/>
      <c r="C55" s="221"/>
      <c r="D55" s="221"/>
      <c r="E55" s="24" t="s">
        <v>88</v>
      </c>
      <c r="F55" s="25"/>
      <c r="G55" s="26" t="s">
        <v>17</v>
      </c>
      <c r="H55" s="26" t="s">
        <v>70</v>
      </c>
      <c r="I55" s="26" t="s">
        <v>71</v>
      </c>
      <c r="J55" s="33" t="s">
        <v>72</v>
      </c>
      <c r="K55" s="26" t="s">
        <v>73</v>
      </c>
      <c r="L55" s="221"/>
      <c r="M55" s="22"/>
      <c r="N55" s="22"/>
      <c r="O55" s="22"/>
      <c r="P55" s="22"/>
      <c r="Q55" s="22"/>
      <c r="R55" s="22"/>
      <c r="S55" s="22"/>
      <c r="T55" s="22"/>
      <c r="U55" s="2"/>
      <c r="V55" s="2"/>
      <c r="W55" s="2"/>
      <c r="X55" s="2"/>
      <c r="Y55" s="2"/>
      <c r="Z55" s="2"/>
    </row>
    <row r="56" spans="1:26" ht="25.5" hidden="1">
      <c r="A56" s="221"/>
      <c r="B56" s="221"/>
      <c r="C56" s="221"/>
      <c r="D56" s="221"/>
      <c r="E56" s="24" t="s">
        <v>89</v>
      </c>
      <c r="F56" s="25"/>
      <c r="G56" s="26" t="s">
        <v>17</v>
      </c>
      <c r="H56" s="26" t="s">
        <v>70</v>
      </c>
      <c r="I56" s="26" t="s">
        <v>71</v>
      </c>
      <c r="J56" s="33" t="s">
        <v>72</v>
      </c>
      <c r="K56" s="26" t="s">
        <v>73</v>
      </c>
      <c r="L56" s="221"/>
      <c r="M56" s="22"/>
      <c r="N56" s="22"/>
      <c r="O56" s="22"/>
      <c r="P56" s="22"/>
      <c r="Q56" s="22"/>
      <c r="R56" s="22"/>
      <c r="S56" s="22"/>
      <c r="T56" s="22"/>
      <c r="U56" s="2"/>
      <c r="V56" s="2"/>
      <c r="W56" s="2"/>
      <c r="X56" s="2"/>
      <c r="Y56" s="2"/>
      <c r="Z56" s="2"/>
    </row>
    <row r="57" spans="1:26" ht="25.5" hidden="1">
      <c r="A57" s="222"/>
      <c r="B57" s="222"/>
      <c r="C57" s="222"/>
      <c r="D57" s="222"/>
      <c r="E57" s="28" t="s">
        <v>90</v>
      </c>
      <c r="F57" s="26" t="s">
        <v>46</v>
      </c>
      <c r="G57" s="26" t="s">
        <v>17</v>
      </c>
      <c r="H57" s="26" t="s">
        <v>70</v>
      </c>
      <c r="I57" s="26" t="s">
        <v>71</v>
      </c>
      <c r="J57" s="33" t="s">
        <v>72</v>
      </c>
      <c r="K57" s="26" t="s">
        <v>73</v>
      </c>
      <c r="L57" s="222"/>
      <c r="M57" s="22"/>
      <c r="N57" s="22"/>
      <c r="O57" s="22"/>
      <c r="P57" s="22"/>
      <c r="Q57" s="22"/>
      <c r="R57" s="22"/>
      <c r="S57" s="22"/>
      <c r="T57" s="22"/>
      <c r="U57" s="2"/>
      <c r="V57" s="2"/>
      <c r="W57" s="2"/>
      <c r="X57" s="2"/>
      <c r="Y57" s="2"/>
      <c r="Z57" s="2"/>
    </row>
    <row r="58" spans="1:26" ht="25.5" hidden="1">
      <c r="A58" s="228" t="s">
        <v>91</v>
      </c>
      <c r="B58" s="228" t="s">
        <v>91</v>
      </c>
      <c r="C58" s="225" t="s">
        <v>92</v>
      </c>
      <c r="D58" s="225" t="s">
        <v>93</v>
      </c>
      <c r="E58" s="29" t="s">
        <v>94</v>
      </c>
      <c r="F58" s="30" t="s">
        <v>95</v>
      </c>
      <c r="G58" s="30" t="s">
        <v>17</v>
      </c>
      <c r="H58" s="30" t="s">
        <v>70</v>
      </c>
      <c r="I58" s="30" t="s">
        <v>71</v>
      </c>
      <c r="J58" s="31"/>
      <c r="K58" s="31"/>
      <c r="L58" s="31"/>
      <c r="M58" s="22"/>
      <c r="N58" s="22"/>
      <c r="O58" s="22"/>
      <c r="P58" s="22"/>
      <c r="Q58" s="22"/>
      <c r="R58" s="22"/>
      <c r="S58" s="22"/>
      <c r="T58" s="22"/>
      <c r="U58" s="2"/>
      <c r="V58" s="2"/>
      <c r="W58" s="2"/>
      <c r="X58" s="2"/>
      <c r="Y58" s="2"/>
      <c r="Z58" s="2"/>
    </row>
    <row r="59" spans="1:26" ht="12.75" hidden="1">
      <c r="A59" s="221"/>
      <c r="B59" s="221"/>
      <c r="C59" s="221"/>
      <c r="D59" s="221"/>
      <c r="E59" s="29" t="s">
        <v>96</v>
      </c>
      <c r="F59" s="31"/>
      <c r="G59" s="30" t="s">
        <v>17</v>
      </c>
      <c r="H59" s="30" t="s">
        <v>70</v>
      </c>
      <c r="I59" s="30" t="s">
        <v>71</v>
      </c>
      <c r="J59" s="31"/>
      <c r="K59" s="31"/>
      <c r="L59" s="31"/>
      <c r="M59" s="22"/>
      <c r="N59" s="22"/>
      <c r="O59" s="22"/>
      <c r="P59" s="22"/>
      <c r="Q59" s="22"/>
      <c r="R59" s="22"/>
      <c r="S59" s="22"/>
      <c r="T59" s="22"/>
      <c r="U59" s="2"/>
      <c r="V59" s="2"/>
      <c r="W59" s="2"/>
      <c r="X59" s="2"/>
      <c r="Y59" s="2"/>
      <c r="Z59" s="2"/>
    </row>
    <row r="60" spans="1:26" ht="12.75" hidden="1">
      <c r="A60" s="221"/>
      <c r="B60" s="221"/>
      <c r="C60" s="221"/>
      <c r="D60" s="221"/>
      <c r="E60" s="29" t="s">
        <v>97</v>
      </c>
      <c r="F60" s="31"/>
      <c r="G60" s="30" t="s">
        <v>17</v>
      </c>
      <c r="H60" s="30" t="s">
        <v>70</v>
      </c>
      <c r="I60" s="30" t="s">
        <v>71</v>
      </c>
      <c r="J60" s="31"/>
      <c r="K60" s="31"/>
      <c r="L60" s="31"/>
      <c r="M60" s="22"/>
      <c r="N60" s="22"/>
      <c r="O60" s="22"/>
      <c r="P60" s="22"/>
      <c r="Q60" s="22"/>
      <c r="R60" s="22"/>
      <c r="S60" s="22"/>
      <c r="T60" s="22"/>
      <c r="U60" s="2"/>
      <c r="V60" s="2"/>
      <c r="W60" s="2"/>
      <c r="X60" s="2"/>
      <c r="Y60" s="2"/>
      <c r="Z60" s="2"/>
    </row>
    <row r="61" spans="1:26" ht="12.75" hidden="1">
      <c r="A61" s="221"/>
      <c r="B61" s="221"/>
      <c r="C61" s="221"/>
      <c r="D61" s="221"/>
      <c r="E61" s="29" t="s">
        <v>98</v>
      </c>
      <c r="F61" s="31"/>
      <c r="G61" s="30" t="s">
        <v>17</v>
      </c>
      <c r="H61" s="30" t="s">
        <v>70</v>
      </c>
      <c r="I61" s="30" t="s">
        <v>71</v>
      </c>
      <c r="J61" s="31"/>
      <c r="K61" s="31"/>
      <c r="L61" s="31"/>
      <c r="M61" s="22"/>
      <c r="N61" s="22"/>
      <c r="O61" s="22"/>
      <c r="P61" s="22"/>
      <c r="Q61" s="22"/>
      <c r="R61" s="22"/>
      <c r="S61" s="22"/>
      <c r="T61" s="22"/>
      <c r="U61" s="2"/>
      <c r="V61" s="2"/>
      <c r="W61" s="2"/>
      <c r="X61" s="2"/>
      <c r="Y61" s="2"/>
      <c r="Z61" s="2"/>
    </row>
    <row r="62" spans="1:26" ht="12.75" hidden="1">
      <c r="A62" s="221"/>
      <c r="B62" s="221"/>
      <c r="C62" s="221"/>
      <c r="D62" s="221"/>
      <c r="E62" s="29" t="s">
        <v>99</v>
      </c>
      <c r="F62" s="31"/>
      <c r="G62" s="30" t="s">
        <v>17</v>
      </c>
      <c r="H62" s="30" t="s">
        <v>70</v>
      </c>
      <c r="I62" s="30" t="s">
        <v>71</v>
      </c>
      <c r="J62" s="31"/>
      <c r="K62" s="31"/>
      <c r="L62" s="31"/>
      <c r="M62" s="22"/>
      <c r="N62" s="22"/>
      <c r="O62" s="22"/>
      <c r="P62" s="22"/>
      <c r="Q62" s="22"/>
      <c r="R62" s="22"/>
      <c r="S62" s="22"/>
      <c r="T62" s="22"/>
      <c r="U62" s="2"/>
      <c r="V62" s="2"/>
      <c r="W62" s="2"/>
      <c r="X62" s="2"/>
      <c r="Y62" s="2"/>
      <c r="Z62" s="2"/>
    </row>
    <row r="63" spans="1:26" ht="25.5" hidden="1">
      <c r="A63" s="221"/>
      <c r="B63" s="221"/>
      <c r="C63" s="221"/>
      <c r="D63" s="221"/>
      <c r="E63" s="29" t="s">
        <v>100</v>
      </c>
      <c r="F63" s="31"/>
      <c r="G63" s="30" t="s">
        <v>17</v>
      </c>
      <c r="H63" s="30" t="s">
        <v>70</v>
      </c>
      <c r="I63" s="30" t="s">
        <v>71</v>
      </c>
      <c r="J63" s="31"/>
      <c r="K63" s="31"/>
      <c r="L63" s="31"/>
      <c r="M63" s="22"/>
      <c r="N63" s="22"/>
      <c r="O63" s="22"/>
      <c r="P63" s="22"/>
      <c r="Q63" s="22"/>
      <c r="R63" s="22"/>
      <c r="S63" s="22"/>
      <c r="T63" s="22"/>
      <c r="U63" s="2"/>
      <c r="V63" s="2"/>
      <c r="W63" s="2"/>
      <c r="X63" s="2"/>
      <c r="Y63" s="2"/>
      <c r="Z63" s="2"/>
    </row>
    <row r="64" spans="1:26" ht="29.25" hidden="1" customHeight="1">
      <c r="A64" s="221"/>
      <c r="B64" s="221"/>
      <c r="C64" s="221"/>
      <c r="D64" s="221"/>
      <c r="E64" s="29" t="s">
        <v>101</v>
      </c>
      <c r="F64" s="31"/>
      <c r="G64" s="30" t="s">
        <v>17</v>
      </c>
      <c r="H64" s="30" t="s">
        <v>70</v>
      </c>
      <c r="I64" s="30" t="s">
        <v>71</v>
      </c>
      <c r="J64" s="31"/>
      <c r="K64" s="31"/>
      <c r="L64" s="31"/>
      <c r="M64" s="22"/>
      <c r="N64" s="22"/>
      <c r="O64" s="22"/>
      <c r="P64" s="22"/>
      <c r="Q64" s="22"/>
      <c r="R64" s="22"/>
      <c r="S64" s="22"/>
      <c r="T64" s="22"/>
      <c r="U64" s="2"/>
      <c r="V64" s="2"/>
      <c r="W64" s="2"/>
      <c r="X64" s="2"/>
      <c r="Y64" s="2"/>
      <c r="Z64" s="2"/>
    </row>
    <row r="65" spans="1:26" ht="38.25" hidden="1" customHeight="1">
      <c r="A65" s="221"/>
      <c r="B65" s="221"/>
      <c r="C65" s="221"/>
      <c r="D65" s="222"/>
      <c r="E65" s="29" t="s">
        <v>102</v>
      </c>
      <c r="F65" s="31"/>
      <c r="G65" s="30" t="s">
        <v>17</v>
      </c>
      <c r="H65" s="30" t="s">
        <v>70</v>
      </c>
      <c r="I65" s="30" t="s">
        <v>71</v>
      </c>
      <c r="J65" s="31"/>
      <c r="K65" s="31"/>
      <c r="L65" s="31"/>
      <c r="M65" s="22"/>
      <c r="N65" s="22"/>
      <c r="O65" s="22"/>
      <c r="P65" s="22"/>
      <c r="Q65" s="22"/>
      <c r="R65" s="22"/>
      <c r="S65" s="22"/>
      <c r="T65" s="22"/>
      <c r="U65" s="2"/>
      <c r="V65" s="2"/>
      <c r="W65" s="2"/>
      <c r="X65" s="2"/>
      <c r="Y65" s="2"/>
      <c r="Z65" s="2"/>
    </row>
    <row r="66" spans="1:26" ht="12.75" hidden="1">
      <c r="A66" s="221"/>
      <c r="B66" s="221"/>
      <c r="C66" s="221"/>
      <c r="D66" s="225" t="s">
        <v>103</v>
      </c>
      <c r="E66" s="29" t="s">
        <v>104</v>
      </c>
      <c r="F66" s="31"/>
      <c r="G66" s="30" t="s">
        <v>17</v>
      </c>
      <c r="H66" s="30" t="s">
        <v>70</v>
      </c>
      <c r="I66" s="30" t="s">
        <v>71</v>
      </c>
      <c r="J66" s="31"/>
      <c r="K66" s="31"/>
      <c r="L66" s="31"/>
      <c r="M66" s="22"/>
      <c r="N66" s="22"/>
      <c r="O66" s="22"/>
      <c r="P66" s="22"/>
      <c r="Q66" s="22"/>
      <c r="R66" s="22"/>
      <c r="S66" s="22"/>
      <c r="T66" s="22"/>
      <c r="U66" s="2"/>
      <c r="V66" s="2"/>
      <c r="W66" s="2"/>
      <c r="X66" s="2"/>
      <c r="Y66" s="2"/>
      <c r="Z66" s="2"/>
    </row>
    <row r="67" spans="1:26" ht="12.75" hidden="1">
      <c r="A67" s="221"/>
      <c r="B67" s="221"/>
      <c r="C67" s="221"/>
      <c r="D67" s="221"/>
      <c r="E67" s="29" t="s">
        <v>105</v>
      </c>
      <c r="F67" s="31"/>
      <c r="G67" s="30" t="s">
        <v>17</v>
      </c>
      <c r="H67" s="30" t="s">
        <v>70</v>
      </c>
      <c r="I67" s="30" t="s">
        <v>71</v>
      </c>
      <c r="J67" s="31"/>
      <c r="K67" s="31"/>
      <c r="L67" s="31"/>
      <c r="M67" s="22"/>
      <c r="N67" s="22"/>
      <c r="O67" s="22"/>
      <c r="P67" s="22"/>
      <c r="Q67" s="22"/>
      <c r="R67" s="22"/>
      <c r="S67" s="22"/>
      <c r="T67" s="22"/>
      <c r="U67" s="2"/>
      <c r="V67" s="2"/>
      <c r="W67" s="2"/>
      <c r="X67" s="2"/>
      <c r="Y67" s="2"/>
      <c r="Z67" s="2"/>
    </row>
    <row r="68" spans="1:26" ht="45.75" hidden="1" customHeight="1">
      <c r="A68" s="221"/>
      <c r="B68" s="221"/>
      <c r="C68" s="221"/>
      <c r="D68" s="221"/>
      <c r="E68" s="29" t="s">
        <v>106</v>
      </c>
      <c r="F68" s="31"/>
      <c r="G68" s="30" t="s">
        <v>17</v>
      </c>
      <c r="H68" s="30" t="s">
        <v>70</v>
      </c>
      <c r="I68" s="30" t="s">
        <v>71</v>
      </c>
      <c r="J68" s="31"/>
      <c r="K68" s="31"/>
      <c r="L68" s="31"/>
      <c r="M68" s="22"/>
      <c r="N68" s="22"/>
      <c r="O68" s="22"/>
      <c r="P68" s="22"/>
      <c r="Q68" s="22"/>
      <c r="R68" s="22"/>
      <c r="S68" s="22"/>
      <c r="T68" s="22"/>
      <c r="U68" s="2"/>
      <c r="V68" s="2"/>
      <c r="W68" s="2"/>
      <c r="X68" s="2"/>
      <c r="Y68" s="2"/>
      <c r="Z68" s="2"/>
    </row>
    <row r="69" spans="1:26" ht="12.75" hidden="1">
      <c r="A69" s="221"/>
      <c r="B69" s="221"/>
      <c r="C69" s="221"/>
      <c r="D69" s="221"/>
      <c r="E69" s="29" t="s">
        <v>107</v>
      </c>
      <c r="F69" s="31"/>
      <c r="G69" s="30" t="s">
        <v>17</v>
      </c>
      <c r="H69" s="30" t="s">
        <v>70</v>
      </c>
      <c r="I69" s="30" t="s">
        <v>71</v>
      </c>
      <c r="J69" s="31"/>
      <c r="K69" s="31"/>
      <c r="L69" s="31"/>
      <c r="M69" s="22"/>
      <c r="N69" s="22"/>
      <c r="O69" s="22"/>
      <c r="P69" s="22"/>
      <c r="Q69" s="22"/>
      <c r="R69" s="22"/>
      <c r="S69" s="22"/>
      <c r="T69" s="22"/>
      <c r="U69" s="2"/>
      <c r="V69" s="2"/>
      <c r="W69" s="2"/>
      <c r="X69" s="2"/>
      <c r="Y69" s="2"/>
      <c r="Z69" s="2"/>
    </row>
    <row r="70" spans="1:26" ht="39" hidden="1" customHeight="1">
      <c r="A70" s="222"/>
      <c r="B70" s="222"/>
      <c r="C70" s="222"/>
      <c r="D70" s="221"/>
      <c r="E70" s="29" t="s">
        <v>108</v>
      </c>
      <c r="F70" s="31"/>
      <c r="G70" s="30" t="s">
        <v>17</v>
      </c>
      <c r="H70" s="30" t="s">
        <v>70</v>
      </c>
      <c r="I70" s="30" t="s">
        <v>71</v>
      </c>
      <c r="J70" s="31"/>
      <c r="K70" s="31"/>
      <c r="L70" s="31"/>
      <c r="M70" s="22"/>
      <c r="N70" s="22"/>
      <c r="O70" s="22"/>
      <c r="P70" s="22"/>
      <c r="Q70" s="22"/>
      <c r="R70" s="22"/>
      <c r="S70" s="22"/>
      <c r="T70" s="22"/>
      <c r="U70" s="2"/>
      <c r="V70" s="2"/>
      <c r="W70" s="2"/>
      <c r="X70" s="2"/>
      <c r="Y70" s="2"/>
      <c r="Z70" s="2"/>
    </row>
    <row r="71" spans="1:26" ht="50.25" hidden="1" customHeight="1">
      <c r="A71" s="230">
        <v>3</v>
      </c>
      <c r="B71" s="227" t="s">
        <v>109</v>
      </c>
      <c r="C71" s="227" t="s">
        <v>110</v>
      </c>
      <c r="D71" s="227" t="s">
        <v>111</v>
      </c>
      <c r="E71" s="34" t="s">
        <v>112</v>
      </c>
      <c r="F71" s="35"/>
      <c r="G71" s="36" t="s">
        <v>17</v>
      </c>
      <c r="H71" s="36" t="s">
        <v>70</v>
      </c>
      <c r="I71" s="36" t="s">
        <v>71</v>
      </c>
      <c r="J71" s="36" t="s">
        <v>113</v>
      </c>
      <c r="K71" s="36" t="s">
        <v>73</v>
      </c>
      <c r="L71" s="224" t="s">
        <v>114</v>
      </c>
      <c r="M71" s="22"/>
      <c r="N71" s="22"/>
      <c r="O71" s="22"/>
      <c r="P71" s="22"/>
      <c r="Q71" s="22"/>
      <c r="R71" s="22"/>
      <c r="S71" s="22"/>
      <c r="T71" s="22"/>
      <c r="U71" s="2"/>
      <c r="V71" s="2"/>
      <c r="W71" s="2"/>
      <c r="X71" s="2"/>
      <c r="Y71" s="2"/>
      <c r="Z71" s="2"/>
    </row>
    <row r="72" spans="1:26" ht="25.5">
      <c r="A72" s="221"/>
      <c r="B72" s="221"/>
      <c r="C72" s="221"/>
      <c r="D72" s="221"/>
      <c r="E72" s="34" t="s">
        <v>115</v>
      </c>
      <c r="F72" s="35"/>
      <c r="G72" s="36" t="s">
        <v>17</v>
      </c>
      <c r="H72" s="36" t="s">
        <v>70</v>
      </c>
      <c r="I72" s="36" t="s">
        <v>71</v>
      </c>
      <c r="J72" s="36" t="s">
        <v>113</v>
      </c>
      <c r="K72" s="36" t="s">
        <v>73</v>
      </c>
      <c r="L72" s="221"/>
      <c r="M72" s="22"/>
      <c r="N72" s="22"/>
      <c r="O72" s="22"/>
      <c r="P72" s="22"/>
      <c r="Q72" s="22"/>
      <c r="R72" s="22"/>
      <c r="S72" s="22"/>
      <c r="T72" s="22"/>
      <c r="U72" s="2"/>
      <c r="V72" s="2"/>
      <c r="W72" s="2"/>
      <c r="X72" s="2"/>
      <c r="Y72" s="2"/>
      <c r="Z72" s="2"/>
    </row>
    <row r="73" spans="1:26" ht="45" customHeight="1">
      <c r="A73" s="221"/>
      <c r="B73" s="221"/>
      <c r="C73" s="221"/>
      <c r="D73" s="221"/>
      <c r="E73" s="34" t="s">
        <v>116</v>
      </c>
      <c r="F73" s="35"/>
      <c r="G73" s="36" t="s">
        <v>17</v>
      </c>
      <c r="H73" s="36" t="s">
        <v>70</v>
      </c>
      <c r="I73" s="36" t="s">
        <v>71</v>
      </c>
      <c r="J73" s="36" t="s">
        <v>113</v>
      </c>
      <c r="K73" s="36" t="s">
        <v>73</v>
      </c>
      <c r="L73" s="221"/>
      <c r="M73" s="22"/>
      <c r="N73" s="22"/>
      <c r="O73" s="22"/>
      <c r="P73" s="22"/>
      <c r="Q73" s="22"/>
      <c r="R73" s="22"/>
      <c r="S73" s="22"/>
      <c r="T73" s="22"/>
      <c r="U73" s="2"/>
      <c r="V73" s="2"/>
      <c r="W73" s="2"/>
      <c r="X73" s="2"/>
      <c r="Y73" s="2"/>
      <c r="Z73" s="2"/>
    </row>
    <row r="74" spans="1:26" ht="25.5">
      <c r="A74" s="221"/>
      <c r="B74" s="221"/>
      <c r="C74" s="221"/>
      <c r="D74" s="221"/>
      <c r="E74" s="37" t="s">
        <v>117</v>
      </c>
      <c r="F74" s="36" t="s">
        <v>46</v>
      </c>
      <c r="G74" s="36" t="s">
        <v>17</v>
      </c>
      <c r="H74" s="36" t="s">
        <v>70</v>
      </c>
      <c r="I74" s="36" t="s">
        <v>71</v>
      </c>
      <c r="J74" s="36" t="s">
        <v>113</v>
      </c>
      <c r="K74" s="36" t="s">
        <v>73</v>
      </c>
      <c r="L74" s="221"/>
      <c r="M74" s="22"/>
      <c r="N74" s="22"/>
      <c r="O74" s="22"/>
      <c r="P74" s="22"/>
      <c r="Q74" s="22"/>
      <c r="R74" s="22"/>
      <c r="S74" s="22"/>
      <c r="T74" s="22"/>
      <c r="U74" s="2"/>
      <c r="V74" s="2"/>
      <c r="W74" s="2"/>
      <c r="X74" s="2"/>
      <c r="Y74" s="2"/>
      <c r="Z74" s="2"/>
    </row>
    <row r="75" spans="1:26" ht="25.5">
      <c r="A75" s="221"/>
      <c r="B75" s="221"/>
      <c r="C75" s="221"/>
      <c r="D75" s="221"/>
      <c r="E75" s="34" t="s">
        <v>118</v>
      </c>
      <c r="F75" s="35"/>
      <c r="G75" s="36" t="s">
        <v>17</v>
      </c>
      <c r="H75" s="36" t="s">
        <v>70</v>
      </c>
      <c r="I75" s="36" t="s">
        <v>71</v>
      </c>
      <c r="J75" s="36" t="s">
        <v>113</v>
      </c>
      <c r="K75" s="36" t="s">
        <v>73</v>
      </c>
      <c r="L75" s="221"/>
      <c r="M75" s="22"/>
      <c r="N75" s="22"/>
      <c r="O75" s="22"/>
      <c r="P75" s="22"/>
      <c r="Q75" s="22"/>
      <c r="R75" s="22"/>
      <c r="S75" s="22"/>
      <c r="T75" s="22"/>
      <c r="U75" s="2"/>
      <c r="V75" s="2"/>
      <c r="W75" s="2"/>
      <c r="X75" s="2"/>
      <c r="Y75" s="2"/>
      <c r="Z75" s="2"/>
    </row>
    <row r="76" spans="1:26" ht="25.5">
      <c r="A76" s="221"/>
      <c r="B76" s="221"/>
      <c r="C76" s="221"/>
      <c r="D76" s="222"/>
      <c r="E76" s="34" t="s">
        <v>119</v>
      </c>
      <c r="F76" s="35"/>
      <c r="G76" s="36" t="s">
        <v>17</v>
      </c>
      <c r="H76" s="36" t="s">
        <v>70</v>
      </c>
      <c r="I76" s="36" t="s">
        <v>71</v>
      </c>
      <c r="J76" s="36" t="s">
        <v>113</v>
      </c>
      <c r="K76" s="36" t="s">
        <v>73</v>
      </c>
      <c r="L76" s="221"/>
      <c r="M76" s="22"/>
      <c r="N76" s="22"/>
      <c r="O76" s="22"/>
      <c r="P76" s="22"/>
      <c r="Q76" s="22"/>
      <c r="R76" s="22"/>
      <c r="S76" s="22"/>
      <c r="T76" s="22"/>
      <c r="U76" s="2"/>
      <c r="V76" s="2"/>
      <c r="W76" s="2"/>
      <c r="X76" s="2"/>
      <c r="Y76" s="2"/>
      <c r="Z76" s="2"/>
    </row>
    <row r="77" spans="1:26" ht="25.5">
      <c r="A77" s="221"/>
      <c r="B77" s="221"/>
      <c r="C77" s="221"/>
      <c r="D77" s="227" t="s">
        <v>120</v>
      </c>
      <c r="E77" s="34" t="s">
        <v>121</v>
      </c>
      <c r="F77" s="35"/>
      <c r="G77" s="36" t="s">
        <v>17</v>
      </c>
      <c r="H77" s="36" t="s">
        <v>70</v>
      </c>
      <c r="I77" s="36" t="s">
        <v>71</v>
      </c>
      <c r="J77" s="36" t="s">
        <v>113</v>
      </c>
      <c r="K77" s="36" t="s">
        <v>73</v>
      </c>
      <c r="L77" s="221"/>
      <c r="M77" s="22"/>
      <c r="N77" s="22"/>
      <c r="O77" s="22"/>
      <c r="P77" s="22"/>
      <c r="Q77" s="22"/>
      <c r="R77" s="22"/>
      <c r="S77" s="22"/>
      <c r="T77" s="22"/>
      <c r="U77" s="2"/>
      <c r="V77" s="2"/>
      <c r="W77" s="2"/>
      <c r="X77" s="2"/>
      <c r="Y77" s="2"/>
      <c r="Z77" s="2"/>
    </row>
    <row r="78" spans="1:26" ht="25.5">
      <c r="A78" s="221"/>
      <c r="B78" s="221"/>
      <c r="C78" s="221"/>
      <c r="D78" s="221"/>
      <c r="E78" s="34" t="s">
        <v>122</v>
      </c>
      <c r="F78" s="35"/>
      <c r="G78" s="36" t="s">
        <v>17</v>
      </c>
      <c r="H78" s="36" t="s">
        <v>70</v>
      </c>
      <c r="I78" s="36" t="s">
        <v>71</v>
      </c>
      <c r="J78" s="36" t="s">
        <v>113</v>
      </c>
      <c r="K78" s="36" t="s">
        <v>73</v>
      </c>
      <c r="L78" s="221"/>
      <c r="M78" s="22"/>
      <c r="N78" s="22"/>
      <c r="O78" s="22"/>
      <c r="P78" s="22"/>
      <c r="Q78" s="22"/>
      <c r="R78" s="22"/>
      <c r="S78" s="22"/>
      <c r="T78" s="22"/>
      <c r="U78" s="2"/>
      <c r="V78" s="2"/>
      <c r="W78" s="2"/>
      <c r="X78" s="2"/>
      <c r="Y78" s="2"/>
      <c r="Z78" s="2"/>
    </row>
    <row r="79" spans="1:26" ht="25.5">
      <c r="A79" s="221"/>
      <c r="B79" s="221"/>
      <c r="C79" s="221"/>
      <c r="D79" s="221"/>
      <c r="E79" s="34" t="s">
        <v>123</v>
      </c>
      <c r="F79" s="35"/>
      <c r="G79" s="36" t="s">
        <v>17</v>
      </c>
      <c r="H79" s="36" t="s">
        <v>70</v>
      </c>
      <c r="I79" s="36" t="s">
        <v>71</v>
      </c>
      <c r="J79" s="36" t="s">
        <v>113</v>
      </c>
      <c r="K79" s="36" t="s">
        <v>73</v>
      </c>
      <c r="L79" s="221"/>
      <c r="M79" s="22"/>
      <c r="N79" s="22"/>
      <c r="O79" s="22"/>
      <c r="P79" s="22"/>
      <c r="Q79" s="22"/>
      <c r="R79" s="22"/>
      <c r="S79" s="22"/>
      <c r="T79" s="22"/>
      <c r="U79" s="2"/>
      <c r="V79" s="2"/>
      <c r="W79" s="2"/>
      <c r="X79" s="2"/>
      <c r="Y79" s="2"/>
      <c r="Z79" s="2"/>
    </row>
    <row r="80" spans="1:26" ht="25.5">
      <c r="A80" s="221"/>
      <c r="B80" s="221"/>
      <c r="C80" s="221"/>
      <c r="D80" s="221"/>
      <c r="E80" s="37" t="s">
        <v>124</v>
      </c>
      <c r="F80" s="36" t="s">
        <v>46</v>
      </c>
      <c r="G80" s="36" t="s">
        <v>17</v>
      </c>
      <c r="H80" s="36" t="s">
        <v>70</v>
      </c>
      <c r="I80" s="36" t="s">
        <v>71</v>
      </c>
      <c r="J80" s="36" t="s">
        <v>113</v>
      </c>
      <c r="K80" s="36" t="s">
        <v>73</v>
      </c>
      <c r="L80" s="221"/>
      <c r="M80" s="22"/>
      <c r="N80" s="22"/>
      <c r="O80" s="22"/>
      <c r="P80" s="22"/>
      <c r="Q80" s="22"/>
      <c r="R80" s="22"/>
      <c r="S80" s="22"/>
      <c r="T80" s="22"/>
      <c r="U80" s="2"/>
      <c r="V80" s="2"/>
      <c r="W80" s="2"/>
      <c r="X80" s="2"/>
      <c r="Y80" s="2"/>
      <c r="Z80" s="2"/>
    </row>
    <row r="81" spans="1:26" ht="25.5">
      <c r="A81" s="222"/>
      <c r="B81" s="222"/>
      <c r="C81" s="222"/>
      <c r="D81" s="222"/>
      <c r="E81" s="34" t="s">
        <v>125</v>
      </c>
      <c r="F81" s="35"/>
      <c r="G81" s="36" t="s">
        <v>17</v>
      </c>
      <c r="H81" s="36" t="s">
        <v>70</v>
      </c>
      <c r="I81" s="36" t="s">
        <v>71</v>
      </c>
      <c r="J81" s="36" t="s">
        <v>113</v>
      </c>
      <c r="K81" s="36" t="s">
        <v>73</v>
      </c>
      <c r="L81" s="222"/>
      <c r="M81" s="22"/>
      <c r="N81" s="22"/>
      <c r="O81" s="22"/>
      <c r="P81" s="22"/>
      <c r="Q81" s="22"/>
      <c r="R81" s="22"/>
      <c r="S81" s="22"/>
      <c r="T81" s="22"/>
      <c r="U81" s="2"/>
      <c r="V81" s="2"/>
      <c r="W81" s="2"/>
      <c r="X81" s="2"/>
      <c r="Y81" s="2"/>
      <c r="Z81" s="2"/>
    </row>
    <row r="82" spans="1:26" ht="38.25" hidden="1">
      <c r="A82" s="231">
        <v>4</v>
      </c>
      <c r="B82" s="228" t="s">
        <v>126</v>
      </c>
      <c r="C82" s="225" t="s">
        <v>127</v>
      </c>
      <c r="D82" s="225" t="s">
        <v>128</v>
      </c>
      <c r="E82" s="29" t="s">
        <v>129</v>
      </c>
      <c r="F82" s="31"/>
      <c r="G82" s="31"/>
      <c r="H82" s="31"/>
      <c r="I82" s="31"/>
      <c r="J82" s="22"/>
      <c r="K82" s="31"/>
      <c r="L82" s="31"/>
      <c r="M82" s="22"/>
      <c r="N82" s="22"/>
      <c r="O82" s="22"/>
      <c r="P82" s="22"/>
      <c r="Q82" s="22"/>
      <c r="R82" s="22"/>
      <c r="S82" s="22"/>
      <c r="T82" s="22"/>
      <c r="U82" s="2"/>
      <c r="V82" s="2"/>
      <c r="W82" s="2"/>
      <c r="X82" s="2"/>
      <c r="Y82" s="2"/>
      <c r="Z82" s="2"/>
    </row>
    <row r="83" spans="1:26" ht="25.5" hidden="1">
      <c r="A83" s="221"/>
      <c r="B83" s="221"/>
      <c r="C83" s="221"/>
      <c r="D83" s="221"/>
      <c r="E83" s="29" t="s">
        <v>130</v>
      </c>
      <c r="F83" s="31"/>
      <c r="G83" s="31"/>
      <c r="H83" s="31"/>
      <c r="I83" s="31"/>
      <c r="J83" s="22"/>
      <c r="K83" s="31"/>
      <c r="L83" s="31"/>
      <c r="M83" s="22"/>
      <c r="N83" s="22"/>
      <c r="O83" s="22"/>
      <c r="P83" s="22"/>
      <c r="Q83" s="22"/>
      <c r="R83" s="22"/>
      <c r="S83" s="22"/>
      <c r="T83" s="22"/>
      <c r="U83" s="2"/>
      <c r="V83" s="2"/>
      <c r="W83" s="2"/>
      <c r="X83" s="2"/>
      <c r="Y83" s="2"/>
      <c r="Z83" s="2"/>
    </row>
    <row r="84" spans="1:26" ht="25.5" hidden="1">
      <c r="A84" s="221"/>
      <c r="B84" s="221"/>
      <c r="C84" s="222"/>
      <c r="D84" s="222"/>
      <c r="E84" s="29" t="s">
        <v>131</v>
      </c>
      <c r="F84" s="31"/>
      <c r="G84" s="31"/>
      <c r="H84" s="31"/>
      <c r="I84" s="31"/>
      <c r="J84" s="22"/>
      <c r="K84" s="31"/>
      <c r="L84" s="31"/>
      <c r="M84" s="22"/>
      <c r="N84" s="22"/>
      <c r="O84" s="22"/>
      <c r="P84" s="22"/>
      <c r="Q84" s="22"/>
      <c r="R84" s="22"/>
      <c r="S84" s="22"/>
      <c r="T84" s="22"/>
      <c r="U84" s="2"/>
      <c r="V84" s="2"/>
      <c r="W84" s="2"/>
      <c r="X84" s="2"/>
      <c r="Y84" s="2"/>
      <c r="Z84" s="2"/>
    </row>
    <row r="85" spans="1:26" ht="38.25" hidden="1">
      <c r="A85" s="221"/>
      <c r="B85" s="221"/>
      <c r="C85" s="225" t="s">
        <v>132</v>
      </c>
      <c r="D85" s="225" t="s">
        <v>133</v>
      </c>
      <c r="E85" s="29" t="s">
        <v>134</v>
      </c>
      <c r="F85" s="31"/>
      <c r="G85" s="31"/>
      <c r="H85" s="31"/>
      <c r="I85" s="31"/>
      <c r="J85" s="22"/>
      <c r="K85" s="31"/>
      <c r="L85" s="31"/>
      <c r="M85" s="22"/>
      <c r="N85" s="22"/>
      <c r="O85" s="22"/>
      <c r="P85" s="22"/>
      <c r="Q85" s="22"/>
      <c r="R85" s="22"/>
      <c r="S85" s="22"/>
      <c r="T85" s="22"/>
      <c r="U85" s="2"/>
      <c r="V85" s="2"/>
      <c r="W85" s="2"/>
      <c r="X85" s="2"/>
      <c r="Y85" s="2"/>
      <c r="Z85" s="2"/>
    </row>
    <row r="86" spans="1:26" ht="25.5" hidden="1">
      <c r="A86" s="221"/>
      <c r="B86" s="221"/>
      <c r="C86" s="221"/>
      <c r="D86" s="221"/>
      <c r="E86" s="29" t="s">
        <v>135</v>
      </c>
      <c r="F86" s="31"/>
      <c r="G86" s="31"/>
      <c r="H86" s="31"/>
      <c r="I86" s="31"/>
      <c r="J86" s="22"/>
      <c r="K86" s="31"/>
      <c r="L86" s="31"/>
      <c r="M86" s="22"/>
      <c r="N86" s="22"/>
      <c r="O86" s="22"/>
      <c r="P86" s="22"/>
      <c r="Q86" s="22"/>
      <c r="R86" s="22"/>
      <c r="S86" s="22"/>
      <c r="T86" s="22"/>
      <c r="U86" s="2"/>
      <c r="V86" s="2"/>
      <c r="W86" s="2"/>
      <c r="X86" s="2"/>
      <c r="Y86" s="2"/>
      <c r="Z86" s="2"/>
    </row>
    <row r="87" spans="1:26" ht="25.5" hidden="1">
      <c r="A87" s="221"/>
      <c r="B87" s="221"/>
      <c r="C87" s="222"/>
      <c r="D87" s="222"/>
      <c r="E87" s="29" t="s">
        <v>136</v>
      </c>
      <c r="F87" s="31"/>
      <c r="G87" s="31"/>
      <c r="H87" s="31"/>
      <c r="I87" s="31"/>
      <c r="J87" s="22"/>
      <c r="K87" s="31"/>
      <c r="L87" s="31"/>
      <c r="M87" s="22"/>
      <c r="N87" s="22"/>
      <c r="O87" s="22"/>
      <c r="P87" s="22"/>
      <c r="Q87" s="22"/>
      <c r="R87" s="22"/>
      <c r="S87" s="22"/>
      <c r="T87" s="22"/>
      <c r="U87" s="2"/>
      <c r="V87" s="2"/>
      <c r="W87" s="2"/>
      <c r="X87" s="2"/>
      <c r="Y87" s="2"/>
      <c r="Z87" s="2"/>
    </row>
    <row r="88" spans="1:26" ht="38.25" hidden="1">
      <c r="A88" s="221"/>
      <c r="B88" s="221"/>
      <c r="C88" s="225" t="s">
        <v>137</v>
      </c>
      <c r="D88" s="225" t="s">
        <v>138</v>
      </c>
      <c r="E88" s="29" t="s">
        <v>139</v>
      </c>
      <c r="F88" s="31"/>
      <c r="G88" s="31"/>
      <c r="H88" s="31"/>
      <c r="I88" s="31"/>
      <c r="J88" s="22"/>
      <c r="K88" s="31"/>
      <c r="L88" s="31"/>
      <c r="M88" s="22"/>
      <c r="N88" s="22"/>
      <c r="O88" s="22"/>
      <c r="P88" s="22"/>
      <c r="Q88" s="22"/>
      <c r="R88" s="22"/>
      <c r="S88" s="22"/>
      <c r="T88" s="22"/>
      <c r="U88" s="2"/>
      <c r="V88" s="2"/>
      <c r="W88" s="2"/>
      <c r="X88" s="2"/>
      <c r="Y88" s="2"/>
      <c r="Z88" s="2"/>
    </row>
    <row r="89" spans="1:26" ht="12.75" hidden="1">
      <c r="A89" s="221"/>
      <c r="B89" s="221"/>
      <c r="C89" s="221"/>
      <c r="D89" s="221"/>
      <c r="E89" s="29" t="s">
        <v>140</v>
      </c>
      <c r="F89" s="31"/>
      <c r="G89" s="31"/>
      <c r="H89" s="31"/>
      <c r="I89" s="31"/>
      <c r="J89" s="22"/>
      <c r="K89" s="31"/>
      <c r="L89" s="31"/>
      <c r="M89" s="22"/>
      <c r="N89" s="22"/>
      <c r="O89" s="22"/>
      <c r="P89" s="22"/>
      <c r="Q89" s="22"/>
      <c r="R89" s="22"/>
      <c r="S89" s="22"/>
      <c r="T89" s="22"/>
      <c r="U89" s="2"/>
      <c r="V89" s="2"/>
      <c r="W89" s="2"/>
      <c r="X89" s="2"/>
      <c r="Y89" s="2"/>
      <c r="Z89" s="2"/>
    </row>
    <row r="90" spans="1:26" ht="25.5" hidden="1">
      <c r="A90" s="222"/>
      <c r="B90" s="222"/>
      <c r="C90" s="222"/>
      <c r="D90" s="222"/>
      <c r="E90" s="29" t="s">
        <v>141</v>
      </c>
      <c r="F90" s="31"/>
      <c r="G90" s="31"/>
      <c r="H90" s="31"/>
      <c r="I90" s="31"/>
      <c r="J90" s="22"/>
      <c r="K90" s="31"/>
      <c r="L90" s="31"/>
      <c r="M90" s="22"/>
      <c r="N90" s="22"/>
      <c r="O90" s="22"/>
      <c r="P90" s="22"/>
      <c r="Q90" s="22"/>
      <c r="R90" s="22"/>
      <c r="S90" s="22"/>
      <c r="T90" s="22"/>
      <c r="U90" s="2"/>
      <c r="V90" s="2"/>
      <c r="W90" s="2"/>
      <c r="X90" s="2"/>
      <c r="Y90" s="2"/>
      <c r="Z90" s="2"/>
    </row>
    <row r="91" spans="1:26" ht="12.75">
      <c r="A91" s="22"/>
      <c r="B91" s="22"/>
      <c r="C91" s="22"/>
      <c r="D91" s="22"/>
      <c r="E91" s="22"/>
      <c r="F91" s="22"/>
      <c r="G91" s="22"/>
      <c r="H91" s="22"/>
      <c r="I91" s="22"/>
      <c r="J91" s="22"/>
      <c r="K91" s="22"/>
      <c r="L91" s="22"/>
      <c r="M91" s="22"/>
      <c r="N91" s="22"/>
      <c r="O91" s="22"/>
      <c r="P91" s="22"/>
      <c r="Q91" s="22"/>
      <c r="R91" s="22"/>
      <c r="S91" s="22"/>
      <c r="T91" s="22"/>
      <c r="U91" s="2"/>
      <c r="V91" s="2"/>
      <c r="W91" s="2"/>
      <c r="X91" s="2"/>
      <c r="Y91" s="2"/>
      <c r="Z91" s="2"/>
    </row>
    <row r="92" spans="1:26" ht="12.75">
      <c r="A92" s="22"/>
      <c r="B92" s="22"/>
      <c r="C92" s="22"/>
      <c r="D92" s="22"/>
      <c r="E92" s="22"/>
      <c r="F92" s="22"/>
      <c r="G92" s="22"/>
      <c r="H92" s="22"/>
      <c r="I92" s="22"/>
      <c r="J92" s="22"/>
      <c r="K92" s="22"/>
      <c r="L92" s="22"/>
      <c r="M92" s="22"/>
      <c r="N92" s="22"/>
      <c r="O92" s="22"/>
      <c r="P92" s="22"/>
      <c r="Q92" s="22"/>
      <c r="R92" s="22"/>
      <c r="S92" s="22"/>
      <c r="T92" s="22"/>
      <c r="U92" s="2"/>
      <c r="V92" s="2"/>
      <c r="W92" s="2"/>
      <c r="X92" s="2"/>
      <c r="Y92" s="2"/>
      <c r="Z92" s="2"/>
    </row>
    <row r="93" spans="1:26" ht="12.75">
      <c r="A93" s="22"/>
      <c r="B93" s="22"/>
      <c r="C93" s="22"/>
      <c r="D93" s="22"/>
      <c r="E93" s="22"/>
      <c r="F93" s="22"/>
      <c r="G93" s="22"/>
      <c r="H93" s="22"/>
      <c r="I93" s="22"/>
      <c r="J93" s="22"/>
      <c r="K93" s="22"/>
      <c r="L93" s="22"/>
      <c r="M93" s="22"/>
      <c r="N93" s="22"/>
      <c r="O93" s="22"/>
      <c r="P93" s="22"/>
      <c r="Q93" s="22"/>
      <c r="R93" s="22"/>
      <c r="S93" s="22"/>
      <c r="T93" s="22"/>
      <c r="U93" s="2"/>
      <c r="V93" s="2"/>
      <c r="W93" s="2"/>
      <c r="X93" s="2"/>
      <c r="Y93" s="2"/>
      <c r="Z93" s="2"/>
    </row>
    <row r="94" spans="1:26" ht="12.75">
      <c r="A94" s="22"/>
      <c r="B94" s="22"/>
      <c r="C94" s="22"/>
      <c r="D94" s="22"/>
      <c r="E94" s="22"/>
      <c r="F94" s="22"/>
      <c r="G94" s="22"/>
      <c r="H94" s="22"/>
      <c r="I94" s="22"/>
      <c r="J94" s="22"/>
      <c r="K94" s="22"/>
      <c r="L94" s="22"/>
      <c r="M94" s="22"/>
      <c r="N94" s="22"/>
      <c r="O94" s="22"/>
      <c r="P94" s="22"/>
      <c r="Q94" s="22"/>
      <c r="R94" s="22"/>
      <c r="S94" s="22"/>
      <c r="T94" s="22"/>
      <c r="U94" s="2"/>
      <c r="V94" s="2"/>
      <c r="W94" s="2"/>
      <c r="X94" s="2"/>
      <c r="Y94" s="2"/>
      <c r="Z94" s="2"/>
    </row>
    <row r="95" spans="1:26" ht="12.75">
      <c r="A95" s="22"/>
      <c r="B95" s="22"/>
      <c r="C95" s="22"/>
      <c r="D95" s="22"/>
      <c r="E95" s="22"/>
      <c r="F95" s="22"/>
      <c r="G95" s="22"/>
      <c r="H95" s="22"/>
      <c r="I95" s="22"/>
      <c r="J95" s="22"/>
      <c r="K95" s="22"/>
      <c r="L95" s="22"/>
      <c r="M95" s="22"/>
      <c r="N95" s="22"/>
      <c r="O95" s="22"/>
      <c r="P95" s="22"/>
      <c r="Q95" s="22"/>
      <c r="R95" s="22"/>
      <c r="S95" s="22"/>
      <c r="T95" s="22"/>
      <c r="U95" s="2"/>
      <c r="V95" s="2"/>
      <c r="W95" s="2"/>
      <c r="X95" s="2"/>
      <c r="Y95" s="2"/>
      <c r="Z95" s="2"/>
    </row>
    <row r="96" spans="1:26" ht="12.75">
      <c r="A96" s="22"/>
      <c r="B96" s="22"/>
      <c r="C96" s="22"/>
      <c r="D96" s="22"/>
      <c r="E96" s="22"/>
      <c r="F96" s="22"/>
      <c r="G96" s="22"/>
      <c r="H96" s="22"/>
      <c r="I96" s="22"/>
      <c r="J96" s="22"/>
      <c r="K96" s="22"/>
      <c r="L96" s="22"/>
      <c r="M96" s="22"/>
      <c r="N96" s="22"/>
      <c r="O96" s="22"/>
      <c r="P96" s="22"/>
      <c r="Q96" s="22"/>
      <c r="R96" s="22"/>
      <c r="S96" s="22"/>
      <c r="T96" s="22"/>
      <c r="U96" s="2"/>
      <c r="V96" s="2"/>
      <c r="W96" s="2"/>
      <c r="X96" s="2"/>
      <c r="Y96" s="2"/>
      <c r="Z96" s="2"/>
    </row>
    <row r="97" spans="1:26" ht="12.75">
      <c r="A97" s="22"/>
      <c r="B97" s="22"/>
      <c r="C97" s="22"/>
      <c r="D97" s="22"/>
      <c r="E97" s="22"/>
      <c r="F97" s="22"/>
      <c r="G97" s="22"/>
      <c r="H97" s="22"/>
      <c r="I97" s="22"/>
      <c r="J97" s="22"/>
      <c r="K97" s="22"/>
      <c r="L97" s="22"/>
      <c r="M97" s="22"/>
      <c r="N97" s="22"/>
      <c r="O97" s="22"/>
      <c r="P97" s="22"/>
      <c r="Q97" s="22"/>
      <c r="R97" s="22"/>
      <c r="S97" s="22"/>
      <c r="T97" s="22"/>
      <c r="U97" s="2"/>
      <c r="V97" s="2"/>
      <c r="W97" s="2"/>
      <c r="X97" s="2"/>
      <c r="Y97" s="2"/>
      <c r="Z97" s="2"/>
    </row>
    <row r="98" spans="1:26" ht="12.75">
      <c r="A98" s="22"/>
      <c r="B98" s="22"/>
      <c r="C98" s="22"/>
      <c r="D98" s="22"/>
      <c r="E98" s="22"/>
      <c r="F98" s="22"/>
      <c r="G98" s="22"/>
      <c r="H98" s="22"/>
      <c r="I98" s="22"/>
      <c r="J98" s="22"/>
      <c r="K98" s="22"/>
      <c r="L98" s="22"/>
      <c r="M98" s="22"/>
      <c r="N98" s="22"/>
      <c r="O98" s="22"/>
      <c r="P98" s="22"/>
      <c r="Q98" s="22"/>
      <c r="R98" s="22"/>
      <c r="S98" s="22"/>
      <c r="T98" s="22"/>
      <c r="U98" s="2"/>
      <c r="V98" s="2"/>
      <c r="W98" s="2"/>
      <c r="X98" s="2"/>
      <c r="Y98" s="2"/>
      <c r="Z98" s="2"/>
    </row>
    <row r="99" spans="1:26" ht="12.75">
      <c r="A99" s="22"/>
      <c r="B99" s="22"/>
      <c r="C99" s="22"/>
      <c r="D99" s="22"/>
      <c r="E99" s="22"/>
      <c r="F99" s="22"/>
      <c r="G99" s="22"/>
      <c r="H99" s="22"/>
      <c r="I99" s="22"/>
      <c r="J99" s="22"/>
      <c r="K99" s="22"/>
      <c r="L99" s="22"/>
      <c r="M99" s="22"/>
      <c r="N99" s="22"/>
      <c r="O99" s="22"/>
      <c r="P99" s="22"/>
      <c r="Q99" s="22"/>
      <c r="R99" s="22"/>
      <c r="S99" s="22"/>
      <c r="T99" s="22"/>
      <c r="U99" s="2"/>
      <c r="V99" s="2"/>
      <c r="W99" s="2"/>
      <c r="X99" s="2"/>
      <c r="Y99" s="2"/>
      <c r="Z99" s="2"/>
    </row>
    <row r="100" spans="1:26" ht="12.75">
      <c r="A100" s="22"/>
      <c r="B100" s="22"/>
      <c r="C100" s="22"/>
      <c r="D100" s="22"/>
      <c r="E100" s="22"/>
      <c r="F100" s="22"/>
      <c r="G100" s="22"/>
      <c r="H100" s="22"/>
      <c r="I100" s="22"/>
      <c r="J100" s="22"/>
      <c r="K100" s="22"/>
      <c r="L100" s="22"/>
      <c r="M100" s="22"/>
      <c r="N100" s="22"/>
      <c r="O100" s="22"/>
      <c r="P100" s="22"/>
      <c r="Q100" s="22"/>
      <c r="R100" s="22"/>
      <c r="S100" s="22"/>
      <c r="T100" s="22"/>
      <c r="U100" s="2"/>
      <c r="V100" s="2"/>
      <c r="W100" s="2"/>
      <c r="X100" s="2"/>
      <c r="Y100" s="2"/>
      <c r="Z100" s="2"/>
    </row>
    <row r="101" spans="1:26" ht="12.75">
      <c r="A101" s="22"/>
      <c r="B101" s="22"/>
      <c r="C101" s="22"/>
      <c r="D101" s="22"/>
      <c r="E101" s="22"/>
      <c r="F101" s="22"/>
      <c r="G101" s="22"/>
      <c r="H101" s="22"/>
      <c r="I101" s="22"/>
      <c r="J101" s="22"/>
      <c r="K101" s="22"/>
      <c r="L101" s="22"/>
      <c r="M101" s="22"/>
      <c r="N101" s="22"/>
      <c r="O101" s="22"/>
      <c r="P101" s="22"/>
      <c r="Q101" s="22"/>
      <c r="R101" s="22"/>
      <c r="S101" s="22"/>
      <c r="T101" s="22"/>
      <c r="U101" s="2"/>
      <c r="V101" s="2"/>
      <c r="W101" s="2"/>
      <c r="X101" s="2"/>
      <c r="Y101" s="2"/>
      <c r="Z101" s="2"/>
    </row>
    <row r="102" spans="1:26" ht="12.75">
      <c r="A102" s="22"/>
      <c r="B102" s="22"/>
      <c r="C102" s="22"/>
      <c r="D102" s="22"/>
      <c r="E102" s="22"/>
      <c r="F102" s="22"/>
      <c r="G102" s="22"/>
      <c r="H102" s="22"/>
      <c r="I102" s="22"/>
      <c r="J102" s="22"/>
      <c r="K102" s="22"/>
      <c r="L102" s="22"/>
      <c r="M102" s="22"/>
      <c r="N102" s="22"/>
      <c r="O102" s="22"/>
      <c r="P102" s="22"/>
      <c r="Q102" s="22"/>
      <c r="R102" s="22"/>
      <c r="S102" s="22"/>
      <c r="T102" s="22"/>
      <c r="U102" s="2"/>
      <c r="V102" s="2"/>
      <c r="W102" s="2"/>
      <c r="X102" s="2"/>
      <c r="Y102" s="2"/>
      <c r="Z102" s="2"/>
    </row>
    <row r="103" spans="1:26" ht="12.75">
      <c r="A103" s="22"/>
      <c r="B103" s="22"/>
      <c r="C103" s="22"/>
      <c r="D103" s="22"/>
      <c r="E103" s="22"/>
      <c r="F103" s="22"/>
      <c r="G103" s="22"/>
      <c r="H103" s="22"/>
      <c r="I103" s="22"/>
      <c r="J103" s="22"/>
      <c r="K103" s="22"/>
      <c r="L103" s="22"/>
      <c r="M103" s="22"/>
      <c r="N103" s="22"/>
      <c r="O103" s="22"/>
      <c r="P103" s="22"/>
      <c r="Q103" s="22"/>
      <c r="R103" s="22"/>
      <c r="S103" s="22"/>
      <c r="T103" s="22"/>
      <c r="U103" s="2"/>
      <c r="V103" s="2"/>
      <c r="W103" s="2"/>
      <c r="X103" s="2"/>
      <c r="Y103" s="2"/>
      <c r="Z103" s="2"/>
    </row>
    <row r="104" spans="1:26" ht="12.75">
      <c r="A104" s="22"/>
      <c r="B104" s="22"/>
      <c r="C104" s="22"/>
      <c r="D104" s="22"/>
      <c r="E104" s="22"/>
      <c r="F104" s="22"/>
      <c r="G104" s="22"/>
      <c r="H104" s="22"/>
      <c r="I104" s="22"/>
      <c r="J104" s="22"/>
      <c r="K104" s="22"/>
      <c r="L104" s="22"/>
      <c r="M104" s="22"/>
      <c r="N104" s="22"/>
      <c r="O104" s="22"/>
      <c r="P104" s="22"/>
      <c r="Q104" s="22"/>
      <c r="R104" s="22"/>
      <c r="S104" s="22"/>
      <c r="T104" s="22"/>
      <c r="U104" s="2"/>
      <c r="V104" s="2"/>
      <c r="W104" s="2"/>
      <c r="X104" s="2"/>
      <c r="Y104" s="2"/>
      <c r="Z104" s="2"/>
    </row>
    <row r="105" spans="1:26" ht="12.75">
      <c r="A105" s="22"/>
      <c r="B105" s="22"/>
      <c r="C105" s="22"/>
      <c r="D105" s="22"/>
      <c r="E105" s="22"/>
      <c r="F105" s="22"/>
      <c r="G105" s="22"/>
      <c r="H105" s="22"/>
      <c r="I105" s="22"/>
      <c r="J105" s="22"/>
      <c r="K105" s="22"/>
      <c r="L105" s="22"/>
      <c r="M105" s="22"/>
      <c r="N105" s="22"/>
      <c r="O105" s="22"/>
      <c r="P105" s="22"/>
      <c r="Q105" s="22"/>
      <c r="R105" s="22"/>
      <c r="S105" s="22"/>
      <c r="T105" s="22"/>
      <c r="U105" s="2"/>
      <c r="V105" s="2"/>
      <c r="W105" s="2"/>
      <c r="X105" s="2"/>
      <c r="Y105" s="2"/>
      <c r="Z105" s="2"/>
    </row>
    <row r="106" spans="1:26" ht="12.75">
      <c r="A106" s="22"/>
      <c r="B106" s="22"/>
      <c r="C106" s="22"/>
      <c r="D106" s="22"/>
      <c r="E106" s="22"/>
      <c r="F106" s="22"/>
      <c r="G106" s="22"/>
      <c r="H106" s="22"/>
      <c r="I106" s="22"/>
      <c r="J106" s="22"/>
      <c r="K106" s="22"/>
      <c r="L106" s="22"/>
      <c r="M106" s="22"/>
      <c r="N106" s="22"/>
      <c r="O106" s="22"/>
      <c r="P106" s="22"/>
      <c r="Q106" s="22"/>
      <c r="R106" s="22"/>
      <c r="S106" s="22"/>
      <c r="T106" s="22"/>
      <c r="U106" s="2"/>
      <c r="V106" s="2"/>
      <c r="W106" s="2"/>
      <c r="X106" s="2"/>
      <c r="Y106" s="2"/>
      <c r="Z106" s="2"/>
    </row>
    <row r="107" spans="1:26" ht="12.75">
      <c r="A107" s="22"/>
      <c r="B107" s="22"/>
      <c r="C107" s="22"/>
      <c r="D107" s="22"/>
      <c r="E107" s="22"/>
      <c r="F107" s="22"/>
      <c r="G107" s="22"/>
      <c r="H107" s="22"/>
      <c r="I107" s="22"/>
      <c r="J107" s="22"/>
      <c r="K107" s="22"/>
      <c r="L107" s="22"/>
      <c r="M107" s="22"/>
      <c r="N107" s="22"/>
      <c r="O107" s="22"/>
      <c r="P107" s="22"/>
      <c r="Q107" s="22"/>
      <c r="R107" s="22"/>
      <c r="S107" s="22"/>
      <c r="T107" s="22"/>
      <c r="U107" s="2"/>
      <c r="V107" s="2"/>
      <c r="W107" s="2"/>
      <c r="X107" s="2"/>
      <c r="Y107" s="2"/>
      <c r="Z107" s="2"/>
    </row>
    <row r="108" spans="1:26" ht="12.75">
      <c r="A108" s="22"/>
      <c r="B108" s="22"/>
      <c r="C108" s="22"/>
      <c r="D108" s="22"/>
      <c r="E108" s="22"/>
      <c r="F108" s="22"/>
      <c r="G108" s="22"/>
      <c r="H108" s="22"/>
      <c r="I108" s="22"/>
      <c r="J108" s="22"/>
      <c r="K108" s="22"/>
      <c r="L108" s="22"/>
      <c r="M108" s="22"/>
      <c r="N108" s="22"/>
      <c r="O108" s="22"/>
      <c r="P108" s="22"/>
      <c r="Q108" s="22"/>
      <c r="R108" s="22"/>
      <c r="S108" s="22"/>
      <c r="T108" s="22"/>
      <c r="U108" s="2"/>
      <c r="V108" s="2"/>
      <c r="W108" s="2"/>
      <c r="X108" s="2"/>
      <c r="Y108" s="2"/>
      <c r="Z108" s="2"/>
    </row>
    <row r="109" spans="1:26" ht="12.75">
      <c r="A109" s="22"/>
      <c r="B109" s="22"/>
      <c r="C109" s="22"/>
      <c r="D109" s="22"/>
      <c r="E109" s="22"/>
      <c r="F109" s="22"/>
      <c r="G109" s="22"/>
      <c r="H109" s="22"/>
      <c r="I109" s="22"/>
      <c r="J109" s="22"/>
      <c r="K109" s="22"/>
      <c r="L109" s="22"/>
      <c r="M109" s="22"/>
      <c r="N109" s="22"/>
      <c r="O109" s="22"/>
      <c r="P109" s="22"/>
      <c r="Q109" s="22"/>
      <c r="R109" s="22"/>
      <c r="S109" s="22"/>
      <c r="T109" s="22"/>
      <c r="U109" s="2"/>
      <c r="V109" s="2"/>
      <c r="W109" s="2"/>
      <c r="X109" s="2"/>
      <c r="Y109" s="2"/>
      <c r="Z109" s="2"/>
    </row>
    <row r="110" spans="1:26" ht="12.75">
      <c r="A110" s="22"/>
      <c r="B110" s="22"/>
      <c r="C110" s="22"/>
      <c r="D110" s="22"/>
      <c r="E110" s="22"/>
      <c r="F110" s="22"/>
      <c r="G110" s="22"/>
      <c r="H110" s="22"/>
      <c r="I110" s="22"/>
      <c r="J110" s="22"/>
      <c r="K110" s="22"/>
      <c r="L110" s="22"/>
      <c r="M110" s="22"/>
      <c r="N110" s="22"/>
      <c r="O110" s="22"/>
      <c r="P110" s="22"/>
      <c r="Q110" s="22"/>
      <c r="R110" s="22"/>
      <c r="S110" s="22"/>
      <c r="T110" s="22"/>
      <c r="U110" s="2"/>
      <c r="V110" s="2"/>
      <c r="W110" s="2"/>
      <c r="X110" s="2"/>
      <c r="Y110" s="2"/>
      <c r="Z110" s="2"/>
    </row>
    <row r="111" spans="1:26" ht="12.75">
      <c r="A111" s="22"/>
      <c r="B111" s="22"/>
      <c r="C111" s="22"/>
      <c r="D111" s="22"/>
      <c r="E111" s="22"/>
      <c r="F111" s="22"/>
      <c r="G111" s="22"/>
      <c r="H111" s="22"/>
      <c r="I111" s="22"/>
      <c r="J111" s="22"/>
      <c r="K111" s="22"/>
      <c r="L111" s="22"/>
      <c r="M111" s="22"/>
      <c r="N111" s="22"/>
      <c r="O111" s="22"/>
      <c r="P111" s="22"/>
      <c r="Q111" s="22"/>
      <c r="R111" s="22"/>
      <c r="S111" s="22"/>
      <c r="T111" s="22"/>
      <c r="U111" s="2"/>
      <c r="V111" s="2"/>
      <c r="W111" s="2"/>
      <c r="X111" s="2"/>
      <c r="Y111" s="2"/>
      <c r="Z111" s="2"/>
    </row>
    <row r="112" spans="1:26" ht="12.75">
      <c r="A112" s="22"/>
      <c r="B112" s="22"/>
      <c r="C112" s="22"/>
      <c r="D112" s="22"/>
      <c r="E112" s="22"/>
      <c r="F112" s="22"/>
      <c r="G112" s="22"/>
      <c r="H112" s="22"/>
      <c r="I112" s="22"/>
      <c r="J112" s="22"/>
      <c r="K112" s="22"/>
      <c r="L112" s="22"/>
      <c r="M112" s="22"/>
      <c r="N112" s="22"/>
      <c r="O112" s="22"/>
      <c r="P112" s="22"/>
      <c r="Q112" s="22"/>
      <c r="R112" s="22"/>
      <c r="S112" s="22"/>
      <c r="T112" s="22"/>
      <c r="U112" s="2"/>
      <c r="V112" s="2"/>
      <c r="W112" s="2"/>
      <c r="X112" s="2"/>
      <c r="Y112" s="2"/>
      <c r="Z112" s="2"/>
    </row>
    <row r="113" spans="1:26" ht="12.75">
      <c r="A113" s="22"/>
      <c r="B113" s="22"/>
      <c r="C113" s="22"/>
      <c r="D113" s="22"/>
      <c r="E113" s="22"/>
      <c r="F113" s="22"/>
      <c r="G113" s="22"/>
      <c r="H113" s="22"/>
      <c r="I113" s="22"/>
      <c r="J113" s="22"/>
      <c r="K113" s="22"/>
      <c r="L113" s="22"/>
      <c r="M113" s="22"/>
      <c r="N113" s="22"/>
      <c r="O113" s="22"/>
      <c r="P113" s="22"/>
      <c r="Q113" s="22"/>
      <c r="R113" s="22"/>
      <c r="S113" s="22"/>
      <c r="T113" s="22"/>
      <c r="U113" s="2"/>
      <c r="V113" s="2"/>
      <c r="W113" s="2"/>
      <c r="X113" s="2"/>
      <c r="Y113" s="2"/>
      <c r="Z113" s="2"/>
    </row>
    <row r="114" spans="1:26" ht="12.75">
      <c r="A114" s="22"/>
      <c r="B114" s="22"/>
      <c r="C114" s="22"/>
      <c r="D114" s="22"/>
      <c r="E114" s="22"/>
      <c r="F114" s="22"/>
      <c r="G114" s="22"/>
      <c r="H114" s="22"/>
      <c r="I114" s="22"/>
      <c r="J114" s="22"/>
      <c r="K114" s="22"/>
      <c r="L114" s="22"/>
      <c r="M114" s="22"/>
      <c r="N114" s="22"/>
      <c r="O114" s="22"/>
      <c r="P114" s="22"/>
      <c r="Q114" s="22"/>
      <c r="R114" s="22"/>
      <c r="S114" s="22"/>
      <c r="T114" s="22"/>
      <c r="U114" s="2"/>
      <c r="V114" s="2"/>
      <c r="W114" s="2"/>
      <c r="X114" s="2"/>
      <c r="Y114" s="2"/>
      <c r="Z114" s="2"/>
    </row>
    <row r="115" spans="1:26" ht="12.75">
      <c r="A115" s="22"/>
      <c r="B115" s="22"/>
      <c r="C115" s="22"/>
      <c r="D115" s="22"/>
      <c r="E115" s="22"/>
      <c r="F115" s="22"/>
      <c r="G115" s="22"/>
      <c r="H115" s="22"/>
      <c r="I115" s="22"/>
      <c r="J115" s="22"/>
      <c r="K115" s="22"/>
      <c r="L115" s="22"/>
      <c r="M115" s="22"/>
      <c r="N115" s="22"/>
      <c r="O115" s="22"/>
      <c r="P115" s="22"/>
      <c r="Q115" s="22"/>
      <c r="R115" s="22"/>
      <c r="S115" s="22"/>
      <c r="T115" s="22"/>
      <c r="U115" s="2"/>
      <c r="V115" s="2"/>
      <c r="W115" s="2"/>
      <c r="X115" s="2"/>
      <c r="Y115" s="2"/>
      <c r="Z115" s="2"/>
    </row>
    <row r="116" spans="1:26" ht="12.75">
      <c r="A116" s="22"/>
      <c r="B116" s="22"/>
      <c r="C116" s="22"/>
      <c r="D116" s="22"/>
      <c r="E116" s="22"/>
      <c r="F116" s="22"/>
      <c r="G116" s="22"/>
      <c r="H116" s="22"/>
      <c r="I116" s="22"/>
      <c r="J116" s="22"/>
      <c r="K116" s="22"/>
      <c r="L116" s="22"/>
      <c r="M116" s="22"/>
      <c r="N116" s="22"/>
      <c r="O116" s="22"/>
      <c r="P116" s="22"/>
      <c r="Q116" s="22"/>
      <c r="R116" s="22"/>
      <c r="S116" s="22"/>
      <c r="T116" s="22"/>
      <c r="U116" s="2"/>
      <c r="V116" s="2"/>
      <c r="W116" s="2"/>
      <c r="X116" s="2"/>
      <c r="Y116" s="2"/>
      <c r="Z116" s="2"/>
    </row>
    <row r="117" spans="1:26" ht="12.75">
      <c r="A117" s="22"/>
      <c r="B117" s="22"/>
      <c r="C117" s="22"/>
      <c r="D117" s="22"/>
      <c r="E117" s="22"/>
      <c r="F117" s="22"/>
      <c r="G117" s="22"/>
      <c r="H117" s="22"/>
      <c r="I117" s="22"/>
      <c r="J117" s="22"/>
      <c r="K117" s="22"/>
      <c r="L117" s="22"/>
      <c r="M117" s="22"/>
      <c r="N117" s="22"/>
      <c r="O117" s="22"/>
      <c r="P117" s="22"/>
      <c r="Q117" s="22"/>
      <c r="R117" s="22"/>
      <c r="S117" s="22"/>
      <c r="T117" s="22"/>
      <c r="U117" s="2"/>
      <c r="V117" s="2"/>
      <c r="W117" s="2"/>
      <c r="X117" s="2"/>
      <c r="Y117" s="2"/>
      <c r="Z117" s="2"/>
    </row>
    <row r="118" spans="1:26" ht="12.75">
      <c r="A118" s="22"/>
      <c r="B118" s="22"/>
      <c r="C118" s="22"/>
      <c r="D118" s="22"/>
      <c r="E118" s="22"/>
      <c r="F118" s="22"/>
      <c r="G118" s="22"/>
      <c r="H118" s="22"/>
      <c r="I118" s="22"/>
      <c r="J118" s="22"/>
      <c r="K118" s="22"/>
      <c r="L118" s="22"/>
      <c r="M118" s="22"/>
      <c r="N118" s="22"/>
      <c r="O118" s="22"/>
      <c r="P118" s="22"/>
      <c r="Q118" s="22"/>
      <c r="R118" s="22"/>
      <c r="S118" s="22"/>
      <c r="T118" s="22"/>
      <c r="U118" s="2"/>
      <c r="V118" s="2"/>
      <c r="W118" s="2"/>
      <c r="X118" s="2"/>
      <c r="Y118" s="2"/>
      <c r="Z118" s="2"/>
    </row>
    <row r="119" spans="1:26" ht="12.75">
      <c r="A119" s="22"/>
      <c r="B119" s="22"/>
      <c r="C119" s="22"/>
      <c r="D119" s="22"/>
      <c r="E119" s="22"/>
      <c r="F119" s="22"/>
      <c r="G119" s="22"/>
      <c r="H119" s="22"/>
      <c r="I119" s="22"/>
      <c r="J119" s="22"/>
      <c r="K119" s="22"/>
      <c r="L119" s="22"/>
      <c r="M119" s="22"/>
      <c r="N119" s="22"/>
      <c r="O119" s="22"/>
      <c r="P119" s="22"/>
      <c r="Q119" s="22"/>
      <c r="R119" s="22"/>
      <c r="S119" s="22"/>
      <c r="T119" s="22"/>
      <c r="U119" s="2"/>
      <c r="V119" s="2"/>
      <c r="W119" s="2"/>
      <c r="X119" s="2"/>
      <c r="Y119" s="2"/>
      <c r="Z119" s="2"/>
    </row>
    <row r="120" spans="1:26" ht="12.75">
      <c r="A120" s="22"/>
      <c r="B120" s="22"/>
      <c r="C120" s="22"/>
      <c r="D120" s="22"/>
      <c r="E120" s="22"/>
      <c r="F120" s="22"/>
      <c r="G120" s="22"/>
      <c r="H120" s="22"/>
      <c r="I120" s="22"/>
      <c r="J120" s="22"/>
      <c r="K120" s="22"/>
      <c r="L120" s="22"/>
      <c r="M120" s="22"/>
      <c r="N120" s="22"/>
      <c r="O120" s="22"/>
      <c r="P120" s="22"/>
      <c r="Q120" s="22"/>
      <c r="R120" s="22"/>
      <c r="S120" s="22"/>
      <c r="T120" s="22"/>
      <c r="U120" s="2"/>
      <c r="V120" s="2"/>
      <c r="W120" s="2"/>
      <c r="X120" s="2"/>
      <c r="Y120" s="2"/>
      <c r="Z120" s="2"/>
    </row>
    <row r="121" spans="1:26" ht="12.75">
      <c r="A121" s="22"/>
      <c r="B121" s="22"/>
      <c r="C121" s="22"/>
      <c r="D121" s="22"/>
      <c r="E121" s="22"/>
      <c r="F121" s="22"/>
      <c r="G121" s="22"/>
      <c r="H121" s="22"/>
      <c r="I121" s="22"/>
      <c r="J121" s="22"/>
      <c r="K121" s="22"/>
      <c r="L121" s="22"/>
      <c r="M121" s="22"/>
      <c r="N121" s="22"/>
      <c r="O121" s="22"/>
      <c r="P121" s="22"/>
      <c r="Q121" s="22"/>
      <c r="R121" s="22"/>
      <c r="S121" s="22"/>
      <c r="T121" s="22"/>
      <c r="U121" s="2"/>
      <c r="V121" s="2"/>
      <c r="W121" s="2"/>
      <c r="X121" s="2"/>
      <c r="Y121" s="2"/>
      <c r="Z121" s="2"/>
    </row>
    <row r="122" spans="1:26" ht="12.75">
      <c r="A122" s="22"/>
      <c r="B122" s="22"/>
      <c r="C122" s="22"/>
      <c r="D122" s="22"/>
      <c r="E122" s="22"/>
      <c r="F122" s="22"/>
      <c r="G122" s="22"/>
      <c r="H122" s="22"/>
      <c r="I122" s="22"/>
      <c r="J122" s="22"/>
      <c r="K122" s="22"/>
      <c r="L122" s="22"/>
      <c r="M122" s="22"/>
      <c r="N122" s="22"/>
      <c r="O122" s="22"/>
      <c r="P122" s="22"/>
      <c r="Q122" s="22"/>
      <c r="R122" s="22"/>
      <c r="S122" s="22"/>
      <c r="T122" s="22"/>
      <c r="U122" s="2"/>
      <c r="V122" s="2"/>
      <c r="W122" s="2"/>
      <c r="X122" s="2"/>
      <c r="Y122" s="2"/>
      <c r="Z122" s="2"/>
    </row>
    <row r="123" spans="1:26" ht="12.75">
      <c r="A123" s="22"/>
      <c r="B123" s="22"/>
      <c r="C123" s="22"/>
      <c r="D123" s="22"/>
      <c r="E123" s="22"/>
      <c r="F123" s="22"/>
      <c r="G123" s="22"/>
      <c r="H123" s="22"/>
      <c r="I123" s="22"/>
      <c r="J123" s="22"/>
      <c r="K123" s="22"/>
      <c r="L123" s="22"/>
      <c r="M123" s="22"/>
      <c r="N123" s="22"/>
      <c r="O123" s="22"/>
      <c r="P123" s="22"/>
      <c r="Q123" s="22"/>
      <c r="R123" s="22"/>
      <c r="S123" s="22"/>
      <c r="T123" s="22"/>
      <c r="U123" s="2"/>
      <c r="V123" s="2"/>
      <c r="W123" s="2"/>
      <c r="X123" s="2"/>
      <c r="Y123" s="2"/>
      <c r="Z123" s="2"/>
    </row>
    <row r="124" spans="1:26" ht="12.75">
      <c r="A124" s="22"/>
      <c r="B124" s="22"/>
      <c r="C124" s="22"/>
      <c r="D124" s="22"/>
      <c r="E124" s="22"/>
      <c r="F124" s="22"/>
      <c r="G124" s="22"/>
      <c r="H124" s="22"/>
      <c r="I124" s="22"/>
      <c r="J124" s="22"/>
      <c r="K124" s="22"/>
      <c r="L124" s="22"/>
      <c r="M124" s="22"/>
      <c r="N124" s="22"/>
      <c r="O124" s="22"/>
      <c r="P124" s="22"/>
      <c r="Q124" s="22"/>
      <c r="R124" s="22"/>
      <c r="S124" s="22"/>
      <c r="T124" s="22"/>
      <c r="U124" s="2"/>
      <c r="V124" s="2"/>
      <c r="W124" s="2"/>
      <c r="X124" s="2"/>
      <c r="Y124" s="2"/>
      <c r="Z124" s="2"/>
    </row>
    <row r="125" spans="1:26" ht="12.75">
      <c r="A125" s="22"/>
      <c r="B125" s="22"/>
      <c r="C125" s="22"/>
      <c r="D125" s="22"/>
      <c r="E125" s="22"/>
      <c r="F125" s="22"/>
      <c r="G125" s="22"/>
      <c r="H125" s="22"/>
      <c r="I125" s="22"/>
      <c r="J125" s="22"/>
      <c r="K125" s="22"/>
      <c r="L125" s="22"/>
      <c r="M125" s="22"/>
      <c r="N125" s="22"/>
      <c r="O125" s="22"/>
      <c r="P125" s="22"/>
      <c r="Q125" s="22"/>
      <c r="R125" s="22"/>
      <c r="S125" s="22"/>
      <c r="T125" s="22"/>
      <c r="U125" s="2"/>
      <c r="V125" s="2"/>
      <c r="W125" s="2"/>
      <c r="X125" s="2"/>
      <c r="Y125" s="2"/>
      <c r="Z125" s="2"/>
    </row>
    <row r="126" spans="1:26" ht="12.75">
      <c r="A126" s="22"/>
      <c r="B126" s="22"/>
      <c r="C126" s="22"/>
      <c r="D126" s="22"/>
      <c r="E126" s="22"/>
      <c r="F126" s="22"/>
      <c r="G126" s="22"/>
      <c r="H126" s="22"/>
      <c r="I126" s="22"/>
      <c r="J126" s="22"/>
      <c r="K126" s="22"/>
      <c r="L126" s="22"/>
      <c r="M126" s="22"/>
      <c r="N126" s="22"/>
      <c r="O126" s="22"/>
      <c r="P126" s="22"/>
      <c r="Q126" s="22"/>
      <c r="R126" s="22"/>
      <c r="S126" s="22"/>
      <c r="T126" s="22"/>
      <c r="U126" s="2"/>
      <c r="V126" s="2"/>
      <c r="W126" s="2"/>
      <c r="X126" s="2"/>
      <c r="Y126" s="2"/>
      <c r="Z126" s="2"/>
    </row>
    <row r="127" spans="1:26" ht="12.75">
      <c r="A127" s="22"/>
      <c r="B127" s="22"/>
      <c r="C127" s="22"/>
      <c r="D127" s="22"/>
      <c r="E127" s="22"/>
      <c r="F127" s="22"/>
      <c r="G127" s="22"/>
      <c r="H127" s="22"/>
      <c r="I127" s="22"/>
      <c r="J127" s="22"/>
      <c r="K127" s="22"/>
      <c r="L127" s="22"/>
      <c r="M127" s="22"/>
      <c r="N127" s="22"/>
      <c r="O127" s="22"/>
      <c r="P127" s="22"/>
      <c r="Q127" s="22"/>
      <c r="R127" s="22"/>
      <c r="S127" s="22"/>
      <c r="T127" s="22"/>
      <c r="U127" s="2"/>
      <c r="V127" s="2"/>
      <c r="W127" s="2"/>
      <c r="X127" s="2"/>
      <c r="Y127" s="2"/>
      <c r="Z127" s="2"/>
    </row>
    <row r="128" spans="1:26" ht="12.75">
      <c r="A128" s="22"/>
      <c r="B128" s="22"/>
      <c r="C128" s="22"/>
      <c r="D128" s="22"/>
      <c r="E128" s="22"/>
      <c r="F128" s="22"/>
      <c r="G128" s="22"/>
      <c r="H128" s="22"/>
      <c r="I128" s="22"/>
      <c r="J128" s="22"/>
      <c r="K128" s="22"/>
      <c r="L128" s="22"/>
      <c r="M128" s="22"/>
      <c r="N128" s="22"/>
      <c r="O128" s="22"/>
      <c r="P128" s="22"/>
      <c r="Q128" s="22"/>
      <c r="R128" s="22"/>
      <c r="S128" s="22"/>
      <c r="T128" s="22"/>
      <c r="U128" s="2"/>
      <c r="V128" s="2"/>
      <c r="W128" s="2"/>
      <c r="X128" s="2"/>
      <c r="Y128" s="2"/>
      <c r="Z128" s="2"/>
    </row>
    <row r="129" spans="1:26" ht="12.75">
      <c r="A129" s="22"/>
      <c r="B129" s="22"/>
      <c r="C129" s="22"/>
      <c r="D129" s="22"/>
      <c r="E129" s="22"/>
      <c r="F129" s="22"/>
      <c r="G129" s="22"/>
      <c r="H129" s="22"/>
      <c r="I129" s="22"/>
      <c r="J129" s="22"/>
      <c r="K129" s="22"/>
      <c r="L129" s="22"/>
      <c r="M129" s="22"/>
      <c r="N129" s="22"/>
      <c r="O129" s="22"/>
      <c r="P129" s="22"/>
      <c r="Q129" s="22"/>
      <c r="R129" s="22"/>
      <c r="S129" s="22"/>
      <c r="T129" s="22"/>
      <c r="U129" s="2"/>
      <c r="V129" s="2"/>
      <c r="W129" s="2"/>
      <c r="X129" s="2"/>
      <c r="Y129" s="2"/>
      <c r="Z129" s="2"/>
    </row>
    <row r="130" spans="1:26" ht="12.75">
      <c r="A130" s="22"/>
      <c r="B130" s="22"/>
      <c r="C130" s="22"/>
      <c r="D130" s="22"/>
      <c r="E130" s="22"/>
      <c r="F130" s="22"/>
      <c r="G130" s="22"/>
      <c r="H130" s="22"/>
      <c r="I130" s="22"/>
      <c r="J130" s="22"/>
      <c r="K130" s="22"/>
      <c r="L130" s="22"/>
      <c r="M130" s="22"/>
      <c r="N130" s="22"/>
      <c r="O130" s="22"/>
      <c r="P130" s="22"/>
      <c r="Q130" s="22"/>
      <c r="R130" s="22"/>
      <c r="S130" s="22"/>
      <c r="T130" s="22"/>
      <c r="U130" s="2"/>
      <c r="V130" s="2"/>
      <c r="W130" s="2"/>
      <c r="X130" s="2"/>
      <c r="Y130" s="2"/>
      <c r="Z130" s="2"/>
    </row>
    <row r="131" spans="1:26" ht="12.75">
      <c r="A131" s="22"/>
      <c r="B131" s="22"/>
      <c r="C131" s="22"/>
      <c r="D131" s="22"/>
      <c r="E131" s="22"/>
      <c r="F131" s="22"/>
      <c r="G131" s="22"/>
      <c r="H131" s="22"/>
      <c r="I131" s="22"/>
      <c r="J131" s="22"/>
      <c r="K131" s="22"/>
      <c r="L131" s="22"/>
      <c r="M131" s="22"/>
      <c r="N131" s="22"/>
      <c r="O131" s="22"/>
      <c r="P131" s="22"/>
      <c r="Q131" s="22"/>
      <c r="R131" s="22"/>
      <c r="S131" s="22"/>
      <c r="T131" s="22"/>
      <c r="U131" s="2"/>
      <c r="V131" s="2"/>
      <c r="W131" s="2"/>
      <c r="X131" s="2"/>
      <c r="Y131" s="2"/>
      <c r="Z131" s="2"/>
    </row>
    <row r="132" spans="1:26" ht="12.75">
      <c r="A132" s="22"/>
      <c r="B132" s="22"/>
      <c r="C132" s="22"/>
      <c r="D132" s="22"/>
      <c r="E132" s="22"/>
      <c r="F132" s="22"/>
      <c r="G132" s="22"/>
      <c r="H132" s="22"/>
      <c r="I132" s="22"/>
      <c r="J132" s="22"/>
      <c r="K132" s="22"/>
      <c r="L132" s="22"/>
      <c r="M132" s="22"/>
      <c r="N132" s="22"/>
      <c r="O132" s="22"/>
      <c r="P132" s="22"/>
      <c r="Q132" s="22"/>
      <c r="R132" s="22"/>
      <c r="S132" s="22"/>
      <c r="T132" s="22"/>
      <c r="U132" s="2"/>
      <c r="V132" s="2"/>
      <c r="W132" s="2"/>
      <c r="X132" s="2"/>
      <c r="Y132" s="2"/>
      <c r="Z132" s="2"/>
    </row>
    <row r="133" spans="1:26" ht="12.75">
      <c r="A133" s="22"/>
      <c r="B133" s="22"/>
      <c r="C133" s="22"/>
      <c r="D133" s="22"/>
      <c r="E133" s="22"/>
      <c r="F133" s="22"/>
      <c r="G133" s="22"/>
      <c r="H133" s="22"/>
      <c r="I133" s="22"/>
      <c r="J133" s="22"/>
      <c r="K133" s="22"/>
      <c r="L133" s="22"/>
      <c r="M133" s="22"/>
      <c r="N133" s="22"/>
      <c r="O133" s="22"/>
      <c r="P133" s="22"/>
      <c r="Q133" s="22"/>
      <c r="R133" s="22"/>
      <c r="S133" s="22"/>
      <c r="T133" s="22"/>
      <c r="U133" s="2"/>
      <c r="V133" s="2"/>
      <c r="W133" s="2"/>
      <c r="X133" s="2"/>
      <c r="Y133" s="2"/>
      <c r="Z133" s="2"/>
    </row>
    <row r="134" spans="1:26" ht="12.75">
      <c r="A134" s="22"/>
      <c r="B134" s="22"/>
      <c r="C134" s="22"/>
      <c r="D134" s="22"/>
      <c r="E134" s="22"/>
      <c r="F134" s="22"/>
      <c r="G134" s="22"/>
      <c r="H134" s="22"/>
      <c r="I134" s="22"/>
      <c r="J134" s="22"/>
      <c r="K134" s="22"/>
      <c r="L134" s="22"/>
      <c r="M134" s="22"/>
      <c r="N134" s="22"/>
      <c r="O134" s="22"/>
      <c r="P134" s="22"/>
      <c r="Q134" s="22"/>
      <c r="R134" s="22"/>
      <c r="S134" s="22"/>
      <c r="T134" s="22"/>
      <c r="U134" s="2"/>
      <c r="V134" s="2"/>
      <c r="W134" s="2"/>
      <c r="X134" s="2"/>
      <c r="Y134" s="2"/>
      <c r="Z134" s="2"/>
    </row>
    <row r="135" spans="1:26" ht="12.75">
      <c r="A135" s="22"/>
      <c r="B135" s="22"/>
      <c r="C135" s="22"/>
      <c r="D135" s="22"/>
      <c r="E135" s="22"/>
      <c r="F135" s="22"/>
      <c r="G135" s="22"/>
      <c r="H135" s="22"/>
      <c r="I135" s="22"/>
      <c r="J135" s="22"/>
      <c r="K135" s="22"/>
      <c r="L135" s="22"/>
      <c r="M135" s="22"/>
      <c r="N135" s="22"/>
      <c r="O135" s="22"/>
      <c r="P135" s="22"/>
      <c r="Q135" s="22"/>
      <c r="R135" s="22"/>
      <c r="S135" s="22"/>
      <c r="T135" s="22"/>
      <c r="U135" s="2"/>
      <c r="V135" s="2"/>
      <c r="W135" s="2"/>
      <c r="X135" s="2"/>
      <c r="Y135" s="2"/>
      <c r="Z135" s="2"/>
    </row>
    <row r="136" spans="1:26" ht="12.75">
      <c r="A136" s="22"/>
      <c r="B136" s="22"/>
      <c r="C136" s="22"/>
      <c r="D136" s="22"/>
      <c r="E136" s="22"/>
      <c r="F136" s="22"/>
      <c r="G136" s="22"/>
      <c r="H136" s="22"/>
      <c r="I136" s="22"/>
      <c r="J136" s="22"/>
      <c r="K136" s="22"/>
      <c r="L136" s="22"/>
      <c r="M136" s="22"/>
      <c r="N136" s="22"/>
      <c r="O136" s="22"/>
      <c r="P136" s="22"/>
      <c r="Q136" s="22"/>
      <c r="R136" s="22"/>
      <c r="S136" s="22"/>
      <c r="T136" s="22"/>
      <c r="U136" s="2"/>
      <c r="V136" s="2"/>
      <c r="W136" s="2"/>
      <c r="X136" s="2"/>
      <c r="Y136" s="2"/>
      <c r="Z136" s="2"/>
    </row>
    <row r="137" spans="1:26" ht="12.75">
      <c r="A137" s="22"/>
      <c r="B137" s="22"/>
      <c r="C137" s="22"/>
      <c r="D137" s="22"/>
      <c r="E137" s="22"/>
      <c r="F137" s="22"/>
      <c r="G137" s="22"/>
      <c r="H137" s="22"/>
      <c r="I137" s="22"/>
      <c r="J137" s="22"/>
      <c r="K137" s="22"/>
      <c r="L137" s="22"/>
      <c r="M137" s="22"/>
      <c r="N137" s="22"/>
      <c r="O137" s="22"/>
      <c r="P137" s="22"/>
      <c r="Q137" s="22"/>
      <c r="R137" s="22"/>
      <c r="S137" s="22"/>
      <c r="T137" s="22"/>
      <c r="U137" s="2"/>
      <c r="V137" s="2"/>
      <c r="W137" s="2"/>
      <c r="X137" s="2"/>
      <c r="Y137" s="2"/>
      <c r="Z137" s="2"/>
    </row>
    <row r="138" spans="1:26" ht="12.75">
      <c r="A138" s="22"/>
      <c r="B138" s="22"/>
      <c r="C138" s="22"/>
      <c r="D138" s="22"/>
      <c r="E138" s="22"/>
      <c r="F138" s="22"/>
      <c r="G138" s="22"/>
      <c r="H138" s="22"/>
      <c r="I138" s="22"/>
      <c r="J138" s="22"/>
      <c r="K138" s="22"/>
      <c r="L138" s="22"/>
      <c r="M138" s="22"/>
      <c r="N138" s="22"/>
      <c r="O138" s="22"/>
      <c r="P138" s="22"/>
      <c r="Q138" s="22"/>
      <c r="R138" s="22"/>
      <c r="S138" s="22"/>
      <c r="T138" s="22"/>
      <c r="U138" s="2"/>
      <c r="V138" s="2"/>
      <c r="W138" s="2"/>
      <c r="X138" s="2"/>
      <c r="Y138" s="2"/>
      <c r="Z138" s="2"/>
    </row>
    <row r="139" spans="1:26" ht="12.75">
      <c r="A139" s="22"/>
      <c r="B139" s="22"/>
      <c r="C139" s="22"/>
      <c r="D139" s="22"/>
      <c r="E139" s="22"/>
      <c r="F139" s="22"/>
      <c r="G139" s="22"/>
      <c r="H139" s="22"/>
      <c r="I139" s="22"/>
      <c r="J139" s="22"/>
      <c r="K139" s="22"/>
      <c r="L139" s="22"/>
      <c r="M139" s="22"/>
      <c r="N139" s="22"/>
      <c r="O139" s="22"/>
      <c r="P139" s="22"/>
      <c r="Q139" s="22"/>
      <c r="R139" s="22"/>
      <c r="S139" s="22"/>
      <c r="T139" s="22"/>
      <c r="U139" s="2"/>
      <c r="V139" s="2"/>
      <c r="W139" s="2"/>
      <c r="X139" s="2"/>
      <c r="Y139" s="2"/>
      <c r="Z139" s="2"/>
    </row>
    <row r="140" spans="1:26" ht="12.75">
      <c r="A140" s="22"/>
      <c r="B140" s="22"/>
      <c r="C140" s="22"/>
      <c r="D140" s="22"/>
      <c r="E140" s="22"/>
      <c r="F140" s="22"/>
      <c r="G140" s="22"/>
      <c r="H140" s="22"/>
      <c r="I140" s="22"/>
      <c r="J140" s="22"/>
      <c r="K140" s="22"/>
      <c r="L140" s="22"/>
      <c r="M140" s="22"/>
      <c r="N140" s="22"/>
      <c r="O140" s="22"/>
      <c r="P140" s="22"/>
      <c r="Q140" s="22"/>
      <c r="R140" s="22"/>
      <c r="S140" s="22"/>
      <c r="T140" s="22"/>
      <c r="U140" s="2"/>
      <c r="V140" s="2"/>
      <c r="W140" s="2"/>
      <c r="X140" s="2"/>
      <c r="Y140" s="2"/>
      <c r="Z140" s="2"/>
    </row>
    <row r="141" spans="1:26" ht="12.75">
      <c r="A141" s="22"/>
      <c r="B141" s="22"/>
      <c r="C141" s="22"/>
      <c r="D141" s="22"/>
      <c r="E141" s="22"/>
      <c r="F141" s="22"/>
      <c r="G141" s="22"/>
      <c r="H141" s="22"/>
      <c r="I141" s="22"/>
      <c r="J141" s="22"/>
      <c r="K141" s="22"/>
      <c r="L141" s="22"/>
      <c r="M141" s="22"/>
      <c r="N141" s="22"/>
      <c r="O141" s="22"/>
      <c r="P141" s="22"/>
      <c r="Q141" s="22"/>
      <c r="R141" s="22"/>
      <c r="S141" s="22"/>
      <c r="T141" s="22"/>
      <c r="U141" s="2"/>
      <c r="V141" s="2"/>
      <c r="W141" s="2"/>
      <c r="X141" s="2"/>
      <c r="Y141" s="2"/>
      <c r="Z141" s="2"/>
    </row>
    <row r="142" spans="1:26" ht="12.75">
      <c r="A142" s="22"/>
      <c r="B142" s="22"/>
      <c r="C142" s="22"/>
      <c r="D142" s="22"/>
      <c r="E142" s="22"/>
      <c r="F142" s="22"/>
      <c r="G142" s="22"/>
      <c r="H142" s="22"/>
      <c r="I142" s="22"/>
      <c r="J142" s="22"/>
      <c r="K142" s="22"/>
      <c r="L142" s="22"/>
      <c r="M142" s="22"/>
      <c r="N142" s="22"/>
      <c r="O142" s="22"/>
      <c r="P142" s="22"/>
      <c r="Q142" s="22"/>
      <c r="R142" s="22"/>
      <c r="S142" s="22"/>
      <c r="T142" s="22"/>
      <c r="U142" s="2"/>
      <c r="V142" s="2"/>
      <c r="W142" s="2"/>
      <c r="X142" s="2"/>
      <c r="Y142" s="2"/>
      <c r="Z142" s="2"/>
    </row>
    <row r="143" spans="1:26" ht="12.75">
      <c r="A143" s="22"/>
      <c r="B143" s="22"/>
      <c r="C143" s="22"/>
      <c r="D143" s="22"/>
      <c r="E143" s="22"/>
      <c r="F143" s="22"/>
      <c r="G143" s="22"/>
      <c r="H143" s="22"/>
      <c r="I143" s="22"/>
      <c r="J143" s="22"/>
      <c r="K143" s="22"/>
      <c r="L143" s="22"/>
      <c r="M143" s="22"/>
      <c r="N143" s="22"/>
      <c r="O143" s="22"/>
      <c r="P143" s="22"/>
      <c r="Q143" s="22"/>
      <c r="R143" s="22"/>
      <c r="S143" s="22"/>
      <c r="T143" s="22"/>
      <c r="U143" s="2"/>
      <c r="V143" s="2"/>
      <c r="W143" s="2"/>
      <c r="X143" s="2"/>
      <c r="Y143" s="2"/>
      <c r="Z143" s="2"/>
    </row>
    <row r="144" spans="1:26" ht="12.75">
      <c r="A144" s="22"/>
      <c r="B144" s="22"/>
      <c r="C144" s="22"/>
      <c r="D144" s="22"/>
      <c r="E144" s="22"/>
      <c r="F144" s="22"/>
      <c r="G144" s="22"/>
      <c r="H144" s="22"/>
      <c r="I144" s="22"/>
      <c r="J144" s="22"/>
      <c r="K144" s="22"/>
      <c r="L144" s="22"/>
      <c r="M144" s="22"/>
      <c r="N144" s="22"/>
      <c r="O144" s="22"/>
      <c r="P144" s="22"/>
      <c r="Q144" s="22"/>
      <c r="R144" s="22"/>
      <c r="S144" s="22"/>
      <c r="T144" s="22"/>
      <c r="U144" s="2"/>
      <c r="V144" s="2"/>
      <c r="W144" s="2"/>
      <c r="X144" s="2"/>
      <c r="Y144" s="2"/>
      <c r="Z144" s="2"/>
    </row>
    <row r="145" spans="1:26" ht="12.75">
      <c r="A145" s="22"/>
      <c r="B145" s="22"/>
      <c r="C145" s="22"/>
      <c r="D145" s="22"/>
      <c r="E145" s="22"/>
      <c r="F145" s="22"/>
      <c r="G145" s="22"/>
      <c r="H145" s="22"/>
      <c r="I145" s="22"/>
      <c r="J145" s="22"/>
      <c r="K145" s="22"/>
      <c r="L145" s="22"/>
      <c r="M145" s="22"/>
      <c r="N145" s="22"/>
      <c r="O145" s="22"/>
      <c r="P145" s="22"/>
      <c r="Q145" s="22"/>
      <c r="R145" s="22"/>
      <c r="S145" s="22"/>
      <c r="T145" s="22"/>
      <c r="U145" s="2"/>
      <c r="V145" s="2"/>
      <c r="W145" s="2"/>
      <c r="X145" s="2"/>
      <c r="Y145" s="2"/>
      <c r="Z145" s="2"/>
    </row>
    <row r="146" spans="1:26" ht="12.75">
      <c r="A146" s="22"/>
      <c r="B146" s="22"/>
      <c r="C146" s="22"/>
      <c r="D146" s="22"/>
      <c r="E146" s="22"/>
      <c r="F146" s="22"/>
      <c r="G146" s="22"/>
      <c r="H146" s="22"/>
      <c r="I146" s="22"/>
      <c r="J146" s="22"/>
      <c r="K146" s="22"/>
      <c r="L146" s="22"/>
      <c r="M146" s="22"/>
      <c r="N146" s="22"/>
      <c r="O146" s="22"/>
      <c r="P146" s="22"/>
      <c r="Q146" s="22"/>
      <c r="R146" s="22"/>
      <c r="S146" s="22"/>
      <c r="T146" s="22"/>
      <c r="U146" s="2"/>
      <c r="V146" s="2"/>
      <c r="W146" s="2"/>
      <c r="X146" s="2"/>
      <c r="Y146" s="2"/>
      <c r="Z146" s="2"/>
    </row>
    <row r="147" spans="1:26" ht="12.75">
      <c r="A147" s="22"/>
      <c r="B147" s="22"/>
      <c r="C147" s="22"/>
      <c r="D147" s="22"/>
      <c r="E147" s="22"/>
      <c r="F147" s="22"/>
      <c r="G147" s="22"/>
      <c r="H147" s="22"/>
      <c r="I147" s="22"/>
      <c r="J147" s="22"/>
      <c r="K147" s="22"/>
      <c r="L147" s="22"/>
      <c r="M147" s="22"/>
      <c r="N147" s="22"/>
      <c r="O147" s="22"/>
      <c r="P147" s="22"/>
      <c r="Q147" s="22"/>
      <c r="R147" s="22"/>
      <c r="S147" s="22"/>
      <c r="T147" s="22"/>
      <c r="U147" s="2"/>
      <c r="V147" s="2"/>
      <c r="W147" s="2"/>
      <c r="X147" s="2"/>
      <c r="Y147" s="2"/>
      <c r="Z147" s="2"/>
    </row>
    <row r="148" spans="1:26" ht="12.75">
      <c r="A148" s="22"/>
      <c r="B148" s="22"/>
      <c r="C148" s="22"/>
      <c r="D148" s="22"/>
      <c r="E148" s="22"/>
      <c r="F148" s="22"/>
      <c r="G148" s="22"/>
      <c r="H148" s="22"/>
      <c r="I148" s="22"/>
      <c r="J148" s="22"/>
      <c r="K148" s="22"/>
      <c r="L148" s="22"/>
      <c r="M148" s="22"/>
      <c r="N148" s="22"/>
      <c r="O148" s="22"/>
      <c r="P148" s="22"/>
      <c r="Q148" s="22"/>
      <c r="R148" s="22"/>
      <c r="S148" s="22"/>
      <c r="T148" s="22"/>
      <c r="U148" s="2"/>
      <c r="V148" s="2"/>
      <c r="W148" s="2"/>
      <c r="X148" s="2"/>
      <c r="Y148" s="2"/>
      <c r="Z148" s="2"/>
    </row>
    <row r="149" spans="1:26" ht="12.75">
      <c r="A149" s="22"/>
      <c r="B149" s="22"/>
      <c r="C149" s="22"/>
      <c r="D149" s="22"/>
      <c r="E149" s="22"/>
      <c r="F149" s="22"/>
      <c r="G149" s="22"/>
      <c r="H149" s="22"/>
      <c r="I149" s="22"/>
      <c r="J149" s="22"/>
      <c r="K149" s="22"/>
      <c r="L149" s="22"/>
      <c r="M149" s="22"/>
      <c r="N149" s="22"/>
      <c r="O149" s="22"/>
      <c r="P149" s="22"/>
      <c r="Q149" s="22"/>
      <c r="R149" s="22"/>
      <c r="S149" s="22"/>
      <c r="T149" s="22"/>
      <c r="U149" s="2"/>
      <c r="V149" s="2"/>
      <c r="W149" s="2"/>
      <c r="X149" s="2"/>
      <c r="Y149" s="2"/>
      <c r="Z149" s="2"/>
    </row>
    <row r="150" spans="1:26" ht="12.75">
      <c r="A150" s="22"/>
      <c r="B150" s="22"/>
      <c r="C150" s="22"/>
      <c r="D150" s="22"/>
      <c r="E150" s="22"/>
      <c r="F150" s="22"/>
      <c r="G150" s="22"/>
      <c r="H150" s="22"/>
      <c r="I150" s="22"/>
      <c r="J150" s="22"/>
      <c r="K150" s="22"/>
      <c r="L150" s="22"/>
      <c r="M150" s="22"/>
      <c r="N150" s="22"/>
      <c r="O150" s="22"/>
      <c r="P150" s="22"/>
      <c r="Q150" s="22"/>
      <c r="R150" s="22"/>
      <c r="S150" s="22"/>
      <c r="T150" s="22"/>
      <c r="U150" s="2"/>
      <c r="V150" s="2"/>
      <c r="W150" s="2"/>
      <c r="X150" s="2"/>
      <c r="Y150" s="2"/>
      <c r="Z150" s="2"/>
    </row>
    <row r="151" spans="1:26" ht="12.75">
      <c r="A151" s="22"/>
      <c r="B151" s="22"/>
      <c r="C151" s="22"/>
      <c r="D151" s="22"/>
      <c r="E151" s="22"/>
      <c r="F151" s="22"/>
      <c r="G151" s="22"/>
      <c r="H151" s="22"/>
      <c r="I151" s="22"/>
      <c r="J151" s="22"/>
      <c r="K151" s="22"/>
      <c r="L151" s="22"/>
      <c r="M151" s="22"/>
      <c r="N151" s="22"/>
      <c r="O151" s="22"/>
      <c r="P151" s="22"/>
      <c r="Q151" s="22"/>
      <c r="R151" s="22"/>
      <c r="S151" s="22"/>
      <c r="T151" s="22"/>
      <c r="U151" s="2"/>
      <c r="V151" s="2"/>
      <c r="W151" s="2"/>
      <c r="X151" s="2"/>
      <c r="Y151" s="2"/>
      <c r="Z151" s="2"/>
    </row>
    <row r="152" spans="1:26" ht="12.75">
      <c r="A152" s="22"/>
      <c r="B152" s="22"/>
      <c r="C152" s="22"/>
      <c r="D152" s="22"/>
      <c r="E152" s="22"/>
      <c r="F152" s="22"/>
      <c r="G152" s="22"/>
      <c r="H152" s="22"/>
      <c r="I152" s="22"/>
      <c r="J152" s="22"/>
      <c r="K152" s="22"/>
      <c r="L152" s="22"/>
      <c r="M152" s="22"/>
      <c r="N152" s="22"/>
      <c r="O152" s="22"/>
      <c r="P152" s="22"/>
      <c r="Q152" s="22"/>
      <c r="R152" s="22"/>
      <c r="S152" s="22"/>
      <c r="T152" s="22"/>
      <c r="U152" s="2"/>
      <c r="V152" s="2"/>
      <c r="W152" s="2"/>
      <c r="X152" s="2"/>
      <c r="Y152" s="2"/>
      <c r="Z152" s="2"/>
    </row>
    <row r="153" spans="1:26" ht="12.75">
      <c r="A153" s="22"/>
      <c r="B153" s="22"/>
      <c r="C153" s="22"/>
      <c r="D153" s="22"/>
      <c r="E153" s="22"/>
      <c r="F153" s="22"/>
      <c r="G153" s="22"/>
      <c r="H153" s="22"/>
      <c r="I153" s="22"/>
      <c r="J153" s="22"/>
      <c r="K153" s="22"/>
      <c r="L153" s="22"/>
      <c r="M153" s="22"/>
      <c r="N153" s="22"/>
      <c r="O153" s="22"/>
      <c r="P153" s="22"/>
      <c r="Q153" s="22"/>
      <c r="R153" s="22"/>
      <c r="S153" s="22"/>
      <c r="T153" s="22"/>
      <c r="U153" s="2"/>
      <c r="V153" s="2"/>
      <c r="W153" s="2"/>
      <c r="X153" s="2"/>
      <c r="Y153" s="2"/>
      <c r="Z153" s="2"/>
    </row>
    <row r="154" spans="1:26" ht="12.75">
      <c r="A154" s="22"/>
      <c r="B154" s="22"/>
      <c r="C154" s="22"/>
      <c r="D154" s="22"/>
      <c r="E154" s="22"/>
      <c r="F154" s="22"/>
      <c r="G154" s="22"/>
      <c r="H154" s="22"/>
      <c r="I154" s="22"/>
      <c r="J154" s="22"/>
      <c r="K154" s="22"/>
      <c r="L154" s="22"/>
      <c r="M154" s="22"/>
      <c r="N154" s="22"/>
      <c r="O154" s="22"/>
      <c r="P154" s="22"/>
      <c r="Q154" s="22"/>
      <c r="R154" s="22"/>
      <c r="S154" s="22"/>
      <c r="T154" s="22"/>
      <c r="U154" s="2"/>
      <c r="V154" s="2"/>
      <c r="W154" s="2"/>
      <c r="X154" s="2"/>
      <c r="Y154" s="2"/>
      <c r="Z154" s="2"/>
    </row>
    <row r="155" spans="1:26" ht="12.75">
      <c r="A155" s="22"/>
      <c r="B155" s="22"/>
      <c r="C155" s="22"/>
      <c r="D155" s="22"/>
      <c r="E155" s="22"/>
      <c r="F155" s="22"/>
      <c r="G155" s="22"/>
      <c r="H155" s="22"/>
      <c r="I155" s="22"/>
      <c r="J155" s="22"/>
      <c r="K155" s="22"/>
      <c r="L155" s="22"/>
      <c r="M155" s="22"/>
      <c r="N155" s="22"/>
      <c r="O155" s="22"/>
      <c r="P155" s="22"/>
      <c r="Q155" s="22"/>
      <c r="R155" s="22"/>
      <c r="S155" s="22"/>
      <c r="T155" s="22"/>
      <c r="U155" s="2"/>
      <c r="V155" s="2"/>
      <c r="W155" s="2"/>
      <c r="X155" s="2"/>
      <c r="Y155" s="2"/>
      <c r="Z155" s="2"/>
    </row>
    <row r="156" spans="1:26" ht="12.75">
      <c r="A156" s="22"/>
      <c r="B156" s="22"/>
      <c r="C156" s="22"/>
      <c r="D156" s="22"/>
      <c r="E156" s="22"/>
      <c r="F156" s="22"/>
      <c r="G156" s="22"/>
      <c r="H156" s="22"/>
      <c r="I156" s="22"/>
      <c r="J156" s="22"/>
      <c r="K156" s="22"/>
      <c r="L156" s="22"/>
      <c r="M156" s="22"/>
      <c r="N156" s="22"/>
      <c r="O156" s="22"/>
      <c r="P156" s="22"/>
      <c r="Q156" s="22"/>
      <c r="R156" s="22"/>
      <c r="S156" s="22"/>
      <c r="T156" s="22"/>
      <c r="U156" s="2"/>
      <c r="V156" s="2"/>
      <c r="W156" s="2"/>
      <c r="X156" s="2"/>
      <c r="Y156" s="2"/>
      <c r="Z156" s="2"/>
    </row>
    <row r="157" spans="1:26" ht="12.75">
      <c r="A157" s="22"/>
      <c r="B157" s="22"/>
      <c r="C157" s="22"/>
      <c r="D157" s="22"/>
      <c r="E157" s="22"/>
      <c r="F157" s="22"/>
      <c r="G157" s="22"/>
      <c r="H157" s="22"/>
      <c r="I157" s="22"/>
      <c r="J157" s="22"/>
      <c r="K157" s="22"/>
      <c r="L157" s="22"/>
      <c r="M157" s="22"/>
      <c r="N157" s="22"/>
      <c r="O157" s="22"/>
      <c r="P157" s="22"/>
      <c r="Q157" s="22"/>
      <c r="R157" s="22"/>
      <c r="S157" s="22"/>
      <c r="T157" s="22"/>
      <c r="U157" s="2"/>
      <c r="V157" s="2"/>
      <c r="W157" s="2"/>
      <c r="X157" s="2"/>
      <c r="Y157" s="2"/>
      <c r="Z157" s="2"/>
    </row>
    <row r="158" spans="1:26" ht="12.75">
      <c r="A158" s="22"/>
      <c r="B158" s="22"/>
      <c r="C158" s="22"/>
      <c r="D158" s="22"/>
      <c r="E158" s="22"/>
      <c r="F158" s="22"/>
      <c r="G158" s="22"/>
      <c r="H158" s="22"/>
      <c r="I158" s="22"/>
      <c r="J158" s="22"/>
      <c r="K158" s="22"/>
      <c r="L158" s="22"/>
      <c r="M158" s="22"/>
      <c r="N158" s="22"/>
      <c r="O158" s="22"/>
      <c r="P158" s="22"/>
      <c r="Q158" s="22"/>
      <c r="R158" s="22"/>
      <c r="S158" s="22"/>
      <c r="T158" s="22"/>
      <c r="U158" s="2"/>
      <c r="V158" s="2"/>
      <c r="W158" s="2"/>
      <c r="X158" s="2"/>
      <c r="Y158" s="2"/>
      <c r="Z158" s="2"/>
    </row>
    <row r="159" spans="1:26" ht="12.75">
      <c r="A159" s="22"/>
      <c r="B159" s="22"/>
      <c r="C159" s="22"/>
      <c r="D159" s="22"/>
      <c r="E159" s="22"/>
      <c r="F159" s="22"/>
      <c r="G159" s="22"/>
      <c r="H159" s="22"/>
      <c r="I159" s="22"/>
      <c r="J159" s="22"/>
      <c r="K159" s="22"/>
      <c r="L159" s="22"/>
      <c r="M159" s="22"/>
      <c r="N159" s="22"/>
      <c r="O159" s="22"/>
      <c r="P159" s="22"/>
      <c r="Q159" s="22"/>
      <c r="R159" s="22"/>
      <c r="S159" s="22"/>
      <c r="T159" s="22"/>
      <c r="U159" s="2"/>
      <c r="V159" s="2"/>
      <c r="W159" s="2"/>
      <c r="X159" s="2"/>
      <c r="Y159" s="2"/>
      <c r="Z159" s="2"/>
    </row>
    <row r="160" spans="1:26" ht="12.75">
      <c r="A160" s="22"/>
      <c r="B160" s="22"/>
      <c r="C160" s="22"/>
      <c r="D160" s="22"/>
      <c r="E160" s="22"/>
      <c r="F160" s="22"/>
      <c r="G160" s="22"/>
      <c r="H160" s="22"/>
      <c r="I160" s="22"/>
      <c r="J160" s="22"/>
      <c r="K160" s="22"/>
      <c r="L160" s="22"/>
      <c r="M160" s="22"/>
      <c r="N160" s="22"/>
      <c r="O160" s="22"/>
      <c r="P160" s="22"/>
      <c r="Q160" s="22"/>
      <c r="R160" s="22"/>
      <c r="S160" s="22"/>
      <c r="T160" s="22"/>
      <c r="U160" s="2"/>
      <c r="V160" s="2"/>
      <c r="W160" s="2"/>
      <c r="X160" s="2"/>
      <c r="Y160" s="2"/>
      <c r="Z160" s="2"/>
    </row>
    <row r="161" spans="1:26" ht="12.75">
      <c r="A161" s="22"/>
      <c r="B161" s="22"/>
      <c r="C161" s="22"/>
      <c r="D161" s="22"/>
      <c r="E161" s="22"/>
      <c r="F161" s="22"/>
      <c r="G161" s="22"/>
      <c r="H161" s="22"/>
      <c r="I161" s="22"/>
      <c r="J161" s="22"/>
      <c r="K161" s="22"/>
      <c r="L161" s="22"/>
      <c r="M161" s="22"/>
      <c r="N161" s="22"/>
      <c r="O161" s="22"/>
      <c r="P161" s="22"/>
      <c r="Q161" s="22"/>
      <c r="R161" s="22"/>
      <c r="S161" s="22"/>
      <c r="T161" s="22"/>
      <c r="U161" s="2"/>
      <c r="V161" s="2"/>
      <c r="W161" s="2"/>
      <c r="X161" s="2"/>
      <c r="Y161" s="2"/>
      <c r="Z161" s="2"/>
    </row>
    <row r="162" spans="1:26" ht="12.75">
      <c r="A162" s="22"/>
      <c r="B162" s="22"/>
      <c r="C162" s="22"/>
      <c r="D162" s="22"/>
      <c r="E162" s="22"/>
      <c r="F162" s="22"/>
      <c r="G162" s="22"/>
      <c r="H162" s="22"/>
      <c r="I162" s="22"/>
      <c r="J162" s="22"/>
      <c r="K162" s="22"/>
      <c r="L162" s="22"/>
      <c r="M162" s="22"/>
      <c r="N162" s="22"/>
      <c r="O162" s="22"/>
      <c r="P162" s="22"/>
      <c r="Q162" s="22"/>
      <c r="R162" s="22"/>
      <c r="S162" s="22"/>
      <c r="T162" s="22"/>
      <c r="U162" s="2"/>
      <c r="V162" s="2"/>
      <c r="W162" s="2"/>
      <c r="X162" s="2"/>
      <c r="Y162" s="2"/>
      <c r="Z162" s="2"/>
    </row>
    <row r="163" spans="1:26" ht="12.75">
      <c r="A163" s="22"/>
      <c r="B163" s="22"/>
      <c r="C163" s="22"/>
      <c r="D163" s="22"/>
      <c r="E163" s="22"/>
      <c r="F163" s="22"/>
      <c r="G163" s="22"/>
      <c r="H163" s="22"/>
      <c r="I163" s="22"/>
      <c r="J163" s="22"/>
      <c r="K163" s="22"/>
      <c r="L163" s="22"/>
      <c r="M163" s="22"/>
      <c r="N163" s="22"/>
      <c r="O163" s="22"/>
      <c r="P163" s="22"/>
      <c r="Q163" s="22"/>
      <c r="R163" s="22"/>
      <c r="S163" s="22"/>
      <c r="T163" s="22"/>
      <c r="U163" s="2"/>
      <c r="V163" s="2"/>
      <c r="W163" s="2"/>
      <c r="X163" s="2"/>
      <c r="Y163" s="2"/>
      <c r="Z163" s="2"/>
    </row>
    <row r="164" spans="1:26" ht="12.75">
      <c r="A164" s="22"/>
      <c r="B164" s="22"/>
      <c r="C164" s="22"/>
      <c r="D164" s="22"/>
      <c r="E164" s="22"/>
      <c r="F164" s="22"/>
      <c r="G164" s="22"/>
      <c r="H164" s="22"/>
      <c r="I164" s="22"/>
      <c r="J164" s="22"/>
      <c r="K164" s="22"/>
      <c r="L164" s="22"/>
      <c r="M164" s="22"/>
      <c r="N164" s="22"/>
      <c r="O164" s="22"/>
      <c r="P164" s="22"/>
      <c r="Q164" s="22"/>
      <c r="R164" s="22"/>
      <c r="S164" s="22"/>
      <c r="T164" s="22"/>
      <c r="U164" s="2"/>
      <c r="V164" s="2"/>
      <c r="W164" s="2"/>
      <c r="X164" s="2"/>
      <c r="Y164" s="2"/>
      <c r="Z164" s="2"/>
    </row>
    <row r="165" spans="1:26" ht="12.75">
      <c r="A165" s="22"/>
      <c r="B165" s="22"/>
      <c r="C165" s="22"/>
      <c r="D165" s="22"/>
      <c r="E165" s="22"/>
      <c r="F165" s="22"/>
      <c r="G165" s="22"/>
      <c r="H165" s="22"/>
      <c r="I165" s="22"/>
      <c r="J165" s="22"/>
      <c r="K165" s="22"/>
      <c r="L165" s="22"/>
      <c r="M165" s="22"/>
      <c r="N165" s="22"/>
      <c r="O165" s="22"/>
      <c r="P165" s="22"/>
      <c r="Q165" s="22"/>
      <c r="R165" s="22"/>
      <c r="S165" s="22"/>
      <c r="T165" s="22"/>
      <c r="U165" s="2"/>
      <c r="V165" s="2"/>
      <c r="W165" s="2"/>
      <c r="X165" s="2"/>
      <c r="Y165" s="2"/>
      <c r="Z165" s="2"/>
    </row>
    <row r="166" spans="1:26" ht="12.75">
      <c r="A166" s="22"/>
      <c r="B166" s="22"/>
      <c r="C166" s="22"/>
      <c r="D166" s="22"/>
      <c r="E166" s="22"/>
      <c r="F166" s="22"/>
      <c r="G166" s="22"/>
      <c r="H166" s="22"/>
      <c r="I166" s="22"/>
      <c r="J166" s="22"/>
      <c r="K166" s="22"/>
      <c r="L166" s="22"/>
      <c r="M166" s="22"/>
      <c r="N166" s="22"/>
      <c r="O166" s="22"/>
      <c r="P166" s="22"/>
      <c r="Q166" s="22"/>
      <c r="R166" s="22"/>
      <c r="S166" s="22"/>
      <c r="T166" s="22"/>
      <c r="U166" s="2"/>
      <c r="V166" s="2"/>
      <c r="W166" s="2"/>
      <c r="X166" s="2"/>
      <c r="Y166" s="2"/>
      <c r="Z166" s="2"/>
    </row>
    <row r="167" spans="1:26" ht="12.75">
      <c r="A167" s="22"/>
      <c r="B167" s="22"/>
      <c r="C167" s="22"/>
      <c r="D167" s="22"/>
      <c r="E167" s="22"/>
      <c r="F167" s="22"/>
      <c r="G167" s="22"/>
      <c r="H167" s="22"/>
      <c r="I167" s="22"/>
      <c r="J167" s="22"/>
      <c r="K167" s="22"/>
      <c r="L167" s="22"/>
      <c r="M167" s="22"/>
      <c r="N167" s="22"/>
      <c r="O167" s="22"/>
      <c r="P167" s="22"/>
      <c r="Q167" s="22"/>
      <c r="R167" s="22"/>
      <c r="S167" s="22"/>
      <c r="T167" s="22"/>
      <c r="U167" s="2"/>
      <c r="V167" s="2"/>
      <c r="W167" s="2"/>
      <c r="X167" s="2"/>
      <c r="Y167" s="2"/>
      <c r="Z167" s="2"/>
    </row>
    <row r="168" spans="1:26" ht="12.75">
      <c r="A168" s="22"/>
      <c r="B168" s="22"/>
      <c r="C168" s="22"/>
      <c r="D168" s="22"/>
      <c r="E168" s="22"/>
      <c r="F168" s="22"/>
      <c r="G168" s="22"/>
      <c r="H168" s="22"/>
      <c r="I168" s="22"/>
      <c r="J168" s="22"/>
      <c r="K168" s="22"/>
      <c r="L168" s="22"/>
      <c r="M168" s="22"/>
      <c r="N168" s="22"/>
      <c r="O168" s="22"/>
      <c r="P168" s="22"/>
      <c r="Q168" s="22"/>
      <c r="R168" s="22"/>
      <c r="S168" s="22"/>
      <c r="T168" s="22"/>
      <c r="U168" s="2"/>
      <c r="V168" s="2"/>
      <c r="W168" s="2"/>
      <c r="X168" s="2"/>
      <c r="Y168" s="2"/>
      <c r="Z168" s="2"/>
    </row>
    <row r="169" spans="1:26" ht="12.75">
      <c r="A169" s="22"/>
      <c r="B169" s="22"/>
      <c r="C169" s="22"/>
      <c r="D169" s="22"/>
      <c r="E169" s="22"/>
      <c r="F169" s="22"/>
      <c r="G169" s="22"/>
      <c r="H169" s="22"/>
      <c r="I169" s="22"/>
      <c r="J169" s="22"/>
      <c r="K169" s="22"/>
      <c r="L169" s="22"/>
      <c r="M169" s="22"/>
      <c r="N169" s="22"/>
      <c r="O169" s="22"/>
      <c r="P169" s="22"/>
      <c r="Q169" s="22"/>
      <c r="R169" s="22"/>
      <c r="S169" s="22"/>
      <c r="T169" s="22"/>
      <c r="U169" s="2"/>
      <c r="V169" s="2"/>
      <c r="W169" s="2"/>
      <c r="X169" s="2"/>
      <c r="Y169" s="2"/>
      <c r="Z169" s="2"/>
    </row>
    <row r="170" spans="1:26" ht="12.75">
      <c r="A170" s="22"/>
      <c r="B170" s="22"/>
      <c r="C170" s="22"/>
      <c r="D170" s="22"/>
      <c r="E170" s="22"/>
      <c r="F170" s="22"/>
      <c r="G170" s="22"/>
      <c r="H170" s="22"/>
      <c r="I170" s="22"/>
      <c r="J170" s="22"/>
      <c r="K170" s="22"/>
      <c r="L170" s="22"/>
      <c r="M170" s="22"/>
      <c r="N170" s="22"/>
      <c r="O170" s="22"/>
      <c r="P170" s="22"/>
      <c r="Q170" s="22"/>
      <c r="R170" s="22"/>
      <c r="S170" s="22"/>
      <c r="T170" s="22"/>
      <c r="U170" s="2"/>
      <c r="V170" s="2"/>
      <c r="W170" s="2"/>
      <c r="X170" s="2"/>
      <c r="Y170" s="2"/>
      <c r="Z170" s="2"/>
    </row>
    <row r="171" spans="1:26" ht="12.75">
      <c r="A171" s="22"/>
      <c r="B171" s="22"/>
      <c r="C171" s="22"/>
      <c r="D171" s="22"/>
      <c r="E171" s="22"/>
      <c r="F171" s="22"/>
      <c r="G171" s="22"/>
      <c r="H171" s="22"/>
      <c r="I171" s="22"/>
      <c r="J171" s="22"/>
      <c r="K171" s="22"/>
      <c r="L171" s="22"/>
      <c r="M171" s="22"/>
      <c r="N171" s="22"/>
      <c r="O171" s="22"/>
      <c r="P171" s="22"/>
      <c r="Q171" s="22"/>
      <c r="R171" s="22"/>
      <c r="S171" s="22"/>
      <c r="T171" s="22"/>
      <c r="U171" s="2"/>
      <c r="V171" s="2"/>
      <c r="W171" s="2"/>
      <c r="X171" s="2"/>
      <c r="Y171" s="2"/>
      <c r="Z171" s="2"/>
    </row>
    <row r="172" spans="1:26" ht="12.75">
      <c r="A172" s="22"/>
      <c r="B172" s="22"/>
      <c r="C172" s="22"/>
      <c r="D172" s="22"/>
      <c r="E172" s="22"/>
      <c r="F172" s="22"/>
      <c r="G172" s="22"/>
      <c r="H172" s="22"/>
      <c r="I172" s="22"/>
      <c r="J172" s="22"/>
      <c r="K172" s="22"/>
      <c r="L172" s="22"/>
      <c r="M172" s="22"/>
      <c r="N172" s="22"/>
      <c r="O172" s="22"/>
      <c r="P172" s="22"/>
      <c r="Q172" s="22"/>
      <c r="R172" s="22"/>
      <c r="S172" s="22"/>
      <c r="T172" s="22"/>
      <c r="U172" s="2"/>
      <c r="V172" s="2"/>
      <c r="W172" s="2"/>
      <c r="X172" s="2"/>
      <c r="Y172" s="2"/>
      <c r="Z172" s="2"/>
    </row>
    <row r="173" spans="1:26" ht="12.75">
      <c r="A173" s="22"/>
      <c r="B173" s="22"/>
      <c r="C173" s="22"/>
      <c r="D173" s="22"/>
      <c r="E173" s="22"/>
      <c r="F173" s="22"/>
      <c r="G173" s="22"/>
      <c r="H173" s="22"/>
      <c r="I173" s="22"/>
      <c r="J173" s="22"/>
      <c r="K173" s="22"/>
      <c r="L173" s="22"/>
      <c r="M173" s="22"/>
      <c r="N173" s="22"/>
      <c r="O173" s="22"/>
      <c r="P173" s="22"/>
      <c r="Q173" s="22"/>
      <c r="R173" s="22"/>
      <c r="S173" s="22"/>
      <c r="T173" s="22"/>
      <c r="U173" s="2"/>
      <c r="V173" s="2"/>
      <c r="W173" s="2"/>
      <c r="X173" s="2"/>
      <c r="Y173" s="2"/>
      <c r="Z173" s="2"/>
    </row>
    <row r="174" spans="1:26" ht="12.75">
      <c r="A174" s="22"/>
      <c r="B174" s="22"/>
      <c r="C174" s="22"/>
      <c r="D174" s="22"/>
      <c r="E174" s="22"/>
      <c r="F174" s="22"/>
      <c r="G174" s="22"/>
      <c r="H174" s="22"/>
      <c r="I174" s="22"/>
      <c r="J174" s="22"/>
      <c r="K174" s="22"/>
      <c r="L174" s="22"/>
      <c r="M174" s="22"/>
      <c r="N174" s="22"/>
      <c r="O174" s="22"/>
      <c r="P174" s="22"/>
      <c r="Q174" s="22"/>
      <c r="R174" s="22"/>
      <c r="S174" s="22"/>
      <c r="T174" s="22"/>
      <c r="U174" s="2"/>
      <c r="V174" s="2"/>
      <c r="W174" s="2"/>
      <c r="X174" s="2"/>
      <c r="Y174" s="2"/>
      <c r="Z174" s="2"/>
    </row>
    <row r="175" spans="1:26" ht="12.75">
      <c r="A175" s="22"/>
      <c r="B175" s="22"/>
      <c r="C175" s="22"/>
      <c r="D175" s="22"/>
      <c r="E175" s="22"/>
      <c r="F175" s="22"/>
      <c r="G175" s="22"/>
      <c r="H175" s="22"/>
      <c r="I175" s="22"/>
      <c r="J175" s="22"/>
      <c r="K175" s="22"/>
      <c r="L175" s="22"/>
      <c r="M175" s="22"/>
      <c r="N175" s="22"/>
      <c r="O175" s="22"/>
      <c r="P175" s="22"/>
      <c r="Q175" s="22"/>
      <c r="R175" s="22"/>
      <c r="S175" s="22"/>
      <c r="T175" s="22"/>
      <c r="U175" s="2"/>
      <c r="V175" s="2"/>
      <c r="W175" s="2"/>
      <c r="X175" s="2"/>
      <c r="Y175" s="2"/>
      <c r="Z175" s="2"/>
    </row>
    <row r="176" spans="1:26" ht="12.75">
      <c r="A176" s="22"/>
      <c r="B176" s="22"/>
      <c r="C176" s="22"/>
      <c r="D176" s="22"/>
      <c r="E176" s="22"/>
      <c r="F176" s="22"/>
      <c r="G176" s="22"/>
      <c r="H176" s="22"/>
      <c r="I176" s="22"/>
      <c r="J176" s="22"/>
      <c r="K176" s="22"/>
      <c r="L176" s="22"/>
      <c r="M176" s="22"/>
      <c r="N176" s="22"/>
      <c r="O176" s="22"/>
      <c r="P176" s="22"/>
      <c r="Q176" s="22"/>
      <c r="R176" s="22"/>
      <c r="S176" s="22"/>
      <c r="T176" s="22"/>
      <c r="U176" s="2"/>
      <c r="V176" s="2"/>
      <c r="W176" s="2"/>
      <c r="X176" s="2"/>
      <c r="Y176" s="2"/>
      <c r="Z176" s="2"/>
    </row>
    <row r="177" spans="1:26" ht="12.75">
      <c r="A177" s="22"/>
      <c r="B177" s="22"/>
      <c r="C177" s="22"/>
      <c r="D177" s="22"/>
      <c r="E177" s="22"/>
      <c r="F177" s="22"/>
      <c r="G177" s="22"/>
      <c r="H177" s="22"/>
      <c r="I177" s="22"/>
      <c r="J177" s="22"/>
      <c r="K177" s="22"/>
      <c r="L177" s="22"/>
      <c r="M177" s="22"/>
      <c r="N177" s="22"/>
      <c r="O177" s="22"/>
      <c r="P177" s="22"/>
      <c r="Q177" s="22"/>
      <c r="R177" s="22"/>
      <c r="S177" s="22"/>
      <c r="T177" s="22"/>
      <c r="U177" s="2"/>
      <c r="V177" s="2"/>
      <c r="W177" s="2"/>
      <c r="X177" s="2"/>
      <c r="Y177" s="2"/>
      <c r="Z177" s="2"/>
    </row>
    <row r="178" spans="1:26" ht="12.75">
      <c r="A178" s="22"/>
      <c r="B178" s="22"/>
      <c r="C178" s="22"/>
      <c r="D178" s="22"/>
      <c r="E178" s="22"/>
      <c r="F178" s="22"/>
      <c r="G178" s="22"/>
      <c r="H178" s="22"/>
      <c r="I178" s="22"/>
      <c r="J178" s="22"/>
      <c r="K178" s="22"/>
      <c r="L178" s="22"/>
      <c r="M178" s="22"/>
      <c r="N178" s="22"/>
      <c r="O178" s="22"/>
      <c r="P178" s="22"/>
      <c r="Q178" s="22"/>
      <c r="R178" s="22"/>
      <c r="S178" s="22"/>
      <c r="T178" s="22"/>
      <c r="U178" s="2"/>
      <c r="V178" s="2"/>
      <c r="W178" s="2"/>
      <c r="X178" s="2"/>
      <c r="Y178" s="2"/>
      <c r="Z178" s="2"/>
    </row>
    <row r="179" spans="1:26" ht="12.75">
      <c r="A179" s="22"/>
      <c r="B179" s="22"/>
      <c r="C179" s="22"/>
      <c r="D179" s="22"/>
      <c r="E179" s="22"/>
      <c r="F179" s="22"/>
      <c r="G179" s="22"/>
      <c r="H179" s="22"/>
      <c r="I179" s="22"/>
      <c r="J179" s="22"/>
      <c r="K179" s="22"/>
      <c r="L179" s="22"/>
      <c r="M179" s="22"/>
      <c r="N179" s="22"/>
      <c r="O179" s="22"/>
      <c r="P179" s="22"/>
      <c r="Q179" s="22"/>
      <c r="R179" s="22"/>
      <c r="S179" s="22"/>
      <c r="T179" s="22"/>
      <c r="U179" s="2"/>
      <c r="V179" s="2"/>
      <c r="W179" s="2"/>
      <c r="X179" s="2"/>
      <c r="Y179" s="2"/>
      <c r="Z179" s="2"/>
    </row>
    <row r="180" spans="1:26" ht="12.75">
      <c r="A180" s="22"/>
      <c r="B180" s="22"/>
      <c r="C180" s="22"/>
      <c r="D180" s="22"/>
      <c r="E180" s="22"/>
      <c r="F180" s="22"/>
      <c r="G180" s="22"/>
      <c r="H180" s="22"/>
      <c r="I180" s="22"/>
      <c r="J180" s="22"/>
      <c r="K180" s="22"/>
      <c r="L180" s="22"/>
      <c r="M180" s="22"/>
      <c r="N180" s="22"/>
      <c r="O180" s="22"/>
      <c r="P180" s="22"/>
      <c r="Q180" s="22"/>
      <c r="R180" s="22"/>
      <c r="S180" s="22"/>
      <c r="T180" s="22"/>
      <c r="U180" s="2"/>
      <c r="V180" s="2"/>
      <c r="W180" s="2"/>
      <c r="X180" s="2"/>
      <c r="Y180" s="2"/>
      <c r="Z180" s="2"/>
    </row>
    <row r="181" spans="1:26" ht="12.75">
      <c r="A181" s="22"/>
      <c r="B181" s="22"/>
      <c r="C181" s="22"/>
      <c r="D181" s="22"/>
      <c r="E181" s="22"/>
      <c r="F181" s="22"/>
      <c r="G181" s="22"/>
      <c r="H181" s="22"/>
      <c r="I181" s="22"/>
      <c r="J181" s="22"/>
      <c r="K181" s="22"/>
      <c r="L181" s="22"/>
      <c r="M181" s="22"/>
      <c r="N181" s="22"/>
      <c r="O181" s="22"/>
      <c r="P181" s="22"/>
      <c r="Q181" s="22"/>
      <c r="R181" s="22"/>
      <c r="S181" s="22"/>
      <c r="T181" s="22"/>
      <c r="U181" s="2"/>
      <c r="V181" s="2"/>
      <c r="W181" s="2"/>
      <c r="X181" s="2"/>
      <c r="Y181" s="2"/>
      <c r="Z181" s="2"/>
    </row>
    <row r="182" spans="1:26" ht="12.75">
      <c r="A182" s="22"/>
      <c r="B182" s="22"/>
      <c r="C182" s="22"/>
      <c r="D182" s="22"/>
      <c r="E182" s="22"/>
      <c r="F182" s="22"/>
      <c r="G182" s="22"/>
      <c r="H182" s="22"/>
      <c r="I182" s="22"/>
      <c r="J182" s="22"/>
      <c r="K182" s="22"/>
      <c r="L182" s="22"/>
      <c r="M182" s="22"/>
      <c r="N182" s="22"/>
      <c r="O182" s="22"/>
      <c r="P182" s="22"/>
      <c r="Q182" s="22"/>
      <c r="R182" s="22"/>
      <c r="S182" s="22"/>
      <c r="T182" s="22"/>
      <c r="U182" s="2"/>
      <c r="V182" s="2"/>
      <c r="W182" s="2"/>
      <c r="X182" s="2"/>
      <c r="Y182" s="2"/>
      <c r="Z182" s="2"/>
    </row>
    <row r="183" spans="1:26" ht="12.75">
      <c r="A183" s="22"/>
      <c r="B183" s="22"/>
      <c r="C183" s="22"/>
      <c r="D183" s="22"/>
      <c r="E183" s="22"/>
      <c r="F183" s="22"/>
      <c r="G183" s="22"/>
      <c r="H183" s="22"/>
      <c r="I183" s="22"/>
      <c r="J183" s="22"/>
      <c r="K183" s="22"/>
      <c r="L183" s="22"/>
      <c r="M183" s="22"/>
      <c r="N183" s="22"/>
      <c r="O183" s="22"/>
      <c r="P183" s="22"/>
      <c r="Q183" s="22"/>
      <c r="R183" s="22"/>
      <c r="S183" s="22"/>
      <c r="T183" s="22"/>
      <c r="U183" s="2"/>
      <c r="V183" s="2"/>
      <c r="W183" s="2"/>
      <c r="X183" s="2"/>
      <c r="Y183" s="2"/>
      <c r="Z183" s="2"/>
    </row>
    <row r="184" spans="1:26" ht="12.75">
      <c r="A184" s="22"/>
      <c r="B184" s="22"/>
      <c r="C184" s="22"/>
      <c r="D184" s="22"/>
      <c r="E184" s="22"/>
      <c r="F184" s="22"/>
      <c r="G184" s="22"/>
      <c r="H184" s="22"/>
      <c r="I184" s="22"/>
      <c r="J184" s="22"/>
      <c r="K184" s="22"/>
      <c r="L184" s="22"/>
      <c r="M184" s="22"/>
      <c r="N184" s="22"/>
      <c r="O184" s="22"/>
      <c r="P184" s="22"/>
      <c r="Q184" s="22"/>
      <c r="R184" s="22"/>
      <c r="S184" s="22"/>
      <c r="T184" s="22"/>
      <c r="U184" s="2"/>
      <c r="V184" s="2"/>
      <c r="W184" s="2"/>
      <c r="X184" s="2"/>
      <c r="Y184" s="2"/>
      <c r="Z184" s="2"/>
    </row>
    <row r="185" spans="1:26" ht="12.75">
      <c r="A185" s="22"/>
      <c r="B185" s="22"/>
      <c r="C185" s="22"/>
      <c r="D185" s="22"/>
      <c r="E185" s="22"/>
      <c r="F185" s="22"/>
      <c r="G185" s="22"/>
      <c r="H185" s="22"/>
      <c r="I185" s="22"/>
      <c r="J185" s="22"/>
      <c r="K185" s="22"/>
      <c r="L185" s="22"/>
      <c r="M185" s="22"/>
      <c r="N185" s="22"/>
      <c r="O185" s="22"/>
      <c r="P185" s="22"/>
      <c r="Q185" s="22"/>
      <c r="R185" s="22"/>
      <c r="S185" s="22"/>
      <c r="T185" s="22"/>
      <c r="U185" s="2"/>
      <c r="V185" s="2"/>
      <c r="W185" s="2"/>
      <c r="X185" s="2"/>
      <c r="Y185" s="2"/>
      <c r="Z185" s="2"/>
    </row>
    <row r="186" spans="1:26" ht="12.75">
      <c r="A186" s="22"/>
      <c r="B186" s="22"/>
      <c r="C186" s="22"/>
      <c r="D186" s="22"/>
      <c r="E186" s="22"/>
      <c r="F186" s="22"/>
      <c r="G186" s="22"/>
      <c r="H186" s="22"/>
      <c r="I186" s="22"/>
      <c r="J186" s="22"/>
      <c r="K186" s="22"/>
      <c r="L186" s="22"/>
      <c r="M186" s="22"/>
      <c r="N186" s="22"/>
      <c r="O186" s="22"/>
      <c r="P186" s="22"/>
      <c r="Q186" s="22"/>
      <c r="R186" s="22"/>
      <c r="S186" s="22"/>
      <c r="T186" s="22"/>
      <c r="U186" s="2"/>
      <c r="V186" s="2"/>
      <c r="W186" s="2"/>
      <c r="X186" s="2"/>
      <c r="Y186" s="2"/>
      <c r="Z186" s="2"/>
    </row>
    <row r="187" spans="1:26" ht="12.75">
      <c r="A187" s="22"/>
      <c r="B187" s="22"/>
      <c r="C187" s="22"/>
      <c r="D187" s="22"/>
      <c r="E187" s="22"/>
      <c r="F187" s="22"/>
      <c r="G187" s="22"/>
      <c r="H187" s="22"/>
      <c r="I187" s="22"/>
      <c r="J187" s="22"/>
      <c r="K187" s="22"/>
      <c r="L187" s="22"/>
      <c r="M187" s="22"/>
      <c r="N187" s="22"/>
      <c r="O187" s="22"/>
      <c r="P187" s="22"/>
      <c r="Q187" s="22"/>
      <c r="R187" s="22"/>
      <c r="S187" s="22"/>
      <c r="T187" s="22"/>
      <c r="U187" s="2"/>
      <c r="V187" s="2"/>
      <c r="W187" s="2"/>
      <c r="X187" s="2"/>
      <c r="Y187" s="2"/>
      <c r="Z187" s="2"/>
    </row>
    <row r="188" spans="1:26" ht="12.75">
      <c r="A188" s="22"/>
      <c r="B188" s="22"/>
      <c r="C188" s="22"/>
      <c r="D188" s="22"/>
      <c r="E188" s="22"/>
      <c r="F188" s="22"/>
      <c r="G188" s="22"/>
      <c r="H188" s="22"/>
      <c r="I188" s="22"/>
      <c r="J188" s="22"/>
      <c r="K188" s="22"/>
      <c r="L188" s="22"/>
      <c r="M188" s="22"/>
      <c r="N188" s="22"/>
      <c r="O188" s="22"/>
      <c r="P188" s="22"/>
      <c r="Q188" s="22"/>
      <c r="R188" s="22"/>
      <c r="S188" s="22"/>
      <c r="T188" s="22"/>
      <c r="U188" s="2"/>
      <c r="V188" s="2"/>
      <c r="W188" s="2"/>
      <c r="X188" s="2"/>
      <c r="Y188" s="2"/>
      <c r="Z188" s="2"/>
    </row>
    <row r="189" spans="1:26" ht="12.75">
      <c r="A189" s="22"/>
      <c r="B189" s="22"/>
      <c r="C189" s="22"/>
      <c r="D189" s="22"/>
      <c r="E189" s="22"/>
      <c r="F189" s="22"/>
      <c r="G189" s="22"/>
      <c r="H189" s="22"/>
      <c r="I189" s="22"/>
      <c r="J189" s="22"/>
      <c r="K189" s="22"/>
      <c r="L189" s="22"/>
      <c r="M189" s="22"/>
      <c r="N189" s="22"/>
      <c r="O189" s="22"/>
      <c r="P189" s="22"/>
      <c r="Q189" s="22"/>
      <c r="R189" s="22"/>
      <c r="S189" s="22"/>
      <c r="T189" s="22"/>
      <c r="U189" s="2"/>
      <c r="V189" s="2"/>
      <c r="W189" s="2"/>
      <c r="X189" s="2"/>
      <c r="Y189" s="2"/>
      <c r="Z189" s="2"/>
    </row>
    <row r="190" spans="1:26" ht="12.75">
      <c r="A190" s="22"/>
      <c r="B190" s="22"/>
      <c r="C190" s="22"/>
      <c r="D190" s="22"/>
      <c r="E190" s="22"/>
      <c r="F190" s="22"/>
      <c r="G190" s="22"/>
      <c r="H190" s="22"/>
      <c r="I190" s="22"/>
      <c r="J190" s="22"/>
      <c r="K190" s="22"/>
      <c r="L190" s="22"/>
      <c r="M190" s="22"/>
      <c r="N190" s="22"/>
      <c r="O190" s="22"/>
      <c r="P190" s="22"/>
      <c r="Q190" s="22"/>
      <c r="R190" s="22"/>
      <c r="S190" s="22"/>
      <c r="T190" s="22"/>
      <c r="U190" s="2"/>
      <c r="V190" s="2"/>
      <c r="W190" s="2"/>
      <c r="X190" s="2"/>
      <c r="Y190" s="2"/>
      <c r="Z190" s="2"/>
    </row>
    <row r="191" spans="1:26" ht="12.75">
      <c r="A191" s="22"/>
      <c r="B191" s="22"/>
      <c r="C191" s="22"/>
      <c r="D191" s="22"/>
      <c r="E191" s="22"/>
      <c r="F191" s="22"/>
      <c r="G191" s="22"/>
      <c r="H191" s="22"/>
      <c r="I191" s="22"/>
      <c r="J191" s="22"/>
      <c r="K191" s="22"/>
      <c r="L191" s="22"/>
      <c r="M191" s="22"/>
      <c r="N191" s="22"/>
      <c r="O191" s="22"/>
      <c r="P191" s="22"/>
      <c r="Q191" s="22"/>
      <c r="R191" s="22"/>
      <c r="S191" s="22"/>
      <c r="T191" s="22"/>
      <c r="U191" s="2"/>
      <c r="V191" s="2"/>
      <c r="W191" s="2"/>
      <c r="X191" s="2"/>
      <c r="Y191" s="2"/>
      <c r="Z191" s="2"/>
    </row>
    <row r="192" spans="1:26" ht="12.75">
      <c r="A192" s="22"/>
      <c r="B192" s="22"/>
      <c r="C192" s="22"/>
      <c r="D192" s="22"/>
      <c r="E192" s="22"/>
      <c r="F192" s="22"/>
      <c r="G192" s="22"/>
      <c r="H192" s="22"/>
      <c r="I192" s="22"/>
      <c r="J192" s="22"/>
      <c r="K192" s="22"/>
      <c r="L192" s="22"/>
      <c r="M192" s="22"/>
      <c r="N192" s="22"/>
      <c r="O192" s="22"/>
      <c r="P192" s="22"/>
      <c r="Q192" s="22"/>
      <c r="R192" s="22"/>
      <c r="S192" s="22"/>
      <c r="T192" s="22"/>
      <c r="U192" s="2"/>
      <c r="V192" s="2"/>
      <c r="W192" s="2"/>
      <c r="X192" s="2"/>
      <c r="Y192" s="2"/>
      <c r="Z192" s="2"/>
    </row>
    <row r="193" spans="1:26" ht="12.75">
      <c r="A193" s="22"/>
      <c r="B193" s="22"/>
      <c r="C193" s="22"/>
      <c r="D193" s="22"/>
      <c r="E193" s="22"/>
      <c r="F193" s="22"/>
      <c r="G193" s="22"/>
      <c r="H193" s="22"/>
      <c r="I193" s="22"/>
      <c r="J193" s="22"/>
      <c r="K193" s="22"/>
      <c r="L193" s="22"/>
      <c r="M193" s="22"/>
      <c r="N193" s="22"/>
      <c r="O193" s="22"/>
      <c r="P193" s="22"/>
      <c r="Q193" s="22"/>
      <c r="R193" s="22"/>
      <c r="S193" s="22"/>
      <c r="T193" s="22"/>
      <c r="U193" s="2"/>
      <c r="V193" s="2"/>
      <c r="W193" s="2"/>
      <c r="X193" s="2"/>
      <c r="Y193" s="2"/>
      <c r="Z193" s="2"/>
    </row>
    <row r="194" spans="1:26" ht="12.75">
      <c r="A194" s="22"/>
      <c r="B194" s="22"/>
      <c r="C194" s="22"/>
      <c r="D194" s="22"/>
      <c r="E194" s="22"/>
      <c r="F194" s="22"/>
      <c r="G194" s="22"/>
      <c r="H194" s="22"/>
      <c r="I194" s="22"/>
      <c r="J194" s="22"/>
      <c r="K194" s="22"/>
      <c r="L194" s="22"/>
      <c r="M194" s="22"/>
      <c r="N194" s="22"/>
      <c r="O194" s="22"/>
      <c r="P194" s="22"/>
      <c r="Q194" s="22"/>
      <c r="R194" s="22"/>
      <c r="S194" s="22"/>
      <c r="T194" s="22"/>
      <c r="U194" s="2"/>
      <c r="V194" s="2"/>
      <c r="W194" s="2"/>
      <c r="X194" s="2"/>
      <c r="Y194" s="2"/>
      <c r="Z194" s="2"/>
    </row>
    <row r="195" spans="1:26" ht="12.75">
      <c r="A195" s="22"/>
      <c r="B195" s="22"/>
      <c r="C195" s="22"/>
      <c r="D195" s="22"/>
      <c r="E195" s="22"/>
      <c r="F195" s="22"/>
      <c r="G195" s="22"/>
      <c r="H195" s="22"/>
      <c r="I195" s="22"/>
      <c r="J195" s="22"/>
      <c r="K195" s="22"/>
      <c r="L195" s="22"/>
      <c r="M195" s="22"/>
      <c r="N195" s="22"/>
      <c r="O195" s="22"/>
      <c r="P195" s="22"/>
      <c r="Q195" s="22"/>
      <c r="R195" s="22"/>
      <c r="S195" s="22"/>
      <c r="T195" s="22"/>
      <c r="U195" s="2"/>
      <c r="V195" s="2"/>
      <c r="W195" s="2"/>
      <c r="X195" s="2"/>
      <c r="Y195" s="2"/>
      <c r="Z195" s="2"/>
    </row>
    <row r="196" spans="1:26" ht="12.75">
      <c r="A196" s="22"/>
      <c r="B196" s="22"/>
      <c r="C196" s="22"/>
      <c r="D196" s="22"/>
      <c r="E196" s="22"/>
      <c r="F196" s="22"/>
      <c r="G196" s="22"/>
      <c r="H196" s="22"/>
      <c r="I196" s="22"/>
      <c r="J196" s="22"/>
      <c r="K196" s="22"/>
      <c r="L196" s="22"/>
      <c r="M196" s="22"/>
      <c r="N196" s="22"/>
      <c r="O196" s="22"/>
      <c r="P196" s="22"/>
      <c r="Q196" s="22"/>
      <c r="R196" s="22"/>
      <c r="S196" s="22"/>
      <c r="T196" s="22"/>
      <c r="U196" s="2"/>
      <c r="V196" s="2"/>
      <c r="W196" s="2"/>
      <c r="X196" s="2"/>
      <c r="Y196" s="2"/>
      <c r="Z196" s="2"/>
    </row>
    <row r="197" spans="1:26" ht="12.75">
      <c r="A197" s="22"/>
      <c r="B197" s="22"/>
      <c r="C197" s="22"/>
      <c r="D197" s="22"/>
      <c r="E197" s="22"/>
      <c r="F197" s="22"/>
      <c r="G197" s="22"/>
      <c r="H197" s="22"/>
      <c r="I197" s="22"/>
      <c r="J197" s="22"/>
      <c r="K197" s="22"/>
      <c r="L197" s="22"/>
      <c r="M197" s="22"/>
      <c r="N197" s="22"/>
      <c r="O197" s="22"/>
      <c r="P197" s="22"/>
      <c r="Q197" s="22"/>
      <c r="R197" s="22"/>
      <c r="S197" s="22"/>
      <c r="T197" s="22"/>
      <c r="U197" s="2"/>
      <c r="V197" s="2"/>
      <c r="W197" s="2"/>
      <c r="X197" s="2"/>
      <c r="Y197" s="2"/>
      <c r="Z197" s="2"/>
    </row>
    <row r="198" spans="1:26" ht="12.75">
      <c r="A198" s="22"/>
      <c r="B198" s="22"/>
      <c r="C198" s="22"/>
      <c r="D198" s="22"/>
      <c r="E198" s="22"/>
      <c r="F198" s="22"/>
      <c r="G198" s="22"/>
      <c r="H198" s="22"/>
      <c r="I198" s="22"/>
      <c r="J198" s="22"/>
      <c r="K198" s="22"/>
      <c r="L198" s="22"/>
      <c r="M198" s="22"/>
      <c r="N198" s="22"/>
      <c r="O198" s="22"/>
      <c r="P198" s="22"/>
      <c r="Q198" s="22"/>
      <c r="R198" s="22"/>
      <c r="S198" s="22"/>
      <c r="T198" s="22"/>
      <c r="U198" s="2"/>
      <c r="V198" s="2"/>
      <c r="W198" s="2"/>
      <c r="X198" s="2"/>
      <c r="Y198" s="2"/>
      <c r="Z198" s="2"/>
    </row>
    <row r="199" spans="1:26" ht="12.75">
      <c r="A199" s="22"/>
      <c r="B199" s="22"/>
      <c r="C199" s="22"/>
      <c r="D199" s="22"/>
      <c r="E199" s="22"/>
      <c r="F199" s="22"/>
      <c r="G199" s="22"/>
      <c r="H199" s="22"/>
      <c r="I199" s="22"/>
      <c r="J199" s="22"/>
      <c r="K199" s="22"/>
      <c r="L199" s="22"/>
      <c r="M199" s="22"/>
      <c r="N199" s="22"/>
      <c r="O199" s="22"/>
      <c r="P199" s="22"/>
      <c r="Q199" s="22"/>
      <c r="R199" s="22"/>
      <c r="S199" s="22"/>
      <c r="T199" s="22"/>
      <c r="U199" s="2"/>
      <c r="V199" s="2"/>
      <c r="W199" s="2"/>
      <c r="X199" s="2"/>
      <c r="Y199" s="2"/>
      <c r="Z199" s="2"/>
    </row>
    <row r="200" spans="1:26" ht="12.75">
      <c r="A200" s="22"/>
      <c r="B200" s="22"/>
      <c r="C200" s="22"/>
      <c r="D200" s="22"/>
      <c r="E200" s="22"/>
      <c r="F200" s="22"/>
      <c r="G200" s="22"/>
      <c r="H200" s="22"/>
      <c r="I200" s="22"/>
      <c r="J200" s="22"/>
      <c r="K200" s="22"/>
      <c r="L200" s="22"/>
      <c r="M200" s="22"/>
      <c r="N200" s="22"/>
      <c r="O200" s="22"/>
      <c r="P200" s="22"/>
      <c r="Q200" s="22"/>
      <c r="R200" s="22"/>
      <c r="S200" s="22"/>
      <c r="T200" s="22"/>
      <c r="U200" s="2"/>
      <c r="V200" s="2"/>
      <c r="W200" s="2"/>
      <c r="X200" s="2"/>
      <c r="Y200" s="2"/>
      <c r="Z200" s="2"/>
    </row>
    <row r="201" spans="1:26" ht="12.75">
      <c r="A201" s="22"/>
      <c r="B201" s="22"/>
      <c r="C201" s="22"/>
      <c r="D201" s="22"/>
      <c r="E201" s="22"/>
      <c r="F201" s="22"/>
      <c r="G201" s="22"/>
      <c r="H201" s="22"/>
      <c r="I201" s="22"/>
      <c r="J201" s="22"/>
      <c r="K201" s="22"/>
      <c r="L201" s="22"/>
      <c r="M201" s="22"/>
      <c r="N201" s="22"/>
      <c r="O201" s="22"/>
      <c r="P201" s="22"/>
      <c r="Q201" s="22"/>
      <c r="R201" s="22"/>
      <c r="S201" s="22"/>
      <c r="T201" s="22"/>
      <c r="U201" s="2"/>
      <c r="V201" s="2"/>
      <c r="W201" s="2"/>
      <c r="X201" s="2"/>
      <c r="Y201" s="2"/>
      <c r="Z201" s="2"/>
    </row>
    <row r="202" spans="1:26" ht="12.75">
      <c r="A202" s="22"/>
      <c r="B202" s="22"/>
      <c r="C202" s="22"/>
      <c r="D202" s="22"/>
      <c r="E202" s="22"/>
      <c r="F202" s="22"/>
      <c r="G202" s="22"/>
      <c r="H202" s="22"/>
      <c r="I202" s="22"/>
      <c r="J202" s="22"/>
      <c r="K202" s="22"/>
      <c r="L202" s="22"/>
      <c r="M202" s="22"/>
      <c r="N202" s="22"/>
      <c r="O202" s="22"/>
      <c r="P202" s="22"/>
      <c r="Q202" s="22"/>
      <c r="R202" s="22"/>
      <c r="S202" s="22"/>
      <c r="T202" s="22"/>
      <c r="U202" s="2"/>
      <c r="V202" s="2"/>
      <c r="W202" s="2"/>
      <c r="X202" s="2"/>
      <c r="Y202" s="2"/>
      <c r="Z202" s="2"/>
    </row>
    <row r="203" spans="1:26" ht="12.75">
      <c r="A203" s="22"/>
      <c r="B203" s="22"/>
      <c r="C203" s="22"/>
      <c r="D203" s="22"/>
      <c r="E203" s="22"/>
      <c r="F203" s="22"/>
      <c r="G203" s="22"/>
      <c r="H203" s="22"/>
      <c r="I203" s="22"/>
      <c r="J203" s="22"/>
      <c r="K203" s="22"/>
      <c r="L203" s="22"/>
      <c r="M203" s="22"/>
      <c r="N203" s="22"/>
      <c r="O203" s="22"/>
      <c r="P203" s="22"/>
      <c r="Q203" s="22"/>
      <c r="R203" s="22"/>
      <c r="S203" s="22"/>
      <c r="T203" s="22"/>
      <c r="U203" s="2"/>
      <c r="V203" s="2"/>
      <c r="W203" s="2"/>
      <c r="X203" s="2"/>
      <c r="Y203" s="2"/>
      <c r="Z203" s="2"/>
    </row>
    <row r="204" spans="1:26" ht="12.75">
      <c r="A204" s="22"/>
      <c r="B204" s="22"/>
      <c r="C204" s="22"/>
      <c r="D204" s="22"/>
      <c r="E204" s="22"/>
      <c r="F204" s="22"/>
      <c r="G204" s="22"/>
      <c r="H204" s="22"/>
      <c r="I204" s="22"/>
      <c r="J204" s="22"/>
      <c r="K204" s="22"/>
      <c r="L204" s="22"/>
      <c r="M204" s="22"/>
      <c r="N204" s="22"/>
      <c r="O204" s="22"/>
      <c r="P204" s="22"/>
      <c r="Q204" s="22"/>
      <c r="R204" s="22"/>
      <c r="S204" s="22"/>
      <c r="T204" s="22"/>
      <c r="U204" s="2"/>
      <c r="V204" s="2"/>
      <c r="W204" s="2"/>
      <c r="X204" s="2"/>
      <c r="Y204" s="2"/>
      <c r="Z204" s="2"/>
    </row>
    <row r="205" spans="1:26" ht="12.75">
      <c r="A205" s="22"/>
      <c r="B205" s="22"/>
      <c r="C205" s="22"/>
      <c r="D205" s="22"/>
      <c r="E205" s="22"/>
      <c r="F205" s="22"/>
      <c r="G205" s="22"/>
      <c r="H205" s="22"/>
      <c r="I205" s="22"/>
      <c r="J205" s="22"/>
      <c r="K205" s="22"/>
      <c r="L205" s="22"/>
      <c r="M205" s="22"/>
      <c r="N205" s="22"/>
      <c r="O205" s="22"/>
      <c r="P205" s="22"/>
      <c r="Q205" s="22"/>
      <c r="R205" s="22"/>
      <c r="S205" s="22"/>
      <c r="T205" s="22"/>
      <c r="U205" s="2"/>
      <c r="V205" s="2"/>
      <c r="W205" s="2"/>
      <c r="X205" s="2"/>
      <c r="Y205" s="2"/>
      <c r="Z205" s="2"/>
    </row>
    <row r="206" spans="1:26" ht="12.75">
      <c r="A206" s="22"/>
      <c r="B206" s="22"/>
      <c r="C206" s="22"/>
      <c r="D206" s="22"/>
      <c r="E206" s="22"/>
      <c r="F206" s="22"/>
      <c r="G206" s="22"/>
      <c r="H206" s="22"/>
      <c r="I206" s="22"/>
      <c r="J206" s="22"/>
      <c r="K206" s="22"/>
      <c r="L206" s="22"/>
      <c r="M206" s="22"/>
      <c r="N206" s="22"/>
      <c r="O206" s="22"/>
      <c r="P206" s="22"/>
      <c r="Q206" s="22"/>
      <c r="R206" s="22"/>
      <c r="S206" s="22"/>
      <c r="T206" s="22"/>
      <c r="U206" s="2"/>
      <c r="V206" s="2"/>
      <c r="W206" s="2"/>
      <c r="X206" s="2"/>
      <c r="Y206" s="2"/>
      <c r="Z206" s="2"/>
    </row>
    <row r="207" spans="1:26" ht="12.75">
      <c r="A207" s="22"/>
      <c r="B207" s="22"/>
      <c r="C207" s="22"/>
      <c r="D207" s="22"/>
      <c r="E207" s="22"/>
      <c r="F207" s="22"/>
      <c r="G207" s="22"/>
      <c r="H207" s="22"/>
      <c r="I207" s="22"/>
      <c r="J207" s="22"/>
      <c r="K207" s="22"/>
      <c r="L207" s="22"/>
      <c r="M207" s="22"/>
      <c r="N207" s="22"/>
      <c r="O207" s="22"/>
      <c r="P207" s="22"/>
      <c r="Q207" s="22"/>
      <c r="R207" s="22"/>
      <c r="S207" s="22"/>
      <c r="T207" s="22"/>
      <c r="U207" s="2"/>
      <c r="V207" s="2"/>
      <c r="W207" s="2"/>
      <c r="X207" s="2"/>
      <c r="Y207" s="2"/>
      <c r="Z207" s="2"/>
    </row>
    <row r="208" spans="1:26" ht="12.75">
      <c r="A208" s="22"/>
      <c r="B208" s="22"/>
      <c r="C208" s="22"/>
      <c r="D208" s="22"/>
      <c r="E208" s="22"/>
      <c r="F208" s="22"/>
      <c r="G208" s="22"/>
      <c r="H208" s="22"/>
      <c r="I208" s="22"/>
      <c r="J208" s="22"/>
      <c r="K208" s="22"/>
      <c r="L208" s="22"/>
      <c r="M208" s="22"/>
      <c r="N208" s="22"/>
      <c r="O208" s="22"/>
      <c r="P208" s="22"/>
      <c r="Q208" s="22"/>
      <c r="R208" s="22"/>
      <c r="S208" s="22"/>
      <c r="T208" s="22"/>
      <c r="U208" s="2"/>
      <c r="V208" s="2"/>
      <c r="W208" s="2"/>
      <c r="X208" s="2"/>
      <c r="Y208" s="2"/>
      <c r="Z208" s="2"/>
    </row>
    <row r="209" spans="1:26" ht="12.75">
      <c r="A209" s="22"/>
      <c r="B209" s="22"/>
      <c r="C209" s="22"/>
      <c r="D209" s="22"/>
      <c r="E209" s="22"/>
      <c r="F209" s="22"/>
      <c r="G209" s="22"/>
      <c r="H209" s="22"/>
      <c r="I209" s="22"/>
      <c r="J209" s="22"/>
      <c r="K209" s="22"/>
      <c r="L209" s="22"/>
      <c r="M209" s="22"/>
      <c r="N209" s="22"/>
      <c r="O209" s="22"/>
      <c r="P209" s="22"/>
      <c r="Q209" s="22"/>
      <c r="R209" s="22"/>
      <c r="S209" s="22"/>
      <c r="T209" s="22"/>
      <c r="U209" s="2"/>
      <c r="V209" s="2"/>
      <c r="W209" s="2"/>
      <c r="X209" s="2"/>
      <c r="Y209" s="2"/>
      <c r="Z209" s="2"/>
    </row>
    <row r="210" spans="1:26" ht="12.75">
      <c r="A210" s="22"/>
      <c r="B210" s="22"/>
      <c r="C210" s="22"/>
      <c r="D210" s="22"/>
      <c r="E210" s="22"/>
      <c r="F210" s="22"/>
      <c r="G210" s="22"/>
      <c r="H210" s="22"/>
      <c r="I210" s="22"/>
      <c r="J210" s="22"/>
      <c r="K210" s="22"/>
      <c r="L210" s="22"/>
      <c r="M210" s="22"/>
      <c r="N210" s="22"/>
      <c r="O210" s="22"/>
      <c r="P210" s="22"/>
      <c r="Q210" s="22"/>
      <c r="R210" s="22"/>
      <c r="S210" s="22"/>
      <c r="T210" s="22"/>
      <c r="U210" s="2"/>
      <c r="V210" s="2"/>
      <c r="W210" s="2"/>
      <c r="X210" s="2"/>
      <c r="Y210" s="2"/>
      <c r="Z210" s="2"/>
    </row>
    <row r="211" spans="1:26" ht="12.75">
      <c r="A211" s="22"/>
      <c r="B211" s="22"/>
      <c r="C211" s="22"/>
      <c r="D211" s="22"/>
      <c r="E211" s="22"/>
      <c r="F211" s="22"/>
      <c r="G211" s="22"/>
      <c r="H211" s="22"/>
      <c r="I211" s="22"/>
      <c r="J211" s="22"/>
      <c r="K211" s="22"/>
      <c r="L211" s="22"/>
      <c r="M211" s="22"/>
      <c r="N211" s="22"/>
      <c r="O211" s="22"/>
      <c r="P211" s="22"/>
      <c r="Q211" s="22"/>
      <c r="R211" s="22"/>
      <c r="S211" s="22"/>
      <c r="T211" s="22"/>
      <c r="U211" s="2"/>
      <c r="V211" s="2"/>
      <c r="W211" s="2"/>
      <c r="X211" s="2"/>
      <c r="Y211" s="2"/>
      <c r="Z211" s="2"/>
    </row>
    <row r="212" spans="1:26" ht="12.75">
      <c r="A212" s="22"/>
      <c r="B212" s="22"/>
      <c r="C212" s="22"/>
      <c r="D212" s="22"/>
      <c r="E212" s="22"/>
      <c r="F212" s="22"/>
      <c r="G212" s="22"/>
      <c r="H212" s="22"/>
      <c r="I212" s="22"/>
      <c r="J212" s="22"/>
      <c r="K212" s="22"/>
      <c r="L212" s="22"/>
      <c r="M212" s="22"/>
      <c r="N212" s="22"/>
      <c r="O212" s="22"/>
      <c r="P212" s="22"/>
      <c r="Q212" s="22"/>
      <c r="R212" s="22"/>
      <c r="S212" s="22"/>
      <c r="T212" s="22"/>
      <c r="U212" s="2"/>
      <c r="V212" s="2"/>
      <c r="W212" s="2"/>
      <c r="X212" s="2"/>
      <c r="Y212" s="2"/>
      <c r="Z212" s="2"/>
    </row>
    <row r="213" spans="1:26" ht="12.75">
      <c r="A213" s="22"/>
      <c r="B213" s="22"/>
      <c r="C213" s="22"/>
      <c r="D213" s="22"/>
      <c r="E213" s="22"/>
      <c r="F213" s="22"/>
      <c r="G213" s="22"/>
      <c r="H213" s="22"/>
      <c r="I213" s="22"/>
      <c r="J213" s="22"/>
      <c r="K213" s="22"/>
      <c r="L213" s="22"/>
      <c r="M213" s="22"/>
      <c r="N213" s="22"/>
      <c r="O213" s="22"/>
      <c r="P213" s="22"/>
      <c r="Q213" s="22"/>
      <c r="R213" s="22"/>
      <c r="S213" s="22"/>
      <c r="T213" s="22"/>
      <c r="U213" s="2"/>
      <c r="V213" s="2"/>
      <c r="W213" s="2"/>
      <c r="X213" s="2"/>
      <c r="Y213" s="2"/>
      <c r="Z213" s="2"/>
    </row>
    <row r="214" spans="1:26" ht="12.75">
      <c r="A214" s="22"/>
      <c r="B214" s="22"/>
      <c r="C214" s="22"/>
      <c r="D214" s="22"/>
      <c r="E214" s="22"/>
      <c r="F214" s="22"/>
      <c r="G214" s="22"/>
      <c r="H214" s="22"/>
      <c r="I214" s="22"/>
      <c r="J214" s="22"/>
      <c r="K214" s="22"/>
      <c r="L214" s="22"/>
      <c r="M214" s="22"/>
      <c r="N214" s="22"/>
      <c r="O214" s="22"/>
      <c r="P214" s="22"/>
      <c r="Q214" s="22"/>
      <c r="R214" s="22"/>
      <c r="S214" s="22"/>
      <c r="T214" s="22"/>
      <c r="U214" s="2"/>
      <c r="V214" s="2"/>
      <c r="W214" s="2"/>
      <c r="X214" s="2"/>
      <c r="Y214" s="2"/>
      <c r="Z214" s="2"/>
    </row>
    <row r="215" spans="1:26" ht="12.75">
      <c r="A215" s="22"/>
      <c r="B215" s="22"/>
      <c r="C215" s="22"/>
      <c r="D215" s="22"/>
      <c r="E215" s="22"/>
      <c r="F215" s="22"/>
      <c r="G215" s="22"/>
      <c r="H215" s="22"/>
      <c r="I215" s="22"/>
      <c r="J215" s="22"/>
      <c r="K215" s="22"/>
      <c r="L215" s="22"/>
      <c r="M215" s="22"/>
      <c r="N215" s="22"/>
      <c r="O215" s="22"/>
      <c r="P215" s="22"/>
      <c r="Q215" s="22"/>
      <c r="R215" s="22"/>
      <c r="S215" s="22"/>
      <c r="T215" s="22"/>
      <c r="U215" s="2"/>
      <c r="V215" s="2"/>
      <c r="W215" s="2"/>
      <c r="X215" s="2"/>
      <c r="Y215" s="2"/>
      <c r="Z215" s="2"/>
    </row>
    <row r="216" spans="1:26" ht="12.75">
      <c r="A216" s="22"/>
      <c r="B216" s="22"/>
      <c r="C216" s="22"/>
      <c r="D216" s="22"/>
      <c r="E216" s="22"/>
      <c r="F216" s="22"/>
      <c r="G216" s="22"/>
      <c r="H216" s="22"/>
      <c r="I216" s="22"/>
      <c r="J216" s="22"/>
      <c r="K216" s="22"/>
      <c r="L216" s="22"/>
      <c r="M216" s="22"/>
      <c r="N216" s="22"/>
      <c r="O216" s="22"/>
      <c r="P216" s="22"/>
      <c r="Q216" s="22"/>
      <c r="R216" s="22"/>
      <c r="S216" s="22"/>
      <c r="T216" s="22"/>
      <c r="U216" s="2"/>
      <c r="V216" s="2"/>
      <c r="W216" s="2"/>
      <c r="X216" s="2"/>
      <c r="Y216" s="2"/>
      <c r="Z216" s="2"/>
    </row>
    <row r="217" spans="1:26" ht="12.75">
      <c r="A217" s="22"/>
      <c r="B217" s="22"/>
      <c r="C217" s="22"/>
      <c r="D217" s="22"/>
      <c r="E217" s="22"/>
      <c r="F217" s="22"/>
      <c r="G217" s="22"/>
      <c r="H217" s="22"/>
      <c r="I217" s="22"/>
      <c r="J217" s="22"/>
      <c r="K217" s="22"/>
      <c r="L217" s="22"/>
      <c r="M217" s="22"/>
      <c r="N217" s="22"/>
      <c r="O217" s="22"/>
      <c r="P217" s="22"/>
      <c r="Q217" s="22"/>
      <c r="R217" s="22"/>
      <c r="S217" s="22"/>
      <c r="T217" s="22"/>
      <c r="U217" s="2"/>
      <c r="V217" s="2"/>
      <c r="W217" s="2"/>
      <c r="X217" s="2"/>
      <c r="Y217" s="2"/>
      <c r="Z217" s="2"/>
    </row>
    <row r="218" spans="1:26" ht="12.75">
      <c r="A218" s="22"/>
      <c r="B218" s="22"/>
      <c r="C218" s="22"/>
      <c r="D218" s="22"/>
      <c r="E218" s="22"/>
      <c r="F218" s="22"/>
      <c r="G218" s="22"/>
      <c r="H218" s="22"/>
      <c r="I218" s="22"/>
      <c r="J218" s="22"/>
      <c r="K218" s="22"/>
      <c r="L218" s="22"/>
      <c r="M218" s="22"/>
      <c r="N218" s="22"/>
      <c r="O218" s="22"/>
      <c r="P218" s="22"/>
      <c r="Q218" s="22"/>
      <c r="R218" s="22"/>
      <c r="S218" s="22"/>
      <c r="T218" s="22"/>
      <c r="U218" s="2"/>
      <c r="V218" s="2"/>
      <c r="W218" s="2"/>
      <c r="X218" s="2"/>
      <c r="Y218" s="2"/>
      <c r="Z218" s="2"/>
    </row>
    <row r="219" spans="1:26" ht="12.75">
      <c r="A219" s="22"/>
      <c r="B219" s="22"/>
      <c r="C219" s="22"/>
      <c r="D219" s="22"/>
      <c r="E219" s="22"/>
      <c r="F219" s="22"/>
      <c r="G219" s="22"/>
      <c r="H219" s="22"/>
      <c r="I219" s="22"/>
      <c r="J219" s="22"/>
      <c r="K219" s="22"/>
      <c r="L219" s="22"/>
      <c r="M219" s="22"/>
      <c r="N219" s="22"/>
      <c r="O219" s="22"/>
      <c r="P219" s="22"/>
      <c r="Q219" s="22"/>
      <c r="R219" s="22"/>
      <c r="S219" s="22"/>
      <c r="T219" s="22"/>
      <c r="U219" s="2"/>
      <c r="V219" s="2"/>
      <c r="W219" s="2"/>
      <c r="X219" s="2"/>
      <c r="Y219" s="2"/>
      <c r="Z219" s="2"/>
    </row>
    <row r="220" spans="1:26" ht="12.75">
      <c r="A220" s="22"/>
      <c r="B220" s="22"/>
      <c r="C220" s="22"/>
      <c r="D220" s="22"/>
      <c r="E220" s="22"/>
      <c r="F220" s="22"/>
      <c r="G220" s="22"/>
      <c r="H220" s="22"/>
      <c r="I220" s="22"/>
      <c r="J220" s="22"/>
      <c r="K220" s="22"/>
      <c r="L220" s="22"/>
      <c r="M220" s="22"/>
      <c r="N220" s="22"/>
      <c r="O220" s="22"/>
      <c r="P220" s="22"/>
      <c r="Q220" s="22"/>
      <c r="R220" s="22"/>
      <c r="S220" s="22"/>
      <c r="T220" s="22"/>
      <c r="U220" s="2"/>
      <c r="V220" s="2"/>
      <c r="W220" s="2"/>
      <c r="X220" s="2"/>
      <c r="Y220" s="2"/>
      <c r="Z220" s="2"/>
    </row>
    <row r="221" spans="1:26" ht="12.75">
      <c r="A221" s="22"/>
      <c r="B221" s="22"/>
      <c r="C221" s="22"/>
      <c r="D221" s="22"/>
      <c r="E221" s="22"/>
      <c r="F221" s="22"/>
      <c r="G221" s="22"/>
      <c r="H221" s="22"/>
      <c r="I221" s="22"/>
      <c r="J221" s="22"/>
      <c r="K221" s="22"/>
      <c r="L221" s="22"/>
      <c r="M221" s="22"/>
      <c r="N221" s="22"/>
      <c r="O221" s="22"/>
      <c r="P221" s="22"/>
      <c r="Q221" s="22"/>
      <c r="R221" s="22"/>
      <c r="S221" s="22"/>
      <c r="T221" s="22"/>
      <c r="U221" s="2"/>
      <c r="V221" s="2"/>
      <c r="W221" s="2"/>
      <c r="X221" s="2"/>
      <c r="Y221" s="2"/>
      <c r="Z221" s="2"/>
    </row>
    <row r="222" spans="1:26" ht="12.75">
      <c r="A222" s="22"/>
      <c r="B222" s="22"/>
      <c r="C222" s="22"/>
      <c r="D222" s="22"/>
      <c r="E222" s="22"/>
      <c r="F222" s="22"/>
      <c r="G222" s="22"/>
      <c r="H222" s="22"/>
      <c r="I222" s="22"/>
      <c r="J222" s="22"/>
      <c r="K222" s="22"/>
      <c r="L222" s="22"/>
      <c r="M222" s="22"/>
      <c r="N222" s="22"/>
      <c r="O222" s="22"/>
      <c r="P222" s="22"/>
      <c r="Q222" s="22"/>
      <c r="R222" s="22"/>
      <c r="S222" s="22"/>
      <c r="T222" s="22"/>
      <c r="U222" s="2"/>
      <c r="V222" s="2"/>
      <c r="W222" s="2"/>
      <c r="X222" s="2"/>
      <c r="Y222" s="2"/>
      <c r="Z222" s="2"/>
    </row>
    <row r="223" spans="1:26" ht="12.75">
      <c r="A223" s="22"/>
      <c r="B223" s="22"/>
      <c r="C223" s="22"/>
      <c r="D223" s="22"/>
      <c r="E223" s="22"/>
      <c r="F223" s="22"/>
      <c r="G223" s="22"/>
      <c r="H223" s="22"/>
      <c r="I223" s="22"/>
      <c r="J223" s="22"/>
      <c r="K223" s="22"/>
      <c r="L223" s="22"/>
      <c r="M223" s="22"/>
      <c r="N223" s="22"/>
      <c r="O223" s="22"/>
      <c r="P223" s="22"/>
      <c r="Q223" s="22"/>
      <c r="R223" s="22"/>
      <c r="S223" s="22"/>
      <c r="T223" s="22"/>
      <c r="U223" s="2"/>
      <c r="V223" s="2"/>
      <c r="W223" s="2"/>
      <c r="X223" s="2"/>
      <c r="Y223" s="2"/>
      <c r="Z223" s="2"/>
    </row>
    <row r="224" spans="1:26" ht="12.75">
      <c r="A224" s="22"/>
      <c r="B224" s="22"/>
      <c r="C224" s="22"/>
      <c r="D224" s="22"/>
      <c r="E224" s="22"/>
      <c r="F224" s="22"/>
      <c r="G224" s="22"/>
      <c r="H224" s="22"/>
      <c r="I224" s="22"/>
      <c r="J224" s="22"/>
      <c r="K224" s="22"/>
      <c r="L224" s="22"/>
      <c r="M224" s="22"/>
      <c r="N224" s="22"/>
      <c r="O224" s="22"/>
      <c r="P224" s="22"/>
      <c r="Q224" s="22"/>
      <c r="R224" s="22"/>
      <c r="S224" s="22"/>
      <c r="T224" s="22"/>
      <c r="U224" s="2"/>
      <c r="V224" s="2"/>
      <c r="W224" s="2"/>
      <c r="X224" s="2"/>
      <c r="Y224" s="2"/>
      <c r="Z224" s="2"/>
    </row>
    <row r="225" spans="1:26" ht="12.75">
      <c r="A225" s="22"/>
      <c r="B225" s="22"/>
      <c r="C225" s="22"/>
      <c r="D225" s="22"/>
      <c r="E225" s="22"/>
      <c r="F225" s="22"/>
      <c r="G225" s="22"/>
      <c r="H225" s="22"/>
      <c r="I225" s="22"/>
      <c r="J225" s="22"/>
      <c r="K225" s="22"/>
      <c r="L225" s="22"/>
      <c r="M225" s="22"/>
      <c r="N225" s="22"/>
      <c r="O225" s="22"/>
      <c r="P225" s="22"/>
      <c r="Q225" s="22"/>
      <c r="R225" s="22"/>
      <c r="S225" s="22"/>
      <c r="T225" s="22"/>
      <c r="U225" s="2"/>
      <c r="V225" s="2"/>
      <c r="W225" s="2"/>
      <c r="X225" s="2"/>
      <c r="Y225" s="2"/>
      <c r="Z225" s="2"/>
    </row>
    <row r="226" spans="1:26" ht="12.75">
      <c r="A226" s="22"/>
      <c r="B226" s="22"/>
      <c r="C226" s="22"/>
      <c r="D226" s="22"/>
      <c r="E226" s="22"/>
      <c r="F226" s="22"/>
      <c r="G226" s="22"/>
      <c r="H226" s="22"/>
      <c r="I226" s="22"/>
      <c r="J226" s="22"/>
      <c r="K226" s="22"/>
      <c r="L226" s="22"/>
      <c r="M226" s="22"/>
      <c r="N226" s="22"/>
      <c r="O226" s="22"/>
      <c r="P226" s="22"/>
      <c r="Q226" s="22"/>
      <c r="R226" s="22"/>
      <c r="S226" s="22"/>
      <c r="T226" s="22"/>
      <c r="U226" s="2"/>
      <c r="V226" s="2"/>
      <c r="W226" s="2"/>
      <c r="X226" s="2"/>
      <c r="Y226" s="2"/>
      <c r="Z226" s="2"/>
    </row>
    <row r="227" spans="1:26" ht="12.75">
      <c r="A227" s="22"/>
      <c r="B227" s="22"/>
      <c r="C227" s="22"/>
      <c r="D227" s="22"/>
      <c r="E227" s="22"/>
      <c r="F227" s="22"/>
      <c r="G227" s="22"/>
      <c r="H227" s="22"/>
      <c r="I227" s="22"/>
      <c r="J227" s="22"/>
      <c r="K227" s="22"/>
      <c r="L227" s="22"/>
      <c r="M227" s="22"/>
      <c r="N227" s="22"/>
      <c r="O227" s="22"/>
      <c r="P227" s="22"/>
      <c r="Q227" s="22"/>
      <c r="R227" s="22"/>
      <c r="S227" s="22"/>
      <c r="T227" s="22"/>
      <c r="U227" s="2"/>
      <c r="V227" s="2"/>
      <c r="W227" s="2"/>
      <c r="X227" s="2"/>
      <c r="Y227" s="2"/>
      <c r="Z227" s="2"/>
    </row>
    <row r="228" spans="1:26" ht="12.75">
      <c r="A228" s="22"/>
      <c r="B228" s="22"/>
      <c r="C228" s="22"/>
      <c r="D228" s="22"/>
      <c r="E228" s="22"/>
      <c r="F228" s="22"/>
      <c r="G228" s="22"/>
      <c r="H228" s="22"/>
      <c r="I228" s="22"/>
      <c r="J228" s="22"/>
      <c r="K228" s="22"/>
      <c r="L228" s="22"/>
      <c r="M228" s="22"/>
      <c r="N228" s="22"/>
      <c r="O228" s="22"/>
      <c r="P228" s="22"/>
      <c r="Q228" s="22"/>
      <c r="R228" s="22"/>
      <c r="S228" s="22"/>
      <c r="T228" s="22"/>
      <c r="U228" s="2"/>
      <c r="V228" s="2"/>
      <c r="W228" s="2"/>
      <c r="X228" s="2"/>
      <c r="Y228" s="2"/>
      <c r="Z228" s="2"/>
    </row>
    <row r="229" spans="1:26" ht="12.75">
      <c r="A229" s="22"/>
      <c r="B229" s="22"/>
      <c r="C229" s="22"/>
      <c r="D229" s="22"/>
      <c r="E229" s="22"/>
      <c r="F229" s="22"/>
      <c r="G229" s="22"/>
      <c r="H229" s="22"/>
      <c r="I229" s="22"/>
      <c r="J229" s="22"/>
      <c r="K229" s="22"/>
      <c r="L229" s="22"/>
      <c r="M229" s="22"/>
      <c r="N229" s="22"/>
      <c r="O229" s="22"/>
      <c r="P229" s="22"/>
      <c r="Q229" s="22"/>
      <c r="R229" s="22"/>
      <c r="S229" s="22"/>
      <c r="T229" s="22"/>
      <c r="U229" s="2"/>
      <c r="V229" s="2"/>
      <c r="W229" s="2"/>
      <c r="X229" s="2"/>
      <c r="Y229" s="2"/>
      <c r="Z229" s="2"/>
    </row>
    <row r="230" spans="1:26" ht="12.75">
      <c r="A230" s="22"/>
      <c r="B230" s="22"/>
      <c r="C230" s="22"/>
      <c r="D230" s="22"/>
      <c r="E230" s="22"/>
      <c r="F230" s="22"/>
      <c r="G230" s="22"/>
      <c r="H230" s="22"/>
      <c r="I230" s="22"/>
      <c r="J230" s="22"/>
      <c r="K230" s="22"/>
      <c r="L230" s="22"/>
      <c r="M230" s="22"/>
      <c r="N230" s="22"/>
      <c r="O230" s="22"/>
      <c r="P230" s="22"/>
      <c r="Q230" s="22"/>
      <c r="R230" s="22"/>
      <c r="S230" s="22"/>
      <c r="T230" s="22"/>
      <c r="U230" s="2"/>
      <c r="V230" s="2"/>
      <c r="W230" s="2"/>
      <c r="X230" s="2"/>
      <c r="Y230" s="2"/>
      <c r="Z230" s="2"/>
    </row>
    <row r="231" spans="1:26" ht="12.75">
      <c r="A231" s="22"/>
      <c r="B231" s="22"/>
      <c r="C231" s="22"/>
      <c r="D231" s="22"/>
      <c r="E231" s="22"/>
      <c r="F231" s="22"/>
      <c r="G231" s="22"/>
      <c r="H231" s="22"/>
      <c r="I231" s="22"/>
      <c r="J231" s="22"/>
      <c r="K231" s="22"/>
      <c r="L231" s="22"/>
      <c r="M231" s="22"/>
      <c r="N231" s="22"/>
      <c r="O231" s="22"/>
      <c r="P231" s="22"/>
      <c r="Q231" s="22"/>
      <c r="R231" s="22"/>
      <c r="S231" s="22"/>
      <c r="T231" s="22"/>
      <c r="U231" s="2"/>
      <c r="V231" s="2"/>
      <c r="W231" s="2"/>
      <c r="X231" s="2"/>
      <c r="Y231" s="2"/>
      <c r="Z231" s="2"/>
    </row>
    <row r="232" spans="1:26" ht="12.75">
      <c r="A232" s="22"/>
      <c r="B232" s="22"/>
      <c r="C232" s="22"/>
      <c r="D232" s="22"/>
      <c r="E232" s="22"/>
      <c r="F232" s="22"/>
      <c r="G232" s="22"/>
      <c r="H232" s="22"/>
      <c r="I232" s="22"/>
      <c r="J232" s="22"/>
      <c r="K232" s="22"/>
      <c r="L232" s="22"/>
      <c r="M232" s="22"/>
      <c r="N232" s="22"/>
      <c r="O232" s="22"/>
      <c r="P232" s="22"/>
      <c r="Q232" s="22"/>
      <c r="R232" s="22"/>
      <c r="S232" s="22"/>
      <c r="T232" s="22"/>
      <c r="U232" s="2"/>
      <c r="V232" s="2"/>
      <c r="W232" s="2"/>
      <c r="X232" s="2"/>
      <c r="Y232" s="2"/>
      <c r="Z232" s="2"/>
    </row>
    <row r="233" spans="1:26" ht="12.75">
      <c r="A233" s="22"/>
      <c r="B233" s="22"/>
      <c r="C233" s="22"/>
      <c r="D233" s="22"/>
      <c r="E233" s="22"/>
      <c r="F233" s="22"/>
      <c r="G233" s="22"/>
      <c r="H233" s="22"/>
      <c r="I233" s="22"/>
      <c r="J233" s="22"/>
      <c r="K233" s="22"/>
      <c r="L233" s="22"/>
      <c r="M233" s="22"/>
      <c r="N233" s="22"/>
      <c r="O233" s="22"/>
      <c r="P233" s="22"/>
      <c r="Q233" s="22"/>
      <c r="R233" s="22"/>
      <c r="S233" s="22"/>
      <c r="T233" s="22"/>
      <c r="U233" s="2"/>
      <c r="V233" s="2"/>
      <c r="W233" s="2"/>
      <c r="X233" s="2"/>
      <c r="Y233" s="2"/>
      <c r="Z233" s="2"/>
    </row>
    <row r="234" spans="1:26" ht="12.75">
      <c r="A234" s="22"/>
      <c r="B234" s="22"/>
      <c r="C234" s="22"/>
      <c r="D234" s="22"/>
      <c r="E234" s="22"/>
      <c r="F234" s="22"/>
      <c r="G234" s="22"/>
      <c r="H234" s="22"/>
      <c r="I234" s="22"/>
      <c r="J234" s="22"/>
      <c r="K234" s="22"/>
      <c r="L234" s="22"/>
      <c r="M234" s="22"/>
      <c r="N234" s="22"/>
      <c r="O234" s="22"/>
      <c r="P234" s="22"/>
      <c r="Q234" s="22"/>
      <c r="R234" s="22"/>
      <c r="S234" s="22"/>
      <c r="T234" s="22"/>
      <c r="U234" s="2"/>
      <c r="V234" s="2"/>
      <c r="W234" s="2"/>
      <c r="X234" s="2"/>
      <c r="Y234" s="2"/>
      <c r="Z234" s="2"/>
    </row>
    <row r="235" spans="1:26" ht="12.75">
      <c r="A235" s="22"/>
      <c r="B235" s="22"/>
      <c r="C235" s="22"/>
      <c r="D235" s="22"/>
      <c r="E235" s="22"/>
      <c r="F235" s="22"/>
      <c r="G235" s="22"/>
      <c r="H235" s="22"/>
      <c r="I235" s="22"/>
      <c r="J235" s="22"/>
      <c r="K235" s="22"/>
      <c r="L235" s="22"/>
      <c r="M235" s="22"/>
      <c r="N235" s="22"/>
      <c r="O235" s="22"/>
      <c r="P235" s="22"/>
      <c r="Q235" s="22"/>
      <c r="R235" s="22"/>
      <c r="S235" s="22"/>
      <c r="T235" s="22"/>
      <c r="U235" s="2"/>
      <c r="V235" s="2"/>
      <c r="W235" s="2"/>
      <c r="X235" s="2"/>
      <c r="Y235" s="2"/>
      <c r="Z235" s="2"/>
    </row>
    <row r="236" spans="1:26" ht="12.75">
      <c r="A236" s="22"/>
      <c r="B236" s="22"/>
      <c r="C236" s="22"/>
      <c r="D236" s="22"/>
      <c r="E236" s="22"/>
      <c r="F236" s="22"/>
      <c r="G236" s="22"/>
      <c r="H236" s="22"/>
      <c r="I236" s="22"/>
      <c r="J236" s="22"/>
      <c r="K236" s="22"/>
      <c r="L236" s="22"/>
      <c r="M236" s="22"/>
      <c r="N236" s="22"/>
      <c r="O236" s="22"/>
      <c r="P236" s="22"/>
      <c r="Q236" s="22"/>
      <c r="R236" s="22"/>
      <c r="S236" s="22"/>
      <c r="T236" s="22"/>
      <c r="U236" s="2"/>
      <c r="V236" s="2"/>
      <c r="W236" s="2"/>
      <c r="X236" s="2"/>
      <c r="Y236" s="2"/>
      <c r="Z236" s="2"/>
    </row>
    <row r="237" spans="1:26" ht="12.75">
      <c r="A237" s="22"/>
      <c r="B237" s="22"/>
      <c r="C237" s="22"/>
      <c r="D237" s="22"/>
      <c r="E237" s="22"/>
      <c r="F237" s="22"/>
      <c r="G237" s="22"/>
      <c r="H237" s="22"/>
      <c r="I237" s="22"/>
      <c r="J237" s="22"/>
      <c r="K237" s="22"/>
      <c r="L237" s="22"/>
      <c r="M237" s="22"/>
      <c r="N237" s="22"/>
      <c r="O237" s="22"/>
      <c r="P237" s="22"/>
      <c r="Q237" s="22"/>
      <c r="R237" s="22"/>
      <c r="S237" s="22"/>
      <c r="T237" s="22"/>
      <c r="U237" s="2"/>
      <c r="V237" s="2"/>
      <c r="W237" s="2"/>
      <c r="X237" s="2"/>
      <c r="Y237" s="2"/>
      <c r="Z237" s="2"/>
    </row>
    <row r="238" spans="1:26" ht="12.75">
      <c r="A238" s="22"/>
      <c r="B238" s="22"/>
      <c r="C238" s="22"/>
      <c r="D238" s="22"/>
      <c r="E238" s="22"/>
      <c r="F238" s="22"/>
      <c r="G238" s="22"/>
      <c r="H238" s="22"/>
      <c r="I238" s="22"/>
      <c r="J238" s="22"/>
      <c r="K238" s="22"/>
      <c r="L238" s="22"/>
      <c r="M238" s="22"/>
      <c r="N238" s="22"/>
      <c r="O238" s="22"/>
      <c r="P238" s="22"/>
      <c r="Q238" s="22"/>
      <c r="R238" s="22"/>
      <c r="S238" s="22"/>
      <c r="T238" s="22"/>
      <c r="U238" s="2"/>
      <c r="V238" s="2"/>
      <c r="W238" s="2"/>
      <c r="X238" s="2"/>
      <c r="Y238" s="2"/>
      <c r="Z238" s="2"/>
    </row>
    <row r="239" spans="1:26" ht="12.75">
      <c r="A239" s="22"/>
      <c r="B239" s="22"/>
      <c r="C239" s="22"/>
      <c r="D239" s="22"/>
      <c r="E239" s="22"/>
      <c r="F239" s="22"/>
      <c r="G239" s="22"/>
      <c r="H239" s="22"/>
      <c r="I239" s="22"/>
      <c r="J239" s="22"/>
      <c r="K239" s="22"/>
      <c r="L239" s="22"/>
      <c r="M239" s="22"/>
      <c r="N239" s="22"/>
      <c r="O239" s="22"/>
      <c r="P239" s="22"/>
      <c r="Q239" s="22"/>
      <c r="R239" s="22"/>
      <c r="S239" s="22"/>
      <c r="T239" s="22"/>
      <c r="U239" s="2"/>
      <c r="V239" s="2"/>
      <c r="W239" s="2"/>
      <c r="X239" s="2"/>
      <c r="Y239" s="2"/>
      <c r="Z239" s="2"/>
    </row>
    <row r="240" spans="1:26" ht="12.75">
      <c r="A240" s="22"/>
      <c r="B240" s="22"/>
      <c r="C240" s="22"/>
      <c r="D240" s="22"/>
      <c r="E240" s="22"/>
      <c r="F240" s="22"/>
      <c r="G240" s="22"/>
      <c r="H240" s="22"/>
      <c r="I240" s="22"/>
      <c r="J240" s="22"/>
      <c r="K240" s="22"/>
      <c r="L240" s="22"/>
      <c r="M240" s="22"/>
      <c r="N240" s="22"/>
      <c r="O240" s="22"/>
      <c r="P240" s="22"/>
      <c r="Q240" s="22"/>
      <c r="R240" s="22"/>
      <c r="S240" s="22"/>
      <c r="T240" s="22"/>
      <c r="U240" s="2"/>
      <c r="V240" s="2"/>
      <c r="W240" s="2"/>
      <c r="X240" s="2"/>
      <c r="Y240" s="2"/>
      <c r="Z240" s="2"/>
    </row>
    <row r="241" spans="1:26" ht="12.75">
      <c r="A241" s="22"/>
      <c r="B241" s="22"/>
      <c r="C241" s="22"/>
      <c r="D241" s="22"/>
      <c r="E241" s="22"/>
      <c r="F241" s="22"/>
      <c r="G241" s="22"/>
      <c r="H241" s="22"/>
      <c r="I241" s="22"/>
      <c r="J241" s="22"/>
      <c r="K241" s="22"/>
      <c r="L241" s="22"/>
      <c r="M241" s="22"/>
      <c r="N241" s="22"/>
      <c r="O241" s="22"/>
      <c r="P241" s="22"/>
      <c r="Q241" s="22"/>
      <c r="R241" s="22"/>
      <c r="S241" s="22"/>
      <c r="T241" s="22"/>
      <c r="U241" s="2"/>
      <c r="V241" s="2"/>
      <c r="W241" s="2"/>
      <c r="X241" s="2"/>
      <c r="Y241" s="2"/>
      <c r="Z241" s="2"/>
    </row>
    <row r="242" spans="1:26" ht="12.75">
      <c r="A242" s="22"/>
      <c r="B242" s="22"/>
      <c r="C242" s="22"/>
      <c r="D242" s="22"/>
      <c r="E242" s="22"/>
      <c r="F242" s="22"/>
      <c r="G242" s="22"/>
      <c r="H242" s="22"/>
      <c r="I242" s="22"/>
      <c r="J242" s="22"/>
      <c r="K242" s="22"/>
      <c r="L242" s="22"/>
      <c r="M242" s="22"/>
      <c r="N242" s="22"/>
      <c r="O242" s="22"/>
      <c r="P242" s="22"/>
      <c r="Q242" s="22"/>
      <c r="R242" s="22"/>
      <c r="S242" s="22"/>
      <c r="T242" s="22"/>
      <c r="U242" s="2"/>
      <c r="V242" s="2"/>
      <c r="W242" s="2"/>
      <c r="X242" s="2"/>
      <c r="Y242" s="2"/>
      <c r="Z242" s="2"/>
    </row>
    <row r="243" spans="1:26" ht="12.75">
      <c r="A243" s="22"/>
      <c r="B243" s="22"/>
      <c r="C243" s="22"/>
      <c r="D243" s="22"/>
      <c r="E243" s="22"/>
      <c r="F243" s="22"/>
      <c r="G243" s="22"/>
      <c r="H243" s="22"/>
      <c r="I243" s="22"/>
      <c r="J243" s="22"/>
      <c r="K243" s="22"/>
      <c r="L243" s="22"/>
      <c r="M243" s="22"/>
      <c r="N243" s="22"/>
      <c r="O243" s="22"/>
      <c r="P243" s="22"/>
      <c r="Q243" s="22"/>
      <c r="R243" s="22"/>
      <c r="S243" s="22"/>
      <c r="T243" s="22"/>
      <c r="U243" s="2"/>
      <c r="V243" s="2"/>
      <c r="W243" s="2"/>
      <c r="X243" s="2"/>
      <c r="Y243" s="2"/>
      <c r="Z243" s="2"/>
    </row>
    <row r="244" spans="1:26" ht="12.75">
      <c r="A244" s="22"/>
      <c r="B244" s="22"/>
      <c r="C244" s="22"/>
      <c r="D244" s="22"/>
      <c r="E244" s="22"/>
      <c r="F244" s="22"/>
      <c r="G244" s="22"/>
      <c r="H244" s="22"/>
      <c r="I244" s="22"/>
      <c r="J244" s="22"/>
      <c r="K244" s="22"/>
      <c r="L244" s="22"/>
      <c r="M244" s="22"/>
      <c r="N244" s="22"/>
      <c r="O244" s="22"/>
      <c r="P244" s="22"/>
      <c r="Q244" s="22"/>
      <c r="R244" s="22"/>
      <c r="S244" s="22"/>
      <c r="T244" s="22"/>
      <c r="U244" s="2"/>
      <c r="V244" s="2"/>
      <c r="W244" s="2"/>
      <c r="X244" s="2"/>
      <c r="Y244" s="2"/>
      <c r="Z244" s="2"/>
    </row>
    <row r="245" spans="1:26" ht="12.75">
      <c r="A245" s="22"/>
      <c r="B245" s="22"/>
      <c r="C245" s="22"/>
      <c r="D245" s="22"/>
      <c r="E245" s="22"/>
      <c r="F245" s="22"/>
      <c r="G245" s="22"/>
      <c r="H245" s="22"/>
      <c r="I245" s="22"/>
      <c r="J245" s="22"/>
      <c r="K245" s="22"/>
      <c r="L245" s="22"/>
      <c r="M245" s="22"/>
      <c r="N245" s="22"/>
      <c r="O245" s="22"/>
      <c r="P245" s="22"/>
      <c r="Q245" s="22"/>
      <c r="R245" s="22"/>
      <c r="S245" s="22"/>
      <c r="T245" s="22"/>
      <c r="U245" s="2"/>
      <c r="V245" s="2"/>
      <c r="W245" s="2"/>
      <c r="X245" s="2"/>
      <c r="Y245" s="2"/>
      <c r="Z245" s="2"/>
    </row>
    <row r="246" spans="1:26" ht="12.75">
      <c r="A246" s="22"/>
      <c r="B246" s="22"/>
      <c r="C246" s="22"/>
      <c r="D246" s="22"/>
      <c r="E246" s="22"/>
      <c r="F246" s="22"/>
      <c r="G246" s="22"/>
      <c r="H246" s="22"/>
      <c r="I246" s="22"/>
      <c r="J246" s="22"/>
      <c r="K246" s="22"/>
      <c r="L246" s="22"/>
      <c r="M246" s="22"/>
      <c r="N246" s="22"/>
      <c r="O246" s="22"/>
      <c r="P246" s="22"/>
      <c r="Q246" s="22"/>
      <c r="R246" s="22"/>
      <c r="S246" s="22"/>
      <c r="T246" s="22"/>
      <c r="U246" s="2"/>
      <c r="V246" s="2"/>
      <c r="W246" s="2"/>
      <c r="X246" s="2"/>
      <c r="Y246" s="2"/>
      <c r="Z246" s="2"/>
    </row>
    <row r="247" spans="1:26" ht="12.75">
      <c r="A247" s="22"/>
      <c r="B247" s="22"/>
      <c r="C247" s="22"/>
      <c r="D247" s="22"/>
      <c r="E247" s="22"/>
      <c r="F247" s="22"/>
      <c r="G247" s="22"/>
      <c r="H247" s="22"/>
      <c r="I247" s="22"/>
      <c r="J247" s="22"/>
      <c r="K247" s="22"/>
      <c r="L247" s="22"/>
      <c r="M247" s="22"/>
      <c r="N247" s="22"/>
      <c r="O247" s="22"/>
      <c r="P247" s="22"/>
      <c r="Q247" s="22"/>
      <c r="R247" s="22"/>
      <c r="S247" s="22"/>
      <c r="T247" s="22"/>
      <c r="U247" s="2"/>
      <c r="V247" s="2"/>
      <c r="W247" s="2"/>
      <c r="X247" s="2"/>
      <c r="Y247" s="2"/>
      <c r="Z247" s="2"/>
    </row>
    <row r="248" spans="1:26" ht="12.75">
      <c r="A248" s="22"/>
      <c r="B248" s="22"/>
      <c r="C248" s="22"/>
      <c r="D248" s="22"/>
      <c r="E248" s="22"/>
      <c r="F248" s="22"/>
      <c r="G248" s="22"/>
      <c r="H248" s="22"/>
      <c r="I248" s="22"/>
      <c r="J248" s="22"/>
      <c r="K248" s="22"/>
      <c r="L248" s="22"/>
      <c r="M248" s="22"/>
      <c r="N248" s="22"/>
      <c r="O248" s="22"/>
      <c r="P248" s="22"/>
      <c r="Q248" s="22"/>
      <c r="R248" s="22"/>
      <c r="S248" s="22"/>
      <c r="T248" s="22"/>
      <c r="U248" s="2"/>
      <c r="V248" s="2"/>
      <c r="W248" s="2"/>
      <c r="X248" s="2"/>
      <c r="Y248" s="2"/>
      <c r="Z248" s="2"/>
    </row>
    <row r="249" spans="1:26" ht="12.75">
      <c r="A249" s="22"/>
      <c r="B249" s="22"/>
      <c r="C249" s="22"/>
      <c r="D249" s="22"/>
      <c r="E249" s="22"/>
      <c r="F249" s="22"/>
      <c r="G249" s="22"/>
      <c r="H249" s="22"/>
      <c r="I249" s="22"/>
      <c r="J249" s="22"/>
      <c r="K249" s="22"/>
      <c r="L249" s="22"/>
      <c r="M249" s="22"/>
      <c r="N249" s="22"/>
      <c r="O249" s="22"/>
      <c r="P249" s="22"/>
      <c r="Q249" s="22"/>
      <c r="R249" s="22"/>
      <c r="S249" s="22"/>
      <c r="T249" s="22"/>
      <c r="U249" s="2"/>
      <c r="V249" s="2"/>
      <c r="W249" s="2"/>
      <c r="X249" s="2"/>
      <c r="Y249" s="2"/>
      <c r="Z249" s="2"/>
    </row>
    <row r="250" spans="1:26" ht="12.75">
      <c r="A250" s="22"/>
      <c r="B250" s="22"/>
      <c r="C250" s="22"/>
      <c r="D250" s="22"/>
      <c r="E250" s="22"/>
      <c r="F250" s="22"/>
      <c r="G250" s="22"/>
      <c r="H250" s="22"/>
      <c r="I250" s="22"/>
      <c r="J250" s="22"/>
      <c r="K250" s="22"/>
      <c r="L250" s="22"/>
      <c r="M250" s="22"/>
      <c r="N250" s="22"/>
      <c r="O250" s="22"/>
      <c r="P250" s="22"/>
      <c r="Q250" s="22"/>
      <c r="R250" s="22"/>
      <c r="S250" s="22"/>
      <c r="T250" s="22"/>
      <c r="U250" s="2"/>
      <c r="V250" s="2"/>
      <c r="W250" s="2"/>
      <c r="X250" s="2"/>
      <c r="Y250" s="2"/>
      <c r="Z250" s="2"/>
    </row>
    <row r="251" spans="1:26" ht="12.75">
      <c r="A251" s="22"/>
      <c r="B251" s="22"/>
      <c r="C251" s="22"/>
      <c r="D251" s="22"/>
      <c r="E251" s="22"/>
      <c r="F251" s="22"/>
      <c r="G251" s="22"/>
      <c r="H251" s="22"/>
      <c r="I251" s="22"/>
      <c r="J251" s="22"/>
      <c r="K251" s="22"/>
      <c r="L251" s="22"/>
      <c r="M251" s="22"/>
      <c r="N251" s="22"/>
      <c r="O251" s="22"/>
      <c r="P251" s="22"/>
      <c r="Q251" s="22"/>
      <c r="R251" s="22"/>
      <c r="S251" s="22"/>
      <c r="T251" s="22"/>
      <c r="U251" s="2"/>
      <c r="V251" s="2"/>
      <c r="W251" s="2"/>
      <c r="X251" s="2"/>
      <c r="Y251" s="2"/>
      <c r="Z251" s="2"/>
    </row>
    <row r="252" spans="1:26" ht="12.75">
      <c r="A252" s="22"/>
      <c r="B252" s="22"/>
      <c r="C252" s="22"/>
      <c r="D252" s="22"/>
      <c r="E252" s="22"/>
      <c r="F252" s="22"/>
      <c r="G252" s="22"/>
      <c r="H252" s="22"/>
      <c r="I252" s="22"/>
      <c r="J252" s="22"/>
      <c r="K252" s="22"/>
      <c r="L252" s="22"/>
      <c r="M252" s="22"/>
      <c r="N252" s="22"/>
      <c r="O252" s="22"/>
      <c r="P252" s="22"/>
      <c r="Q252" s="22"/>
      <c r="R252" s="22"/>
      <c r="S252" s="22"/>
      <c r="T252" s="22"/>
      <c r="U252" s="2"/>
      <c r="V252" s="2"/>
      <c r="W252" s="2"/>
      <c r="X252" s="2"/>
      <c r="Y252" s="2"/>
      <c r="Z252" s="2"/>
    </row>
    <row r="253" spans="1:26" ht="12.75">
      <c r="A253" s="22"/>
      <c r="B253" s="22"/>
      <c r="C253" s="22"/>
      <c r="D253" s="22"/>
      <c r="E253" s="22"/>
      <c r="F253" s="22"/>
      <c r="G253" s="22"/>
      <c r="H253" s="22"/>
      <c r="I253" s="22"/>
      <c r="J253" s="22"/>
      <c r="K253" s="22"/>
      <c r="L253" s="22"/>
      <c r="M253" s="22"/>
      <c r="N253" s="22"/>
      <c r="O253" s="22"/>
      <c r="P253" s="22"/>
      <c r="Q253" s="22"/>
      <c r="R253" s="22"/>
      <c r="S253" s="22"/>
      <c r="T253" s="22"/>
      <c r="U253" s="2"/>
      <c r="V253" s="2"/>
      <c r="W253" s="2"/>
      <c r="X253" s="2"/>
      <c r="Y253" s="2"/>
      <c r="Z253" s="2"/>
    </row>
    <row r="254" spans="1:26" ht="12.75">
      <c r="A254" s="22"/>
      <c r="B254" s="22"/>
      <c r="C254" s="22"/>
      <c r="D254" s="22"/>
      <c r="E254" s="22"/>
      <c r="F254" s="22"/>
      <c r="G254" s="22"/>
      <c r="H254" s="22"/>
      <c r="I254" s="22"/>
      <c r="J254" s="22"/>
      <c r="K254" s="22"/>
      <c r="L254" s="22"/>
      <c r="M254" s="22"/>
      <c r="N254" s="22"/>
      <c r="O254" s="22"/>
      <c r="P254" s="22"/>
      <c r="Q254" s="22"/>
      <c r="R254" s="22"/>
      <c r="S254" s="22"/>
      <c r="T254" s="22"/>
      <c r="U254" s="2"/>
      <c r="V254" s="2"/>
      <c r="W254" s="2"/>
      <c r="X254" s="2"/>
      <c r="Y254" s="2"/>
      <c r="Z254" s="2"/>
    </row>
    <row r="255" spans="1:26" ht="12.75">
      <c r="A255" s="22"/>
      <c r="B255" s="22"/>
      <c r="C255" s="22"/>
      <c r="D255" s="22"/>
      <c r="E255" s="22"/>
      <c r="F255" s="22"/>
      <c r="G255" s="22"/>
      <c r="H255" s="22"/>
      <c r="I255" s="22"/>
      <c r="J255" s="22"/>
      <c r="K255" s="22"/>
      <c r="L255" s="22"/>
      <c r="M255" s="22"/>
      <c r="N255" s="22"/>
      <c r="O255" s="22"/>
      <c r="P255" s="22"/>
      <c r="Q255" s="22"/>
      <c r="R255" s="22"/>
      <c r="S255" s="22"/>
      <c r="T255" s="22"/>
      <c r="U255" s="2"/>
      <c r="V255" s="2"/>
      <c r="W255" s="2"/>
      <c r="X255" s="2"/>
      <c r="Y255" s="2"/>
      <c r="Z255" s="2"/>
    </row>
    <row r="256" spans="1:26" ht="12.75">
      <c r="A256" s="22"/>
      <c r="B256" s="22"/>
      <c r="C256" s="22"/>
      <c r="D256" s="22"/>
      <c r="E256" s="22"/>
      <c r="F256" s="22"/>
      <c r="G256" s="22"/>
      <c r="H256" s="22"/>
      <c r="I256" s="22"/>
      <c r="J256" s="22"/>
      <c r="K256" s="22"/>
      <c r="L256" s="22"/>
      <c r="M256" s="22"/>
      <c r="N256" s="22"/>
      <c r="O256" s="22"/>
      <c r="P256" s="22"/>
      <c r="Q256" s="22"/>
      <c r="R256" s="22"/>
      <c r="S256" s="22"/>
      <c r="T256" s="22"/>
      <c r="U256" s="2"/>
      <c r="V256" s="2"/>
      <c r="W256" s="2"/>
      <c r="X256" s="2"/>
      <c r="Y256" s="2"/>
      <c r="Z256" s="2"/>
    </row>
    <row r="257" spans="1:26" ht="12.75">
      <c r="A257" s="22"/>
      <c r="B257" s="22"/>
      <c r="C257" s="22"/>
      <c r="D257" s="22"/>
      <c r="E257" s="22"/>
      <c r="F257" s="22"/>
      <c r="G257" s="22"/>
      <c r="H257" s="22"/>
      <c r="I257" s="22"/>
      <c r="J257" s="22"/>
      <c r="K257" s="22"/>
      <c r="L257" s="22"/>
      <c r="M257" s="22"/>
      <c r="N257" s="22"/>
      <c r="O257" s="22"/>
      <c r="P257" s="22"/>
      <c r="Q257" s="22"/>
      <c r="R257" s="22"/>
      <c r="S257" s="22"/>
      <c r="T257" s="22"/>
      <c r="U257" s="2"/>
      <c r="V257" s="2"/>
      <c r="W257" s="2"/>
      <c r="X257" s="2"/>
      <c r="Y257" s="2"/>
      <c r="Z257" s="2"/>
    </row>
    <row r="258" spans="1:26" ht="12.75">
      <c r="A258" s="22"/>
      <c r="B258" s="22"/>
      <c r="C258" s="22"/>
      <c r="D258" s="22"/>
      <c r="E258" s="22"/>
      <c r="F258" s="22"/>
      <c r="G258" s="22"/>
      <c r="H258" s="22"/>
      <c r="I258" s="22"/>
      <c r="J258" s="22"/>
      <c r="K258" s="22"/>
      <c r="L258" s="22"/>
      <c r="M258" s="22"/>
      <c r="N258" s="22"/>
      <c r="O258" s="22"/>
      <c r="P258" s="22"/>
      <c r="Q258" s="22"/>
      <c r="R258" s="22"/>
      <c r="S258" s="22"/>
      <c r="T258" s="22"/>
      <c r="U258" s="2"/>
      <c r="V258" s="2"/>
      <c r="W258" s="2"/>
      <c r="X258" s="2"/>
      <c r="Y258" s="2"/>
      <c r="Z258" s="2"/>
    </row>
    <row r="259" spans="1:26" ht="12.75">
      <c r="A259" s="22"/>
      <c r="B259" s="22"/>
      <c r="C259" s="22"/>
      <c r="D259" s="22"/>
      <c r="E259" s="22"/>
      <c r="F259" s="22"/>
      <c r="G259" s="22"/>
      <c r="H259" s="22"/>
      <c r="I259" s="22"/>
      <c r="J259" s="22"/>
      <c r="K259" s="22"/>
      <c r="L259" s="22"/>
      <c r="M259" s="22"/>
      <c r="N259" s="22"/>
      <c r="O259" s="22"/>
      <c r="P259" s="22"/>
      <c r="Q259" s="22"/>
      <c r="R259" s="22"/>
      <c r="S259" s="22"/>
      <c r="T259" s="22"/>
      <c r="U259" s="2"/>
      <c r="V259" s="2"/>
      <c r="W259" s="2"/>
      <c r="X259" s="2"/>
      <c r="Y259" s="2"/>
      <c r="Z259" s="2"/>
    </row>
    <row r="260" spans="1:26" ht="12.75">
      <c r="A260" s="22"/>
      <c r="B260" s="22"/>
      <c r="C260" s="22"/>
      <c r="D260" s="22"/>
      <c r="E260" s="22"/>
      <c r="F260" s="22"/>
      <c r="G260" s="22"/>
      <c r="H260" s="22"/>
      <c r="I260" s="22"/>
      <c r="J260" s="22"/>
      <c r="K260" s="22"/>
      <c r="L260" s="22"/>
      <c r="M260" s="22"/>
      <c r="N260" s="22"/>
      <c r="O260" s="22"/>
      <c r="P260" s="22"/>
      <c r="Q260" s="22"/>
      <c r="R260" s="22"/>
      <c r="S260" s="22"/>
      <c r="T260" s="22"/>
      <c r="U260" s="2"/>
      <c r="V260" s="2"/>
      <c r="W260" s="2"/>
      <c r="X260" s="2"/>
      <c r="Y260" s="2"/>
      <c r="Z260" s="2"/>
    </row>
    <row r="261" spans="1:26" ht="12.75">
      <c r="A261" s="22"/>
      <c r="B261" s="22"/>
      <c r="C261" s="22"/>
      <c r="D261" s="22"/>
      <c r="E261" s="22"/>
      <c r="F261" s="22"/>
      <c r="G261" s="22"/>
      <c r="H261" s="22"/>
      <c r="I261" s="22"/>
      <c r="J261" s="22"/>
      <c r="K261" s="22"/>
      <c r="L261" s="22"/>
      <c r="M261" s="22"/>
      <c r="N261" s="22"/>
      <c r="O261" s="22"/>
      <c r="P261" s="22"/>
      <c r="Q261" s="22"/>
      <c r="R261" s="22"/>
      <c r="S261" s="22"/>
      <c r="T261" s="22"/>
      <c r="U261" s="2"/>
      <c r="V261" s="2"/>
      <c r="W261" s="2"/>
      <c r="X261" s="2"/>
      <c r="Y261" s="2"/>
      <c r="Z261" s="2"/>
    </row>
    <row r="262" spans="1:26" ht="12.75">
      <c r="A262" s="22"/>
      <c r="B262" s="22"/>
      <c r="C262" s="22"/>
      <c r="D262" s="22"/>
      <c r="E262" s="22"/>
      <c r="F262" s="22"/>
      <c r="G262" s="22"/>
      <c r="H262" s="22"/>
      <c r="I262" s="22"/>
      <c r="J262" s="22"/>
      <c r="K262" s="22"/>
      <c r="L262" s="22"/>
      <c r="M262" s="22"/>
      <c r="N262" s="22"/>
      <c r="O262" s="22"/>
      <c r="P262" s="22"/>
      <c r="Q262" s="22"/>
      <c r="R262" s="22"/>
      <c r="S262" s="22"/>
      <c r="T262" s="22"/>
      <c r="U262" s="2"/>
      <c r="V262" s="2"/>
      <c r="W262" s="2"/>
      <c r="X262" s="2"/>
      <c r="Y262" s="2"/>
      <c r="Z262" s="2"/>
    </row>
    <row r="263" spans="1:26" ht="12.75">
      <c r="A263" s="22"/>
      <c r="B263" s="22"/>
      <c r="C263" s="22"/>
      <c r="D263" s="22"/>
      <c r="E263" s="22"/>
      <c r="F263" s="22"/>
      <c r="G263" s="22"/>
      <c r="H263" s="22"/>
      <c r="I263" s="22"/>
      <c r="J263" s="22"/>
      <c r="K263" s="22"/>
      <c r="L263" s="22"/>
      <c r="M263" s="22"/>
      <c r="N263" s="22"/>
      <c r="O263" s="22"/>
      <c r="P263" s="22"/>
      <c r="Q263" s="22"/>
      <c r="R263" s="22"/>
      <c r="S263" s="22"/>
      <c r="T263" s="22"/>
      <c r="U263" s="2"/>
      <c r="V263" s="2"/>
      <c r="W263" s="2"/>
      <c r="X263" s="2"/>
      <c r="Y263" s="2"/>
      <c r="Z263" s="2"/>
    </row>
    <row r="264" spans="1:26" ht="12.75">
      <c r="A264" s="22"/>
      <c r="B264" s="22"/>
      <c r="C264" s="22"/>
      <c r="D264" s="22"/>
      <c r="E264" s="22"/>
      <c r="F264" s="22"/>
      <c r="G264" s="22"/>
      <c r="H264" s="22"/>
      <c r="I264" s="22"/>
      <c r="J264" s="22"/>
      <c r="K264" s="22"/>
      <c r="L264" s="22"/>
      <c r="M264" s="22"/>
      <c r="N264" s="22"/>
      <c r="O264" s="22"/>
      <c r="P264" s="22"/>
      <c r="Q264" s="22"/>
      <c r="R264" s="22"/>
      <c r="S264" s="22"/>
      <c r="T264" s="22"/>
      <c r="U264" s="2"/>
      <c r="V264" s="2"/>
      <c r="W264" s="2"/>
      <c r="X264" s="2"/>
      <c r="Y264" s="2"/>
      <c r="Z264" s="2"/>
    </row>
    <row r="265" spans="1:26" ht="12.75">
      <c r="A265" s="22"/>
      <c r="B265" s="22"/>
      <c r="C265" s="22"/>
      <c r="D265" s="22"/>
      <c r="E265" s="22"/>
      <c r="F265" s="22"/>
      <c r="G265" s="22"/>
      <c r="H265" s="22"/>
      <c r="I265" s="22"/>
      <c r="J265" s="22"/>
      <c r="K265" s="22"/>
      <c r="L265" s="22"/>
      <c r="M265" s="22"/>
      <c r="N265" s="22"/>
      <c r="O265" s="22"/>
      <c r="P265" s="22"/>
      <c r="Q265" s="22"/>
      <c r="R265" s="22"/>
      <c r="S265" s="22"/>
      <c r="T265" s="22"/>
      <c r="U265" s="2"/>
      <c r="V265" s="2"/>
      <c r="W265" s="2"/>
      <c r="X265" s="2"/>
      <c r="Y265" s="2"/>
      <c r="Z265" s="2"/>
    </row>
    <row r="266" spans="1:26" ht="12.75">
      <c r="A266" s="22"/>
      <c r="B266" s="22"/>
      <c r="C266" s="22"/>
      <c r="D266" s="22"/>
      <c r="E266" s="22"/>
      <c r="F266" s="22"/>
      <c r="G266" s="22"/>
      <c r="H266" s="22"/>
      <c r="I266" s="22"/>
      <c r="J266" s="22"/>
      <c r="K266" s="22"/>
      <c r="L266" s="22"/>
      <c r="M266" s="22"/>
      <c r="N266" s="22"/>
      <c r="O266" s="22"/>
      <c r="P266" s="22"/>
      <c r="Q266" s="22"/>
      <c r="R266" s="22"/>
      <c r="S266" s="22"/>
      <c r="T266" s="22"/>
      <c r="U266" s="2"/>
      <c r="V266" s="2"/>
      <c r="W266" s="2"/>
      <c r="X266" s="2"/>
      <c r="Y266" s="2"/>
      <c r="Z266" s="2"/>
    </row>
    <row r="267" spans="1:26" ht="12.75">
      <c r="A267" s="22"/>
      <c r="B267" s="22"/>
      <c r="C267" s="22"/>
      <c r="D267" s="22"/>
      <c r="E267" s="22"/>
      <c r="F267" s="22"/>
      <c r="G267" s="22"/>
      <c r="H267" s="22"/>
      <c r="I267" s="22"/>
      <c r="J267" s="22"/>
      <c r="K267" s="22"/>
      <c r="L267" s="22"/>
      <c r="M267" s="22"/>
      <c r="N267" s="22"/>
      <c r="O267" s="22"/>
      <c r="P267" s="22"/>
      <c r="Q267" s="22"/>
      <c r="R267" s="22"/>
      <c r="S267" s="22"/>
      <c r="T267" s="22"/>
      <c r="U267" s="2"/>
      <c r="V267" s="2"/>
      <c r="W267" s="2"/>
      <c r="X267" s="2"/>
      <c r="Y267" s="2"/>
      <c r="Z267" s="2"/>
    </row>
    <row r="268" spans="1:26" ht="12.75">
      <c r="A268" s="22"/>
      <c r="B268" s="22"/>
      <c r="C268" s="22"/>
      <c r="D268" s="22"/>
      <c r="E268" s="22"/>
      <c r="F268" s="22"/>
      <c r="G268" s="22"/>
      <c r="H268" s="22"/>
      <c r="I268" s="22"/>
      <c r="J268" s="22"/>
      <c r="K268" s="22"/>
      <c r="L268" s="22"/>
      <c r="M268" s="22"/>
      <c r="N268" s="22"/>
      <c r="O268" s="22"/>
      <c r="P268" s="22"/>
      <c r="Q268" s="22"/>
      <c r="R268" s="22"/>
      <c r="S268" s="22"/>
      <c r="T268" s="22"/>
      <c r="U268" s="2"/>
      <c r="V268" s="2"/>
      <c r="W268" s="2"/>
      <c r="X268" s="2"/>
      <c r="Y268" s="2"/>
      <c r="Z268" s="2"/>
    </row>
    <row r="269" spans="1:26" ht="12.75">
      <c r="A269" s="22"/>
      <c r="B269" s="22"/>
      <c r="C269" s="22"/>
      <c r="D269" s="22"/>
      <c r="E269" s="22"/>
      <c r="F269" s="22"/>
      <c r="G269" s="22"/>
      <c r="H269" s="22"/>
      <c r="I269" s="22"/>
      <c r="J269" s="22"/>
      <c r="K269" s="22"/>
      <c r="L269" s="22"/>
      <c r="M269" s="22"/>
      <c r="N269" s="22"/>
      <c r="O269" s="22"/>
      <c r="P269" s="22"/>
      <c r="Q269" s="22"/>
      <c r="R269" s="22"/>
      <c r="S269" s="22"/>
      <c r="T269" s="22"/>
      <c r="U269" s="2"/>
      <c r="V269" s="2"/>
      <c r="W269" s="2"/>
      <c r="X269" s="2"/>
      <c r="Y269" s="2"/>
      <c r="Z269" s="2"/>
    </row>
    <row r="270" spans="1:26" ht="12.75">
      <c r="A270" s="22"/>
      <c r="B270" s="22"/>
      <c r="C270" s="22"/>
      <c r="D270" s="22"/>
      <c r="E270" s="22"/>
      <c r="F270" s="22"/>
      <c r="G270" s="22"/>
      <c r="H270" s="22"/>
      <c r="I270" s="22"/>
      <c r="J270" s="22"/>
      <c r="K270" s="22"/>
      <c r="L270" s="22"/>
      <c r="M270" s="22"/>
      <c r="N270" s="22"/>
      <c r="O270" s="22"/>
      <c r="P270" s="22"/>
      <c r="Q270" s="22"/>
      <c r="R270" s="22"/>
      <c r="S270" s="22"/>
      <c r="T270" s="22"/>
      <c r="U270" s="2"/>
      <c r="V270" s="2"/>
      <c r="W270" s="2"/>
      <c r="X270" s="2"/>
      <c r="Y270" s="2"/>
      <c r="Z270" s="2"/>
    </row>
    <row r="271" spans="1:26" ht="12.75">
      <c r="A271" s="22"/>
      <c r="B271" s="22"/>
      <c r="C271" s="22"/>
      <c r="D271" s="22"/>
      <c r="E271" s="22"/>
      <c r="F271" s="22"/>
      <c r="G271" s="22"/>
      <c r="H271" s="22"/>
      <c r="I271" s="22"/>
      <c r="J271" s="22"/>
      <c r="K271" s="22"/>
      <c r="L271" s="22"/>
      <c r="M271" s="22"/>
      <c r="N271" s="22"/>
      <c r="O271" s="22"/>
      <c r="P271" s="22"/>
      <c r="Q271" s="22"/>
      <c r="R271" s="22"/>
      <c r="S271" s="22"/>
      <c r="T271" s="22"/>
      <c r="U271" s="2"/>
      <c r="V271" s="2"/>
      <c r="W271" s="2"/>
      <c r="X271" s="2"/>
      <c r="Y271" s="2"/>
      <c r="Z271" s="2"/>
    </row>
    <row r="272" spans="1:26" ht="12.75">
      <c r="A272" s="22"/>
      <c r="B272" s="22"/>
      <c r="C272" s="22"/>
      <c r="D272" s="22"/>
      <c r="E272" s="22"/>
      <c r="F272" s="22"/>
      <c r="G272" s="22"/>
      <c r="H272" s="22"/>
      <c r="I272" s="22"/>
      <c r="J272" s="22"/>
      <c r="K272" s="22"/>
      <c r="L272" s="22"/>
      <c r="M272" s="22"/>
      <c r="N272" s="22"/>
      <c r="O272" s="22"/>
      <c r="P272" s="22"/>
      <c r="Q272" s="22"/>
      <c r="R272" s="22"/>
      <c r="S272" s="22"/>
      <c r="T272" s="22"/>
      <c r="U272" s="2"/>
      <c r="V272" s="2"/>
      <c r="W272" s="2"/>
      <c r="X272" s="2"/>
      <c r="Y272" s="2"/>
      <c r="Z272" s="2"/>
    </row>
    <row r="273" spans="1:26" ht="12.75">
      <c r="A273" s="22"/>
      <c r="B273" s="22"/>
      <c r="C273" s="22"/>
      <c r="D273" s="22"/>
      <c r="E273" s="22"/>
      <c r="F273" s="22"/>
      <c r="G273" s="22"/>
      <c r="H273" s="22"/>
      <c r="I273" s="22"/>
      <c r="J273" s="22"/>
      <c r="K273" s="22"/>
      <c r="L273" s="22"/>
      <c r="M273" s="22"/>
      <c r="N273" s="22"/>
      <c r="O273" s="22"/>
      <c r="P273" s="22"/>
      <c r="Q273" s="22"/>
      <c r="R273" s="22"/>
      <c r="S273" s="22"/>
      <c r="T273" s="22"/>
      <c r="U273" s="2"/>
      <c r="V273" s="2"/>
      <c r="W273" s="2"/>
      <c r="X273" s="2"/>
      <c r="Y273" s="2"/>
      <c r="Z273" s="2"/>
    </row>
    <row r="274" spans="1:26" ht="12.75">
      <c r="A274" s="22"/>
      <c r="B274" s="22"/>
      <c r="C274" s="22"/>
      <c r="D274" s="22"/>
      <c r="E274" s="22"/>
      <c r="F274" s="22"/>
      <c r="G274" s="22"/>
      <c r="H274" s="22"/>
      <c r="I274" s="22"/>
      <c r="J274" s="22"/>
      <c r="K274" s="22"/>
      <c r="L274" s="22"/>
      <c r="M274" s="22"/>
      <c r="N274" s="22"/>
      <c r="O274" s="22"/>
      <c r="P274" s="22"/>
      <c r="Q274" s="22"/>
      <c r="R274" s="22"/>
      <c r="S274" s="22"/>
      <c r="T274" s="22"/>
      <c r="U274" s="2"/>
      <c r="V274" s="2"/>
      <c r="W274" s="2"/>
      <c r="X274" s="2"/>
      <c r="Y274" s="2"/>
      <c r="Z274" s="2"/>
    </row>
    <row r="275" spans="1:26" ht="12.75">
      <c r="A275" s="22"/>
      <c r="B275" s="22"/>
      <c r="C275" s="22"/>
      <c r="D275" s="22"/>
      <c r="E275" s="22"/>
      <c r="F275" s="22"/>
      <c r="G275" s="22"/>
      <c r="H275" s="22"/>
      <c r="I275" s="22"/>
      <c r="J275" s="22"/>
      <c r="K275" s="22"/>
      <c r="L275" s="22"/>
      <c r="M275" s="22"/>
      <c r="N275" s="22"/>
      <c r="O275" s="22"/>
      <c r="P275" s="22"/>
      <c r="Q275" s="22"/>
      <c r="R275" s="22"/>
      <c r="S275" s="22"/>
      <c r="T275" s="22"/>
      <c r="U275" s="2"/>
      <c r="V275" s="2"/>
      <c r="W275" s="2"/>
      <c r="X275" s="2"/>
      <c r="Y275" s="2"/>
      <c r="Z275" s="2"/>
    </row>
    <row r="276" spans="1:26" ht="12.75">
      <c r="A276" s="22"/>
      <c r="B276" s="22"/>
      <c r="C276" s="22"/>
      <c r="D276" s="22"/>
      <c r="E276" s="22"/>
      <c r="F276" s="22"/>
      <c r="G276" s="22"/>
      <c r="H276" s="22"/>
      <c r="I276" s="22"/>
      <c r="J276" s="22"/>
      <c r="K276" s="22"/>
      <c r="L276" s="22"/>
      <c r="M276" s="22"/>
      <c r="N276" s="22"/>
      <c r="O276" s="22"/>
      <c r="P276" s="22"/>
      <c r="Q276" s="22"/>
      <c r="R276" s="22"/>
      <c r="S276" s="22"/>
      <c r="T276" s="22"/>
      <c r="U276" s="2"/>
      <c r="V276" s="2"/>
      <c r="W276" s="2"/>
      <c r="X276" s="2"/>
      <c r="Y276" s="2"/>
      <c r="Z276" s="2"/>
    </row>
    <row r="277" spans="1:26" ht="12.75">
      <c r="A277" s="22"/>
      <c r="B277" s="22"/>
      <c r="C277" s="22"/>
      <c r="D277" s="22"/>
      <c r="E277" s="22"/>
      <c r="F277" s="22"/>
      <c r="G277" s="22"/>
      <c r="H277" s="22"/>
      <c r="I277" s="22"/>
      <c r="J277" s="22"/>
      <c r="K277" s="22"/>
      <c r="L277" s="22"/>
      <c r="M277" s="22"/>
      <c r="N277" s="22"/>
      <c r="O277" s="22"/>
      <c r="P277" s="22"/>
      <c r="Q277" s="22"/>
      <c r="R277" s="22"/>
      <c r="S277" s="22"/>
      <c r="T277" s="22"/>
      <c r="U277" s="2"/>
      <c r="V277" s="2"/>
      <c r="W277" s="2"/>
      <c r="X277" s="2"/>
      <c r="Y277" s="2"/>
      <c r="Z277" s="2"/>
    </row>
    <row r="278" spans="1:26" ht="12.75">
      <c r="A278" s="22"/>
      <c r="B278" s="22"/>
      <c r="C278" s="22"/>
      <c r="D278" s="22"/>
      <c r="E278" s="22"/>
      <c r="F278" s="22"/>
      <c r="G278" s="22"/>
      <c r="H278" s="22"/>
      <c r="I278" s="22"/>
      <c r="J278" s="22"/>
      <c r="K278" s="22"/>
      <c r="L278" s="22"/>
      <c r="M278" s="22"/>
      <c r="N278" s="22"/>
      <c r="O278" s="22"/>
      <c r="P278" s="22"/>
      <c r="Q278" s="22"/>
      <c r="R278" s="22"/>
      <c r="S278" s="22"/>
      <c r="T278" s="22"/>
      <c r="U278" s="2"/>
      <c r="V278" s="2"/>
      <c r="W278" s="2"/>
      <c r="X278" s="2"/>
      <c r="Y278" s="2"/>
      <c r="Z278" s="2"/>
    </row>
    <row r="279" spans="1:26" ht="12.75">
      <c r="A279" s="22"/>
      <c r="B279" s="22"/>
      <c r="C279" s="22"/>
      <c r="D279" s="22"/>
      <c r="E279" s="22"/>
      <c r="F279" s="22"/>
      <c r="G279" s="22"/>
      <c r="H279" s="22"/>
      <c r="I279" s="22"/>
      <c r="J279" s="22"/>
      <c r="K279" s="22"/>
      <c r="L279" s="22"/>
      <c r="M279" s="22"/>
      <c r="N279" s="22"/>
      <c r="O279" s="22"/>
      <c r="P279" s="22"/>
      <c r="Q279" s="22"/>
      <c r="R279" s="22"/>
      <c r="S279" s="22"/>
      <c r="T279" s="22"/>
      <c r="U279" s="2"/>
      <c r="V279" s="2"/>
      <c r="W279" s="2"/>
      <c r="X279" s="2"/>
      <c r="Y279" s="2"/>
      <c r="Z279" s="2"/>
    </row>
    <row r="280" spans="1:26" ht="12.75">
      <c r="A280" s="22"/>
      <c r="B280" s="22"/>
      <c r="C280" s="22"/>
      <c r="D280" s="22"/>
      <c r="E280" s="22"/>
      <c r="F280" s="22"/>
      <c r="G280" s="22"/>
      <c r="H280" s="22"/>
      <c r="I280" s="22"/>
      <c r="J280" s="22"/>
      <c r="K280" s="22"/>
      <c r="L280" s="22"/>
      <c r="M280" s="22"/>
      <c r="N280" s="22"/>
      <c r="O280" s="22"/>
      <c r="P280" s="22"/>
      <c r="Q280" s="22"/>
      <c r="R280" s="22"/>
      <c r="S280" s="22"/>
      <c r="T280" s="22"/>
      <c r="U280" s="2"/>
      <c r="V280" s="2"/>
      <c r="W280" s="2"/>
      <c r="X280" s="2"/>
      <c r="Y280" s="2"/>
      <c r="Z280" s="2"/>
    </row>
    <row r="281" spans="1:26" ht="12.75">
      <c r="A281" s="22"/>
      <c r="B281" s="22"/>
      <c r="C281" s="22"/>
      <c r="D281" s="22"/>
      <c r="E281" s="22"/>
      <c r="F281" s="22"/>
      <c r="G281" s="22"/>
      <c r="H281" s="22"/>
      <c r="I281" s="22"/>
      <c r="J281" s="22"/>
      <c r="K281" s="22"/>
      <c r="L281" s="22"/>
      <c r="M281" s="22"/>
      <c r="N281" s="22"/>
      <c r="O281" s="22"/>
      <c r="P281" s="22"/>
      <c r="Q281" s="22"/>
      <c r="R281" s="22"/>
      <c r="S281" s="22"/>
      <c r="T281" s="22"/>
      <c r="U281" s="2"/>
      <c r="V281" s="2"/>
      <c r="W281" s="2"/>
      <c r="X281" s="2"/>
      <c r="Y281" s="2"/>
      <c r="Z281" s="2"/>
    </row>
    <row r="282" spans="1:26" ht="12.75">
      <c r="A282" s="22"/>
      <c r="B282" s="22"/>
      <c r="C282" s="22"/>
      <c r="D282" s="22"/>
      <c r="E282" s="22"/>
      <c r="F282" s="22"/>
      <c r="G282" s="22"/>
      <c r="H282" s="22"/>
      <c r="I282" s="22"/>
      <c r="J282" s="22"/>
      <c r="K282" s="22"/>
      <c r="L282" s="22"/>
      <c r="M282" s="22"/>
      <c r="N282" s="22"/>
      <c r="O282" s="22"/>
      <c r="P282" s="22"/>
      <c r="Q282" s="22"/>
      <c r="R282" s="22"/>
      <c r="S282" s="22"/>
      <c r="T282" s="22"/>
      <c r="U282" s="2"/>
      <c r="V282" s="2"/>
      <c r="W282" s="2"/>
      <c r="X282" s="2"/>
      <c r="Y282" s="2"/>
      <c r="Z282" s="2"/>
    </row>
    <row r="283" spans="1:26" ht="12.75">
      <c r="A283" s="22"/>
      <c r="B283" s="22"/>
      <c r="C283" s="22"/>
      <c r="D283" s="22"/>
      <c r="E283" s="22"/>
      <c r="F283" s="22"/>
      <c r="G283" s="22"/>
      <c r="H283" s="22"/>
      <c r="I283" s="22"/>
      <c r="J283" s="22"/>
      <c r="K283" s="22"/>
      <c r="L283" s="22"/>
      <c r="M283" s="22"/>
      <c r="N283" s="22"/>
      <c r="O283" s="22"/>
      <c r="P283" s="22"/>
      <c r="Q283" s="22"/>
      <c r="R283" s="22"/>
      <c r="S283" s="22"/>
      <c r="T283" s="22"/>
      <c r="U283" s="2"/>
      <c r="V283" s="2"/>
      <c r="W283" s="2"/>
      <c r="X283" s="2"/>
      <c r="Y283" s="2"/>
      <c r="Z283" s="2"/>
    </row>
    <row r="284" spans="1:26" ht="12.75">
      <c r="A284" s="22"/>
      <c r="B284" s="22"/>
      <c r="C284" s="22"/>
      <c r="D284" s="22"/>
      <c r="E284" s="22"/>
      <c r="F284" s="22"/>
      <c r="G284" s="22"/>
      <c r="H284" s="22"/>
      <c r="I284" s="22"/>
      <c r="J284" s="22"/>
      <c r="K284" s="22"/>
      <c r="L284" s="22"/>
      <c r="M284" s="22"/>
      <c r="N284" s="22"/>
      <c r="O284" s="22"/>
      <c r="P284" s="22"/>
      <c r="Q284" s="22"/>
      <c r="R284" s="22"/>
      <c r="S284" s="22"/>
      <c r="T284" s="22"/>
      <c r="U284" s="2"/>
      <c r="V284" s="2"/>
      <c r="W284" s="2"/>
      <c r="X284" s="2"/>
      <c r="Y284" s="2"/>
      <c r="Z284" s="2"/>
    </row>
    <row r="285" spans="1:26" ht="12.75">
      <c r="A285" s="22"/>
      <c r="B285" s="22"/>
      <c r="C285" s="22"/>
      <c r="D285" s="22"/>
      <c r="E285" s="22"/>
      <c r="F285" s="22"/>
      <c r="G285" s="22"/>
      <c r="H285" s="22"/>
      <c r="I285" s="22"/>
      <c r="J285" s="22"/>
      <c r="K285" s="22"/>
      <c r="L285" s="22"/>
      <c r="M285" s="22"/>
      <c r="N285" s="22"/>
      <c r="O285" s="22"/>
      <c r="P285" s="22"/>
      <c r="Q285" s="22"/>
      <c r="R285" s="22"/>
      <c r="S285" s="22"/>
      <c r="T285" s="22"/>
      <c r="U285" s="2"/>
      <c r="V285" s="2"/>
      <c r="W285" s="2"/>
      <c r="X285" s="2"/>
      <c r="Y285" s="2"/>
      <c r="Z285" s="2"/>
    </row>
    <row r="286" spans="1:26" ht="12.75">
      <c r="A286" s="22"/>
      <c r="B286" s="22"/>
      <c r="C286" s="22"/>
      <c r="D286" s="22"/>
      <c r="E286" s="22"/>
      <c r="F286" s="22"/>
      <c r="G286" s="22"/>
      <c r="H286" s="22"/>
      <c r="I286" s="22"/>
      <c r="J286" s="22"/>
      <c r="K286" s="22"/>
      <c r="L286" s="22"/>
      <c r="M286" s="22"/>
      <c r="N286" s="22"/>
      <c r="O286" s="22"/>
      <c r="P286" s="22"/>
      <c r="Q286" s="22"/>
      <c r="R286" s="22"/>
      <c r="S286" s="22"/>
      <c r="T286" s="22"/>
      <c r="U286" s="2"/>
      <c r="V286" s="2"/>
      <c r="W286" s="2"/>
      <c r="X286" s="2"/>
      <c r="Y286" s="2"/>
      <c r="Z286" s="2"/>
    </row>
    <row r="287" spans="1:26" ht="12.75">
      <c r="A287" s="22"/>
      <c r="B287" s="22"/>
      <c r="C287" s="22"/>
      <c r="D287" s="22"/>
      <c r="E287" s="22"/>
      <c r="F287" s="22"/>
      <c r="G287" s="22"/>
      <c r="H287" s="22"/>
      <c r="I287" s="22"/>
      <c r="J287" s="22"/>
      <c r="K287" s="22"/>
      <c r="L287" s="22"/>
      <c r="M287" s="22"/>
      <c r="N287" s="22"/>
      <c r="O287" s="22"/>
      <c r="P287" s="22"/>
      <c r="Q287" s="22"/>
      <c r="R287" s="22"/>
      <c r="S287" s="22"/>
      <c r="T287" s="22"/>
      <c r="U287" s="2"/>
      <c r="V287" s="2"/>
      <c r="W287" s="2"/>
      <c r="X287" s="2"/>
      <c r="Y287" s="2"/>
      <c r="Z287" s="2"/>
    </row>
    <row r="288" spans="1:26" ht="12.75">
      <c r="A288" s="22"/>
      <c r="B288" s="22"/>
      <c r="C288" s="22"/>
      <c r="D288" s="22"/>
      <c r="E288" s="22"/>
      <c r="F288" s="22"/>
      <c r="G288" s="22"/>
      <c r="H288" s="22"/>
      <c r="I288" s="22"/>
      <c r="J288" s="22"/>
      <c r="K288" s="22"/>
      <c r="L288" s="22"/>
      <c r="M288" s="22"/>
      <c r="N288" s="22"/>
      <c r="O288" s="22"/>
      <c r="P288" s="22"/>
      <c r="Q288" s="22"/>
      <c r="R288" s="22"/>
      <c r="S288" s="22"/>
      <c r="T288" s="22"/>
      <c r="U288" s="2"/>
      <c r="V288" s="2"/>
      <c r="W288" s="2"/>
      <c r="X288" s="2"/>
      <c r="Y288" s="2"/>
      <c r="Z288" s="2"/>
    </row>
    <row r="289" spans="1:26" ht="12.75">
      <c r="A289" s="22"/>
      <c r="B289" s="22"/>
      <c r="C289" s="22"/>
      <c r="D289" s="22"/>
      <c r="E289" s="22"/>
      <c r="F289" s="22"/>
      <c r="G289" s="22"/>
      <c r="H289" s="22"/>
      <c r="I289" s="22"/>
      <c r="J289" s="22"/>
      <c r="K289" s="22"/>
      <c r="L289" s="22"/>
      <c r="M289" s="22"/>
      <c r="N289" s="22"/>
      <c r="O289" s="22"/>
      <c r="P289" s="22"/>
      <c r="Q289" s="22"/>
      <c r="R289" s="22"/>
      <c r="S289" s="22"/>
      <c r="T289" s="22"/>
      <c r="U289" s="2"/>
      <c r="V289" s="2"/>
      <c r="W289" s="2"/>
      <c r="X289" s="2"/>
      <c r="Y289" s="2"/>
      <c r="Z289" s="2"/>
    </row>
    <row r="290" spans="1:26" ht="12.75">
      <c r="A290" s="22"/>
      <c r="B290" s="22"/>
      <c r="C290" s="22"/>
      <c r="D290" s="22"/>
      <c r="E290" s="22"/>
      <c r="F290" s="22"/>
      <c r="G290" s="22"/>
      <c r="H290" s="22"/>
      <c r="I290" s="22"/>
      <c r="J290" s="22"/>
      <c r="K290" s="22"/>
      <c r="L290" s="22"/>
      <c r="M290" s="22"/>
      <c r="N290" s="22"/>
      <c r="O290" s="22"/>
      <c r="P290" s="22"/>
      <c r="Q290" s="22"/>
      <c r="R290" s="22"/>
      <c r="S290" s="22"/>
      <c r="T290" s="22"/>
      <c r="U290" s="2"/>
      <c r="V290" s="2"/>
      <c r="W290" s="2"/>
      <c r="X290" s="2"/>
      <c r="Y290" s="2"/>
      <c r="Z290" s="2"/>
    </row>
    <row r="291" spans="1:26" ht="12.75">
      <c r="A291" s="22"/>
      <c r="B291" s="22"/>
      <c r="C291" s="22"/>
      <c r="D291" s="22"/>
      <c r="E291" s="22"/>
      <c r="F291" s="22"/>
      <c r="G291" s="22"/>
      <c r="H291" s="22"/>
      <c r="I291" s="22"/>
      <c r="J291" s="22"/>
      <c r="K291" s="22"/>
      <c r="L291" s="22"/>
      <c r="M291" s="22"/>
      <c r="N291" s="22"/>
      <c r="O291" s="22"/>
      <c r="P291" s="22"/>
      <c r="Q291" s="22"/>
      <c r="R291" s="22"/>
      <c r="S291" s="22"/>
      <c r="T291" s="22"/>
      <c r="U291" s="2"/>
      <c r="V291" s="2"/>
      <c r="W291" s="2"/>
      <c r="X291" s="2"/>
      <c r="Y291" s="2"/>
      <c r="Z291" s="2"/>
    </row>
    <row r="292" spans="1:26" ht="12.75">
      <c r="A292" s="22"/>
      <c r="B292" s="22"/>
      <c r="C292" s="22"/>
      <c r="D292" s="22"/>
      <c r="E292" s="22"/>
      <c r="F292" s="22"/>
      <c r="G292" s="22"/>
      <c r="H292" s="22"/>
      <c r="I292" s="22"/>
      <c r="J292" s="22"/>
      <c r="K292" s="22"/>
      <c r="L292" s="22"/>
      <c r="M292" s="22"/>
      <c r="N292" s="22"/>
      <c r="O292" s="22"/>
      <c r="P292" s="22"/>
      <c r="Q292" s="22"/>
      <c r="R292" s="22"/>
      <c r="S292" s="22"/>
      <c r="T292" s="22"/>
      <c r="U292" s="2"/>
      <c r="V292" s="2"/>
      <c r="W292" s="2"/>
      <c r="X292" s="2"/>
      <c r="Y292" s="2"/>
      <c r="Z292" s="2"/>
    </row>
    <row r="293" spans="1:26" ht="12.75">
      <c r="A293" s="22"/>
      <c r="B293" s="22"/>
      <c r="C293" s="22"/>
      <c r="D293" s="22"/>
      <c r="E293" s="22"/>
      <c r="F293" s="22"/>
      <c r="G293" s="22"/>
      <c r="H293" s="22"/>
      <c r="I293" s="22"/>
      <c r="J293" s="22"/>
      <c r="K293" s="22"/>
      <c r="L293" s="22"/>
      <c r="M293" s="22"/>
      <c r="N293" s="22"/>
      <c r="O293" s="22"/>
      <c r="P293" s="22"/>
      <c r="Q293" s="22"/>
      <c r="R293" s="22"/>
      <c r="S293" s="22"/>
      <c r="T293" s="22"/>
      <c r="U293" s="2"/>
      <c r="V293" s="2"/>
      <c r="W293" s="2"/>
      <c r="X293" s="2"/>
      <c r="Y293" s="2"/>
      <c r="Z293" s="2"/>
    </row>
    <row r="294" spans="1:26" ht="12.75">
      <c r="A294" s="22"/>
      <c r="B294" s="22"/>
      <c r="C294" s="22"/>
      <c r="D294" s="22"/>
      <c r="E294" s="22"/>
      <c r="F294" s="22"/>
      <c r="G294" s="22"/>
      <c r="H294" s="22"/>
      <c r="I294" s="22"/>
      <c r="J294" s="22"/>
      <c r="K294" s="22"/>
      <c r="L294" s="22"/>
      <c r="M294" s="22"/>
      <c r="N294" s="22"/>
      <c r="O294" s="22"/>
      <c r="P294" s="22"/>
      <c r="Q294" s="22"/>
      <c r="R294" s="22"/>
      <c r="S294" s="22"/>
      <c r="T294" s="22"/>
      <c r="U294" s="2"/>
      <c r="V294" s="2"/>
      <c r="W294" s="2"/>
      <c r="X294" s="2"/>
      <c r="Y294" s="2"/>
      <c r="Z294" s="2"/>
    </row>
    <row r="295" spans="1:26" ht="12.75">
      <c r="A295" s="22"/>
      <c r="B295" s="22"/>
      <c r="C295" s="22"/>
      <c r="D295" s="22"/>
      <c r="E295" s="22"/>
      <c r="F295" s="22"/>
      <c r="G295" s="22"/>
      <c r="H295" s="22"/>
      <c r="I295" s="22"/>
      <c r="J295" s="22"/>
      <c r="K295" s="22"/>
      <c r="L295" s="22"/>
      <c r="M295" s="22"/>
      <c r="N295" s="22"/>
      <c r="O295" s="22"/>
      <c r="P295" s="22"/>
      <c r="Q295" s="22"/>
      <c r="R295" s="22"/>
      <c r="S295" s="22"/>
      <c r="T295" s="22"/>
      <c r="U295" s="2"/>
      <c r="V295" s="2"/>
      <c r="W295" s="2"/>
      <c r="X295" s="2"/>
      <c r="Y295" s="2"/>
      <c r="Z295" s="2"/>
    </row>
    <row r="296" spans="1:26" ht="12.75">
      <c r="A296" s="22"/>
      <c r="B296" s="22"/>
      <c r="C296" s="22"/>
      <c r="D296" s="22"/>
      <c r="E296" s="22"/>
      <c r="F296" s="22"/>
      <c r="G296" s="22"/>
      <c r="H296" s="22"/>
      <c r="I296" s="22"/>
      <c r="J296" s="22"/>
      <c r="K296" s="22"/>
      <c r="L296" s="22"/>
      <c r="M296" s="22"/>
      <c r="N296" s="22"/>
      <c r="O296" s="22"/>
      <c r="P296" s="22"/>
      <c r="Q296" s="22"/>
      <c r="R296" s="22"/>
      <c r="S296" s="22"/>
      <c r="T296" s="22"/>
      <c r="U296" s="2"/>
      <c r="V296" s="2"/>
      <c r="W296" s="2"/>
      <c r="X296" s="2"/>
      <c r="Y296" s="2"/>
      <c r="Z296" s="2"/>
    </row>
    <row r="297" spans="1:26" ht="12.75">
      <c r="A297" s="22"/>
      <c r="B297" s="22"/>
      <c r="C297" s="22"/>
      <c r="D297" s="22"/>
      <c r="E297" s="22"/>
      <c r="F297" s="22"/>
      <c r="G297" s="22"/>
      <c r="H297" s="22"/>
      <c r="I297" s="22"/>
      <c r="J297" s="22"/>
      <c r="K297" s="22"/>
      <c r="L297" s="22"/>
      <c r="M297" s="22"/>
      <c r="N297" s="22"/>
      <c r="O297" s="22"/>
      <c r="P297" s="22"/>
      <c r="Q297" s="22"/>
      <c r="R297" s="22"/>
      <c r="S297" s="22"/>
      <c r="T297" s="22"/>
      <c r="U297" s="2"/>
      <c r="V297" s="2"/>
      <c r="W297" s="2"/>
      <c r="X297" s="2"/>
      <c r="Y297" s="2"/>
      <c r="Z297" s="2"/>
    </row>
    <row r="298" spans="1:26" ht="12.75">
      <c r="A298" s="22"/>
      <c r="B298" s="22"/>
      <c r="C298" s="22"/>
      <c r="D298" s="22"/>
      <c r="E298" s="22"/>
      <c r="F298" s="22"/>
      <c r="G298" s="22"/>
      <c r="H298" s="22"/>
      <c r="I298" s="22"/>
      <c r="J298" s="22"/>
      <c r="K298" s="22"/>
      <c r="L298" s="22"/>
      <c r="M298" s="22"/>
      <c r="N298" s="22"/>
      <c r="O298" s="22"/>
      <c r="P298" s="22"/>
      <c r="Q298" s="22"/>
      <c r="R298" s="22"/>
      <c r="S298" s="22"/>
      <c r="T298" s="22"/>
      <c r="U298" s="2"/>
      <c r="V298" s="2"/>
      <c r="W298" s="2"/>
      <c r="X298" s="2"/>
      <c r="Y298" s="2"/>
      <c r="Z298" s="2"/>
    </row>
    <row r="299" spans="1:26" ht="12.75">
      <c r="A299" s="22"/>
      <c r="B299" s="22"/>
      <c r="C299" s="22"/>
      <c r="D299" s="22"/>
      <c r="E299" s="22"/>
      <c r="F299" s="22"/>
      <c r="G299" s="22"/>
      <c r="H299" s="22"/>
      <c r="I299" s="22"/>
      <c r="J299" s="22"/>
      <c r="K299" s="22"/>
      <c r="L299" s="22"/>
      <c r="M299" s="22"/>
      <c r="N299" s="22"/>
      <c r="O299" s="22"/>
      <c r="P299" s="22"/>
      <c r="Q299" s="22"/>
      <c r="R299" s="22"/>
      <c r="S299" s="22"/>
      <c r="T299" s="22"/>
      <c r="U299" s="2"/>
      <c r="V299" s="2"/>
      <c r="W299" s="2"/>
      <c r="X299" s="2"/>
      <c r="Y299" s="2"/>
      <c r="Z299" s="2"/>
    </row>
    <row r="300" spans="1:26" ht="12.75">
      <c r="A300" s="22"/>
      <c r="B300" s="22"/>
      <c r="C300" s="22"/>
      <c r="D300" s="22"/>
      <c r="E300" s="22"/>
      <c r="F300" s="22"/>
      <c r="G300" s="22"/>
      <c r="H300" s="22"/>
      <c r="I300" s="22"/>
      <c r="J300" s="22"/>
      <c r="K300" s="22"/>
      <c r="L300" s="22"/>
      <c r="M300" s="22"/>
      <c r="N300" s="22"/>
      <c r="O300" s="22"/>
      <c r="P300" s="22"/>
      <c r="Q300" s="22"/>
      <c r="R300" s="22"/>
      <c r="S300" s="22"/>
      <c r="T300" s="22"/>
      <c r="U300" s="2"/>
      <c r="V300" s="2"/>
      <c r="W300" s="2"/>
      <c r="X300" s="2"/>
      <c r="Y300" s="2"/>
      <c r="Z300" s="2"/>
    </row>
    <row r="301" spans="1:26" ht="12.75">
      <c r="A301" s="22"/>
      <c r="B301" s="22"/>
      <c r="C301" s="22"/>
      <c r="D301" s="22"/>
      <c r="E301" s="22"/>
      <c r="F301" s="22"/>
      <c r="G301" s="22"/>
      <c r="H301" s="22"/>
      <c r="I301" s="22"/>
      <c r="J301" s="22"/>
      <c r="K301" s="22"/>
      <c r="L301" s="22"/>
      <c r="M301" s="22"/>
      <c r="N301" s="22"/>
      <c r="O301" s="22"/>
      <c r="P301" s="22"/>
      <c r="Q301" s="22"/>
      <c r="R301" s="22"/>
      <c r="S301" s="22"/>
      <c r="T301" s="22"/>
      <c r="U301" s="2"/>
      <c r="V301" s="2"/>
      <c r="W301" s="2"/>
      <c r="X301" s="2"/>
      <c r="Y301" s="2"/>
      <c r="Z301" s="2"/>
    </row>
    <row r="302" spans="1:26" ht="12.75">
      <c r="A302" s="22"/>
      <c r="B302" s="22"/>
      <c r="C302" s="22"/>
      <c r="D302" s="22"/>
      <c r="E302" s="22"/>
      <c r="F302" s="22"/>
      <c r="G302" s="22"/>
      <c r="H302" s="22"/>
      <c r="I302" s="22"/>
      <c r="J302" s="22"/>
      <c r="K302" s="22"/>
      <c r="L302" s="22"/>
      <c r="M302" s="22"/>
      <c r="N302" s="22"/>
      <c r="O302" s="22"/>
      <c r="P302" s="22"/>
      <c r="Q302" s="22"/>
      <c r="R302" s="22"/>
      <c r="S302" s="22"/>
      <c r="T302" s="22"/>
      <c r="U302" s="2"/>
      <c r="V302" s="2"/>
      <c r="W302" s="2"/>
      <c r="X302" s="2"/>
      <c r="Y302" s="2"/>
      <c r="Z302" s="2"/>
    </row>
    <row r="303" spans="1:26" ht="12.75">
      <c r="A303" s="22"/>
      <c r="B303" s="22"/>
      <c r="C303" s="22"/>
      <c r="D303" s="22"/>
      <c r="E303" s="22"/>
      <c r="F303" s="22"/>
      <c r="G303" s="22"/>
      <c r="H303" s="22"/>
      <c r="I303" s="22"/>
      <c r="J303" s="22"/>
      <c r="K303" s="22"/>
      <c r="L303" s="22"/>
      <c r="M303" s="22"/>
      <c r="N303" s="22"/>
      <c r="O303" s="22"/>
      <c r="P303" s="22"/>
      <c r="Q303" s="22"/>
      <c r="R303" s="22"/>
      <c r="S303" s="22"/>
      <c r="T303" s="22"/>
      <c r="U303" s="2"/>
      <c r="V303" s="2"/>
      <c r="W303" s="2"/>
      <c r="X303" s="2"/>
      <c r="Y303" s="2"/>
      <c r="Z303" s="2"/>
    </row>
    <row r="304" spans="1:26" ht="12.75">
      <c r="A304" s="22"/>
      <c r="B304" s="22"/>
      <c r="C304" s="22"/>
      <c r="D304" s="22"/>
      <c r="E304" s="22"/>
      <c r="F304" s="22"/>
      <c r="G304" s="22"/>
      <c r="H304" s="22"/>
      <c r="I304" s="22"/>
      <c r="J304" s="22"/>
      <c r="K304" s="22"/>
      <c r="L304" s="22"/>
      <c r="M304" s="22"/>
      <c r="N304" s="22"/>
      <c r="O304" s="22"/>
      <c r="P304" s="22"/>
      <c r="Q304" s="22"/>
      <c r="R304" s="22"/>
      <c r="S304" s="22"/>
      <c r="T304" s="22"/>
      <c r="U304" s="2"/>
      <c r="V304" s="2"/>
      <c r="W304" s="2"/>
      <c r="X304" s="2"/>
      <c r="Y304" s="2"/>
      <c r="Z304" s="2"/>
    </row>
    <row r="305" spans="1:26" ht="12.75">
      <c r="A305" s="22"/>
      <c r="B305" s="22"/>
      <c r="C305" s="22"/>
      <c r="D305" s="22"/>
      <c r="E305" s="22"/>
      <c r="F305" s="22"/>
      <c r="G305" s="22"/>
      <c r="H305" s="22"/>
      <c r="I305" s="22"/>
      <c r="J305" s="22"/>
      <c r="K305" s="22"/>
      <c r="L305" s="22"/>
      <c r="M305" s="22"/>
      <c r="N305" s="22"/>
      <c r="O305" s="22"/>
      <c r="P305" s="22"/>
      <c r="Q305" s="22"/>
      <c r="R305" s="22"/>
      <c r="S305" s="22"/>
      <c r="T305" s="22"/>
      <c r="U305" s="2"/>
      <c r="V305" s="2"/>
      <c r="W305" s="2"/>
      <c r="X305" s="2"/>
      <c r="Y305" s="2"/>
      <c r="Z305" s="2"/>
    </row>
    <row r="306" spans="1:26" ht="12.75">
      <c r="A306" s="22"/>
      <c r="B306" s="22"/>
      <c r="C306" s="22"/>
      <c r="D306" s="22"/>
      <c r="E306" s="22"/>
      <c r="F306" s="22"/>
      <c r="G306" s="22"/>
      <c r="H306" s="22"/>
      <c r="I306" s="22"/>
      <c r="J306" s="22"/>
      <c r="K306" s="22"/>
      <c r="L306" s="22"/>
      <c r="M306" s="22"/>
      <c r="N306" s="22"/>
      <c r="O306" s="22"/>
      <c r="P306" s="22"/>
      <c r="Q306" s="22"/>
      <c r="R306" s="22"/>
      <c r="S306" s="22"/>
      <c r="T306" s="22"/>
      <c r="U306" s="2"/>
      <c r="V306" s="2"/>
      <c r="W306" s="2"/>
      <c r="X306" s="2"/>
      <c r="Y306" s="2"/>
      <c r="Z306" s="2"/>
    </row>
    <row r="307" spans="1:26" ht="12.75">
      <c r="A307" s="22"/>
      <c r="B307" s="22"/>
      <c r="C307" s="22"/>
      <c r="D307" s="22"/>
      <c r="E307" s="22"/>
      <c r="F307" s="22"/>
      <c r="G307" s="22"/>
      <c r="H307" s="22"/>
      <c r="I307" s="22"/>
      <c r="J307" s="22"/>
      <c r="K307" s="22"/>
      <c r="L307" s="22"/>
      <c r="M307" s="22"/>
      <c r="N307" s="22"/>
      <c r="O307" s="22"/>
      <c r="P307" s="22"/>
      <c r="Q307" s="22"/>
      <c r="R307" s="22"/>
      <c r="S307" s="22"/>
      <c r="T307" s="22"/>
      <c r="U307" s="2"/>
      <c r="V307" s="2"/>
      <c r="W307" s="2"/>
      <c r="X307" s="2"/>
      <c r="Y307" s="2"/>
      <c r="Z307" s="2"/>
    </row>
    <row r="308" spans="1:26" ht="12.75">
      <c r="A308" s="22"/>
      <c r="B308" s="22"/>
      <c r="C308" s="22"/>
      <c r="D308" s="22"/>
      <c r="E308" s="22"/>
      <c r="F308" s="22"/>
      <c r="G308" s="22"/>
      <c r="H308" s="22"/>
      <c r="I308" s="22"/>
      <c r="J308" s="22"/>
      <c r="K308" s="22"/>
      <c r="L308" s="22"/>
      <c r="M308" s="22"/>
      <c r="N308" s="22"/>
      <c r="O308" s="22"/>
      <c r="P308" s="22"/>
      <c r="Q308" s="22"/>
      <c r="R308" s="22"/>
      <c r="S308" s="22"/>
      <c r="T308" s="22"/>
      <c r="U308" s="2"/>
      <c r="V308" s="2"/>
      <c r="W308" s="2"/>
      <c r="X308" s="2"/>
      <c r="Y308" s="2"/>
      <c r="Z308" s="2"/>
    </row>
    <row r="309" spans="1:26" ht="12.75">
      <c r="A309" s="22"/>
      <c r="B309" s="22"/>
      <c r="C309" s="22"/>
      <c r="D309" s="22"/>
      <c r="E309" s="22"/>
      <c r="F309" s="22"/>
      <c r="G309" s="22"/>
      <c r="H309" s="22"/>
      <c r="I309" s="22"/>
      <c r="J309" s="22"/>
      <c r="K309" s="22"/>
      <c r="L309" s="22"/>
      <c r="M309" s="22"/>
      <c r="N309" s="22"/>
      <c r="O309" s="22"/>
      <c r="P309" s="22"/>
      <c r="Q309" s="22"/>
      <c r="R309" s="22"/>
      <c r="S309" s="22"/>
      <c r="T309" s="22"/>
      <c r="U309" s="2"/>
      <c r="V309" s="2"/>
      <c r="W309" s="2"/>
      <c r="X309" s="2"/>
      <c r="Y309" s="2"/>
      <c r="Z309" s="2"/>
    </row>
    <row r="310" spans="1:26" ht="12.75">
      <c r="A310" s="22"/>
      <c r="B310" s="22"/>
      <c r="C310" s="22"/>
      <c r="D310" s="22"/>
      <c r="E310" s="22"/>
      <c r="F310" s="22"/>
      <c r="G310" s="22"/>
      <c r="H310" s="22"/>
      <c r="I310" s="22"/>
      <c r="J310" s="22"/>
      <c r="K310" s="22"/>
      <c r="L310" s="22"/>
      <c r="M310" s="22"/>
      <c r="N310" s="22"/>
      <c r="O310" s="22"/>
      <c r="P310" s="22"/>
      <c r="Q310" s="22"/>
      <c r="R310" s="22"/>
      <c r="S310" s="22"/>
      <c r="T310" s="22"/>
      <c r="U310" s="2"/>
      <c r="V310" s="2"/>
      <c r="W310" s="2"/>
      <c r="X310" s="2"/>
      <c r="Y310" s="2"/>
      <c r="Z310" s="2"/>
    </row>
    <row r="311" spans="1:26" ht="12.75">
      <c r="A311" s="22"/>
      <c r="B311" s="22"/>
      <c r="C311" s="22"/>
      <c r="D311" s="22"/>
      <c r="E311" s="22"/>
      <c r="F311" s="22"/>
      <c r="G311" s="22"/>
      <c r="H311" s="22"/>
      <c r="I311" s="22"/>
      <c r="J311" s="22"/>
      <c r="K311" s="22"/>
      <c r="L311" s="22"/>
      <c r="M311" s="22"/>
      <c r="N311" s="22"/>
      <c r="O311" s="22"/>
      <c r="P311" s="22"/>
      <c r="Q311" s="22"/>
      <c r="R311" s="22"/>
      <c r="S311" s="22"/>
      <c r="T311" s="22"/>
      <c r="U311" s="2"/>
      <c r="V311" s="2"/>
      <c r="W311" s="2"/>
      <c r="X311" s="2"/>
      <c r="Y311" s="2"/>
      <c r="Z311" s="2"/>
    </row>
    <row r="312" spans="1:26" ht="12.75">
      <c r="A312" s="22"/>
      <c r="B312" s="22"/>
      <c r="C312" s="22"/>
      <c r="D312" s="22"/>
      <c r="E312" s="22"/>
      <c r="F312" s="22"/>
      <c r="G312" s="22"/>
      <c r="H312" s="22"/>
      <c r="I312" s="22"/>
      <c r="J312" s="22"/>
      <c r="K312" s="22"/>
      <c r="L312" s="22"/>
      <c r="M312" s="22"/>
      <c r="N312" s="22"/>
      <c r="O312" s="22"/>
      <c r="P312" s="22"/>
      <c r="Q312" s="22"/>
      <c r="R312" s="22"/>
      <c r="S312" s="22"/>
      <c r="T312" s="22"/>
      <c r="U312" s="2"/>
      <c r="V312" s="2"/>
      <c r="W312" s="2"/>
      <c r="X312" s="2"/>
      <c r="Y312" s="2"/>
      <c r="Z312" s="2"/>
    </row>
    <row r="313" spans="1:26" ht="12.75">
      <c r="A313" s="22"/>
      <c r="B313" s="22"/>
      <c r="C313" s="22"/>
      <c r="D313" s="22"/>
      <c r="E313" s="22"/>
      <c r="F313" s="22"/>
      <c r="G313" s="22"/>
      <c r="H313" s="22"/>
      <c r="I313" s="22"/>
      <c r="J313" s="22"/>
      <c r="K313" s="22"/>
      <c r="L313" s="22"/>
      <c r="M313" s="22"/>
      <c r="N313" s="22"/>
      <c r="O313" s="22"/>
      <c r="P313" s="22"/>
      <c r="Q313" s="22"/>
      <c r="R313" s="22"/>
      <c r="S313" s="22"/>
      <c r="T313" s="22"/>
      <c r="U313" s="2"/>
      <c r="V313" s="2"/>
      <c r="W313" s="2"/>
      <c r="X313" s="2"/>
      <c r="Y313" s="2"/>
      <c r="Z313" s="2"/>
    </row>
    <row r="314" spans="1:26" ht="12.75">
      <c r="A314" s="22"/>
      <c r="B314" s="22"/>
      <c r="C314" s="22"/>
      <c r="D314" s="22"/>
      <c r="E314" s="22"/>
      <c r="F314" s="22"/>
      <c r="G314" s="22"/>
      <c r="H314" s="22"/>
      <c r="I314" s="22"/>
      <c r="J314" s="22"/>
      <c r="K314" s="22"/>
      <c r="L314" s="22"/>
      <c r="M314" s="22"/>
      <c r="N314" s="22"/>
      <c r="O314" s="22"/>
      <c r="P314" s="22"/>
      <c r="Q314" s="22"/>
      <c r="R314" s="22"/>
      <c r="S314" s="22"/>
      <c r="T314" s="22"/>
      <c r="U314" s="2"/>
      <c r="V314" s="2"/>
      <c r="W314" s="2"/>
      <c r="X314" s="2"/>
      <c r="Y314" s="2"/>
      <c r="Z314" s="2"/>
    </row>
    <row r="315" spans="1:26" ht="12.75">
      <c r="A315" s="22"/>
      <c r="B315" s="22"/>
      <c r="C315" s="22"/>
      <c r="D315" s="22"/>
      <c r="E315" s="22"/>
      <c r="F315" s="22"/>
      <c r="G315" s="22"/>
      <c r="H315" s="22"/>
      <c r="I315" s="22"/>
      <c r="J315" s="22"/>
      <c r="K315" s="22"/>
      <c r="L315" s="22"/>
      <c r="M315" s="22"/>
      <c r="N315" s="22"/>
      <c r="O315" s="22"/>
      <c r="P315" s="22"/>
      <c r="Q315" s="22"/>
      <c r="R315" s="22"/>
      <c r="S315" s="22"/>
      <c r="T315" s="22"/>
      <c r="U315" s="2"/>
      <c r="V315" s="2"/>
      <c r="W315" s="2"/>
      <c r="X315" s="2"/>
      <c r="Y315" s="2"/>
      <c r="Z315" s="2"/>
    </row>
    <row r="316" spans="1:26" ht="12.75">
      <c r="A316" s="22"/>
      <c r="B316" s="22"/>
      <c r="C316" s="22"/>
      <c r="D316" s="22"/>
      <c r="E316" s="22"/>
      <c r="F316" s="22"/>
      <c r="G316" s="22"/>
      <c r="H316" s="22"/>
      <c r="I316" s="22"/>
      <c r="J316" s="22"/>
      <c r="K316" s="22"/>
      <c r="L316" s="22"/>
      <c r="M316" s="22"/>
      <c r="N316" s="22"/>
      <c r="O316" s="22"/>
      <c r="P316" s="22"/>
      <c r="Q316" s="22"/>
      <c r="R316" s="22"/>
      <c r="S316" s="22"/>
      <c r="T316" s="22"/>
      <c r="U316" s="2"/>
      <c r="V316" s="2"/>
      <c r="W316" s="2"/>
      <c r="X316" s="2"/>
      <c r="Y316" s="2"/>
      <c r="Z316" s="2"/>
    </row>
    <row r="317" spans="1:26" ht="12.75">
      <c r="A317" s="22"/>
      <c r="B317" s="22"/>
      <c r="C317" s="22"/>
      <c r="D317" s="22"/>
      <c r="E317" s="22"/>
      <c r="F317" s="22"/>
      <c r="G317" s="22"/>
      <c r="H317" s="22"/>
      <c r="I317" s="22"/>
      <c r="J317" s="22"/>
      <c r="K317" s="22"/>
      <c r="L317" s="22"/>
      <c r="M317" s="22"/>
      <c r="N317" s="22"/>
      <c r="O317" s="22"/>
      <c r="P317" s="22"/>
      <c r="Q317" s="22"/>
      <c r="R317" s="22"/>
      <c r="S317" s="22"/>
      <c r="T317" s="22"/>
      <c r="U317" s="2"/>
      <c r="V317" s="2"/>
      <c r="W317" s="2"/>
      <c r="X317" s="2"/>
      <c r="Y317" s="2"/>
      <c r="Z317" s="2"/>
    </row>
    <row r="318" spans="1:26" ht="12.75">
      <c r="A318" s="22"/>
      <c r="B318" s="22"/>
      <c r="C318" s="22"/>
      <c r="D318" s="22"/>
      <c r="E318" s="22"/>
      <c r="F318" s="22"/>
      <c r="G318" s="22"/>
      <c r="H318" s="22"/>
      <c r="I318" s="22"/>
      <c r="J318" s="22"/>
      <c r="K318" s="22"/>
      <c r="L318" s="22"/>
      <c r="M318" s="22"/>
      <c r="N318" s="22"/>
      <c r="O318" s="22"/>
      <c r="P318" s="22"/>
      <c r="Q318" s="22"/>
      <c r="R318" s="22"/>
      <c r="S318" s="22"/>
      <c r="T318" s="22"/>
      <c r="U318" s="2"/>
      <c r="V318" s="2"/>
      <c r="W318" s="2"/>
      <c r="X318" s="2"/>
      <c r="Y318" s="2"/>
      <c r="Z318" s="2"/>
    </row>
    <row r="319" spans="1:26" ht="12.75">
      <c r="A319" s="22"/>
      <c r="B319" s="22"/>
      <c r="C319" s="22"/>
      <c r="D319" s="22"/>
      <c r="E319" s="22"/>
      <c r="F319" s="22"/>
      <c r="G319" s="22"/>
      <c r="H319" s="22"/>
      <c r="I319" s="22"/>
      <c r="J319" s="22"/>
      <c r="K319" s="22"/>
      <c r="L319" s="22"/>
      <c r="M319" s="22"/>
      <c r="N319" s="22"/>
      <c r="O319" s="22"/>
      <c r="P319" s="22"/>
      <c r="Q319" s="22"/>
      <c r="R319" s="22"/>
      <c r="S319" s="22"/>
      <c r="T319" s="22"/>
      <c r="U319" s="2"/>
      <c r="V319" s="2"/>
      <c r="W319" s="2"/>
      <c r="X319" s="2"/>
      <c r="Y319" s="2"/>
      <c r="Z319" s="2"/>
    </row>
    <row r="320" spans="1:26" ht="12.75">
      <c r="A320" s="22"/>
      <c r="B320" s="22"/>
      <c r="C320" s="22"/>
      <c r="D320" s="22"/>
      <c r="E320" s="22"/>
      <c r="F320" s="22"/>
      <c r="G320" s="22"/>
      <c r="H320" s="22"/>
      <c r="I320" s="22"/>
      <c r="J320" s="22"/>
      <c r="K320" s="22"/>
      <c r="L320" s="22"/>
      <c r="M320" s="22"/>
      <c r="N320" s="22"/>
      <c r="O320" s="22"/>
      <c r="P320" s="22"/>
      <c r="Q320" s="22"/>
      <c r="R320" s="22"/>
      <c r="S320" s="22"/>
      <c r="T320" s="22"/>
      <c r="U320" s="2"/>
      <c r="V320" s="2"/>
      <c r="W320" s="2"/>
      <c r="X320" s="2"/>
      <c r="Y320" s="2"/>
      <c r="Z320" s="2"/>
    </row>
    <row r="321" spans="1:26" ht="12.75">
      <c r="A321" s="22"/>
      <c r="B321" s="22"/>
      <c r="C321" s="22"/>
      <c r="D321" s="22"/>
      <c r="E321" s="22"/>
      <c r="F321" s="22"/>
      <c r="G321" s="22"/>
      <c r="H321" s="22"/>
      <c r="I321" s="22"/>
      <c r="J321" s="22"/>
      <c r="K321" s="22"/>
      <c r="L321" s="22"/>
      <c r="M321" s="22"/>
      <c r="N321" s="22"/>
      <c r="O321" s="22"/>
      <c r="P321" s="22"/>
      <c r="Q321" s="22"/>
      <c r="R321" s="22"/>
      <c r="S321" s="22"/>
      <c r="T321" s="22"/>
      <c r="U321" s="2"/>
      <c r="V321" s="2"/>
      <c r="W321" s="2"/>
      <c r="X321" s="2"/>
      <c r="Y321" s="2"/>
      <c r="Z321" s="2"/>
    </row>
    <row r="322" spans="1:26" ht="12.75">
      <c r="A322" s="22"/>
      <c r="B322" s="22"/>
      <c r="C322" s="22"/>
      <c r="D322" s="22"/>
      <c r="E322" s="22"/>
      <c r="F322" s="22"/>
      <c r="G322" s="22"/>
      <c r="H322" s="22"/>
      <c r="I322" s="22"/>
      <c r="J322" s="22"/>
      <c r="K322" s="22"/>
      <c r="L322" s="22"/>
      <c r="M322" s="22"/>
      <c r="N322" s="22"/>
      <c r="O322" s="22"/>
      <c r="P322" s="22"/>
      <c r="Q322" s="22"/>
      <c r="R322" s="22"/>
      <c r="S322" s="22"/>
      <c r="T322" s="22"/>
      <c r="U322" s="2"/>
      <c r="V322" s="2"/>
      <c r="W322" s="2"/>
      <c r="X322" s="2"/>
      <c r="Y322" s="2"/>
      <c r="Z322" s="2"/>
    </row>
    <row r="323" spans="1:26" ht="12.75">
      <c r="A323" s="22"/>
      <c r="B323" s="22"/>
      <c r="C323" s="22"/>
      <c r="D323" s="22"/>
      <c r="E323" s="22"/>
      <c r="F323" s="22"/>
      <c r="G323" s="22"/>
      <c r="H323" s="22"/>
      <c r="I323" s="22"/>
      <c r="J323" s="22"/>
      <c r="K323" s="22"/>
      <c r="L323" s="22"/>
      <c r="M323" s="22"/>
      <c r="N323" s="22"/>
      <c r="O323" s="22"/>
      <c r="P323" s="22"/>
      <c r="Q323" s="22"/>
      <c r="R323" s="22"/>
      <c r="S323" s="22"/>
      <c r="T323" s="22"/>
      <c r="U323" s="2"/>
      <c r="V323" s="2"/>
      <c r="W323" s="2"/>
      <c r="X323" s="2"/>
      <c r="Y323" s="2"/>
      <c r="Z323" s="2"/>
    </row>
    <row r="324" spans="1:26" ht="12.75">
      <c r="A324" s="22"/>
      <c r="B324" s="22"/>
      <c r="C324" s="22"/>
      <c r="D324" s="22"/>
      <c r="E324" s="22"/>
      <c r="F324" s="22"/>
      <c r="G324" s="22"/>
      <c r="H324" s="22"/>
      <c r="I324" s="22"/>
      <c r="J324" s="22"/>
      <c r="K324" s="22"/>
      <c r="L324" s="22"/>
      <c r="M324" s="22"/>
      <c r="N324" s="22"/>
      <c r="O324" s="22"/>
      <c r="P324" s="22"/>
      <c r="Q324" s="22"/>
      <c r="R324" s="22"/>
      <c r="S324" s="22"/>
      <c r="T324" s="22"/>
      <c r="U324" s="2"/>
      <c r="V324" s="2"/>
      <c r="W324" s="2"/>
      <c r="X324" s="2"/>
      <c r="Y324" s="2"/>
      <c r="Z324" s="2"/>
    </row>
    <row r="325" spans="1:26" ht="12.75">
      <c r="A325" s="22"/>
      <c r="B325" s="22"/>
      <c r="C325" s="22"/>
      <c r="D325" s="22"/>
      <c r="E325" s="22"/>
      <c r="F325" s="22"/>
      <c r="G325" s="22"/>
      <c r="H325" s="22"/>
      <c r="I325" s="22"/>
      <c r="J325" s="22"/>
      <c r="K325" s="22"/>
      <c r="L325" s="22"/>
      <c r="M325" s="22"/>
      <c r="N325" s="22"/>
      <c r="O325" s="22"/>
      <c r="P325" s="22"/>
      <c r="Q325" s="22"/>
      <c r="R325" s="22"/>
      <c r="S325" s="22"/>
      <c r="T325" s="22"/>
      <c r="U325" s="2"/>
      <c r="V325" s="2"/>
      <c r="W325" s="2"/>
      <c r="X325" s="2"/>
      <c r="Y325" s="2"/>
      <c r="Z325" s="2"/>
    </row>
    <row r="326" spans="1:26" ht="12.75">
      <c r="A326" s="22"/>
      <c r="B326" s="22"/>
      <c r="C326" s="22"/>
      <c r="D326" s="22"/>
      <c r="E326" s="22"/>
      <c r="F326" s="22"/>
      <c r="G326" s="22"/>
      <c r="H326" s="22"/>
      <c r="I326" s="22"/>
      <c r="J326" s="22"/>
      <c r="K326" s="22"/>
      <c r="L326" s="22"/>
      <c r="M326" s="22"/>
      <c r="N326" s="22"/>
      <c r="O326" s="22"/>
      <c r="P326" s="22"/>
      <c r="Q326" s="22"/>
      <c r="R326" s="22"/>
      <c r="S326" s="22"/>
      <c r="T326" s="22"/>
      <c r="U326" s="2"/>
      <c r="V326" s="2"/>
      <c r="W326" s="2"/>
      <c r="X326" s="2"/>
      <c r="Y326" s="2"/>
      <c r="Z326" s="2"/>
    </row>
    <row r="327" spans="1:26" ht="12.75">
      <c r="A327" s="22"/>
      <c r="B327" s="22"/>
      <c r="C327" s="22"/>
      <c r="D327" s="22"/>
      <c r="E327" s="22"/>
      <c r="F327" s="22"/>
      <c r="G327" s="22"/>
      <c r="H327" s="22"/>
      <c r="I327" s="22"/>
      <c r="J327" s="22"/>
      <c r="K327" s="22"/>
      <c r="L327" s="22"/>
      <c r="M327" s="22"/>
      <c r="N327" s="22"/>
      <c r="O327" s="22"/>
      <c r="P327" s="22"/>
      <c r="Q327" s="22"/>
      <c r="R327" s="22"/>
      <c r="S327" s="22"/>
      <c r="T327" s="22"/>
      <c r="U327" s="2"/>
      <c r="V327" s="2"/>
      <c r="W327" s="2"/>
      <c r="X327" s="2"/>
      <c r="Y327" s="2"/>
      <c r="Z327" s="2"/>
    </row>
    <row r="328" spans="1:26" ht="12.75">
      <c r="A328" s="22"/>
      <c r="B328" s="22"/>
      <c r="C328" s="22"/>
      <c r="D328" s="22"/>
      <c r="E328" s="22"/>
      <c r="F328" s="22"/>
      <c r="G328" s="22"/>
      <c r="H328" s="22"/>
      <c r="I328" s="22"/>
      <c r="J328" s="22"/>
      <c r="K328" s="22"/>
      <c r="L328" s="22"/>
      <c r="M328" s="22"/>
      <c r="N328" s="22"/>
      <c r="O328" s="22"/>
      <c r="P328" s="22"/>
      <c r="Q328" s="22"/>
      <c r="R328" s="22"/>
      <c r="S328" s="22"/>
      <c r="T328" s="22"/>
      <c r="U328" s="2"/>
      <c r="V328" s="2"/>
      <c r="W328" s="2"/>
      <c r="X328" s="2"/>
      <c r="Y328" s="2"/>
      <c r="Z328" s="2"/>
    </row>
    <row r="329" spans="1:26" ht="12.75">
      <c r="A329" s="22"/>
      <c r="B329" s="22"/>
      <c r="C329" s="22"/>
      <c r="D329" s="22"/>
      <c r="E329" s="22"/>
      <c r="F329" s="22"/>
      <c r="G329" s="22"/>
      <c r="H329" s="22"/>
      <c r="I329" s="22"/>
      <c r="J329" s="22"/>
      <c r="K329" s="22"/>
      <c r="L329" s="22"/>
      <c r="M329" s="22"/>
      <c r="N329" s="22"/>
      <c r="O329" s="22"/>
      <c r="P329" s="22"/>
      <c r="Q329" s="22"/>
      <c r="R329" s="22"/>
      <c r="S329" s="22"/>
      <c r="T329" s="22"/>
      <c r="U329" s="2"/>
      <c r="V329" s="2"/>
      <c r="W329" s="2"/>
      <c r="X329" s="2"/>
      <c r="Y329" s="2"/>
      <c r="Z329" s="2"/>
    </row>
    <row r="330" spans="1:26" ht="12.75">
      <c r="A330" s="22"/>
      <c r="B330" s="22"/>
      <c r="C330" s="22"/>
      <c r="D330" s="22"/>
      <c r="E330" s="22"/>
      <c r="F330" s="22"/>
      <c r="G330" s="22"/>
      <c r="H330" s="22"/>
      <c r="I330" s="22"/>
      <c r="J330" s="22"/>
      <c r="K330" s="22"/>
      <c r="L330" s="22"/>
      <c r="M330" s="22"/>
      <c r="N330" s="22"/>
      <c r="O330" s="22"/>
      <c r="P330" s="22"/>
      <c r="Q330" s="22"/>
      <c r="R330" s="22"/>
      <c r="S330" s="22"/>
      <c r="T330" s="22"/>
      <c r="U330" s="2"/>
      <c r="V330" s="2"/>
      <c r="W330" s="2"/>
      <c r="X330" s="2"/>
      <c r="Y330" s="2"/>
      <c r="Z330" s="2"/>
    </row>
    <row r="331" spans="1:26" ht="12.75">
      <c r="A331" s="22"/>
      <c r="B331" s="22"/>
      <c r="C331" s="22"/>
      <c r="D331" s="22"/>
      <c r="E331" s="22"/>
      <c r="F331" s="22"/>
      <c r="G331" s="22"/>
      <c r="H331" s="22"/>
      <c r="I331" s="22"/>
      <c r="J331" s="22"/>
      <c r="K331" s="22"/>
      <c r="L331" s="22"/>
      <c r="M331" s="22"/>
      <c r="N331" s="22"/>
      <c r="O331" s="22"/>
      <c r="P331" s="22"/>
      <c r="Q331" s="22"/>
      <c r="R331" s="22"/>
      <c r="S331" s="22"/>
      <c r="T331" s="22"/>
      <c r="U331" s="2"/>
      <c r="V331" s="2"/>
      <c r="W331" s="2"/>
      <c r="X331" s="2"/>
      <c r="Y331" s="2"/>
      <c r="Z331" s="2"/>
    </row>
    <row r="332" spans="1:26" ht="12.75">
      <c r="A332" s="22"/>
      <c r="B332" s="22"/>
      <c r="C332" s="22"/>
      <c r="D332" s="22"/>
      <c r="E332" s="22"/>
      <c r="F332" s="22"/>
      <c r="G332" s="22"/>
      <c r="H332" s="22"/>
      <c r="I332" s="22"/>
      <c r="J332" s="22"/>
      <c r="K332" s="22"/>
      <c r="L332" s="22"/>
      <c r="M332" s="22"/>
      <c r="N332" s="22"/>
      <c r="O332" s="22"/>
      <c r="P332" s="22"/>
      <c r="Q332" s="22"/>
      <c r="R332" s="22"/>
      <c r="S332" s="22"/>
      <c r="T332" s="22"/>
      <c r="U332" s="2"/>
      <c r="V332" s="2"/>
      <c r="W332" s="2"/>
      <c r="X332" s="2"/>
      <c r="Y332" s="2"/>
      <c r="Z332" s="2"/>
    </row>
    <row r="333" spans="1:26" ht="12.75">
      <c r="A333" s="22"/>
      <c r="B333" s="22"/>
      <c r="C333" s="22"/>
      <c r="D333" s="22"/>
      <c r="E333" s="22"/>
      <c r="F333" s="22"/>
      <c r="G333" s="22"/>
      <c r="H333" s="22"/>
      <c r="I333" s="22"/>
      <c r="J333" s="22"/>
      <c r="K333" s="22"/>
      <c r="L333" s="22"/>
      <c r="M333" s="22"/>
      <c r="N333" s="22"/>
      <c r="O333" s="22"/>
      <c r="P333" s="22"/>
      <c r="Q333" s="22"/>
      <c r="R333" s="22"/>
      <c r="S333" s="22"/>
      <c r="T333" s="22"/>
      <c r="U333" s="2"/>
      <c r="V333" s="2"/>
      <c r="W333" s="2"/>
      <c r="X333" s="2"/>
      <c r="Y333" s="2"/>
      <c r="Z333" s="2"/>
    </row>
    <row r="334" spans="1:26" ht="12.75">
      <c r="A334" s="22"/>
      <c r="B334" s="22"/>
      <c r="C334" s="22"/>
      <c r="D334" s="22"/>
      <c r="E334" s="22"/>
      <c r="F334" s="22"/>
      <c r="G334" s="22"/>
      <c r="H334" s="22"/>
      <c r="I334" s="22"/>
      <c r="J334" s="22"/>
      <c r="K334" s="22"/>
      <c r="L334" s="22"/>
      <c r="M334" s="22"/>
      <c r="N334" s="22"/>
      <c r="O334" s="22"/>
      <c r="P334" s="22"/>
      <c r="Q334" s="22"/>
      <c r="R334" s="22"/>
      <c r="S334" s="22"/>
      <c r="T334" s="22"/>
      <c r="U334" s="2"/>
      <c r="V334" s="2"/>
      <c r="W334" s="2"/>
      <c r="X334" s="2"/>
      <c r="Y334" s="2"/>
      <c r="Z334" s="2"/>
    </row>
    <row r="335" spans="1:26" ht="12.75">
      <c r="A335" s="22"/>
      <c r="B335" s="22"/>
      <c r="C335" s="22"/>
      <c r="D335" s="22"/>
      <c r="E335" s="22"/>
      <c r="F335" s="22"/>
      <c r="G335" s="22"/>
      <c r="H335" s="22"/>
      <c r="I335" s="22"/>
      <c r="J335" s="22"/>
      <c r="K335" s="22"/>
      <c r="L335" s="22"/>
      <c r="M335" s="22"/>
      <c r="N335" s="22"/>
      <c r="O335" s="22"/>
      <c r="P335" s="22"/>
      <c r="Q335" s="22"/>
      <c r="R335" s="22"/>
      <c r="S335" s="22"/>
      <c r="T335" s="22"/>
      <c r="U335" s="2"/>
      <c r="V335" s="2"/>
      <c r="W335" s="2"/>
      <c r="X335" s="2"/>
      <c r="Y335" s="2"/>
      <c r="Z335" s="2"/>
    </row>
    <row r="336" spans="1:26" ht="12.75">
      <c r="A336" s="22"/>
      <c r="B336" s="22"/>
      <c r="C336" s="22"/>
      <c r="D336" s="22"/>
      <c r="E336" s="22"/>
      <c r="F336" s="22"/>
      <c r="G336" s="22"/>
      <c r="H336" s="22"/>
      <c r="I336" s="22"/>
      <c r="J336" s="22"/>
      <c r="K336" s="22"/>
      <c r="L336" s="22"/>
      <c r="M336" s="22"/>
      <c r="N336" s="22"/>
      <c r="O336" s="22"/>
      <c r="P336" s="22"/>
      <c r="Q336" s="22"/>
      <c r="R336" s="22"/>
      <c r="S336" s="22"/>
      <c r="T336" s="22"/>
      <c r="U336" s="2"/>
      <c r="V336" s="2"/>
      <c r="W336" s="2"/>
      <c r="X336" s="2"/>
      <c r="Y336" s="2"/>
      <c r="Z336" s="2"/>
    </row>
    <row r="337" spans="1:26" ht="12.75">
      <c r="A337" s="22"/>
      <c r="B337" s="22"/>
      <c r="C337" s="22"/>
      <c r="D337" s="22"/>
      <c r="E337" s="22"/>
      <c r="F337" s="22"/>
      <c r="G337" s="22"/>
      <c r="H337" s="22"/>
      <c r="I337" s="22"/>
      <c r="J337" s="22"/>
      <c r="K337" s="22"/>
      <c r="L337" s="22"/>
      <c r="M337" s="22"/>
      <c r="N337" s="22"/>
      <c r="O337" s="22"/>
      <c r="P337" s="22"/>
      <c r="Q337" s="22"/>
      <c r="R337" s="22"/>
      <c r="S337" s="22"/>
      <c r="T337" s="22"/>
      <c r="U337" s="2"/>
      <c r="V337" s="2"/>
      <c r="W337" s="2"/>
      <c r="X337" s="2"/>
      <c r="Y337" s="2"/>
      <c r="Z337" s="2"/>
    </row>
    <row r="338" spans="1:26" ht="12.75">
      <c r="A338" s="22"/>
      <c r="B338" s="22"/>
      <c r="C338" s="22"/>
      <c r="D338" s="22"/>
      <c r="E338" s="22"/>
      <c r="F338" s="22"/>
      <c r="G338" s="22"/>
      <c r="H338" s="22"/>
      <c r="I338" s="22"/>
      <c r="J338" s="22"/>
      <c r="K338" s="22"/>
      <c r="L338" s="22"/>
      <c r="M338" s="22"/>
      <c r="N338" s="22"/>
      <c r="O338" s="22"/>
      <c r="P338" s="22"/>
      <c r="Q338" s="22"/>
      <c r="R338" s="22"/>
      <c r="S338" s="22"/>
      <c r="T338" s="22"/>
      <c r="U338" s="2"/>
      <c r="V338" s="2"/>
      <c r="W338" s="2"/>
      <c r="X338" s="2"/>
      <c r="Y338" s="2"/>
      <c r="Z338" s="2"/>
    </row>
    <row r="339" spans="1:26" ht="12.75">
      <c r="A339" s="22"/>
      <c r="B339" s="22"/>
      <c r="C339" s="22"/>
      <c r="D339" s="22"/>
      <c r="E339" s="22"/>
      <c r="F339" s="22"/>
      <c r="G339" s="22"/>
      <c r="H339" s="22"/>
      <c r="I339" s="22"/>
      <c r="J339" s="22"/>
      <c r="K339" s="22"/>
      <c r="L339" s="22"/>
      <c r="M339" s="22"/>
      <c r="N339" s="22"/>
      <c r="O339" s="22"/>
      <c r="P339" s="22"/>
      <c r="Q339" s="22"/>
      <c r="R339" s="22"/>
      <c r="S339" s="22"/>
      <c r="T339" s="22"/>
      <c r="U339" s="2"/>
      <c r="V339" s="2"/>
      <c r="W339" s="2"/>
      <c r="X339" s="2"/>
      <c r="Y339" s="2"/>
      <c r="Z339" s="2"/>
    </row>
    <row r="340" spans="1:26" ht="12.75">
      <c r="A340" s="22"/>
      <c r="B340" s="22"/>
      <c r="C340" s="22"/>
      <c r="D340" s="22"/>
      <c r="E340" s="22"/>
      <c r="F340" s="22"/>
      <c r="G340" s="22"/>
      <c r="H340" s="22"/>
      <c r="I340" s="22"/>
      <c r="J340" s="22"/>
      <c r="K340" s="22"/>
      <c r="L340" s="22"/>
      <c r="M340" s="22"/>
      <c r="N340" s="22"/>
      <c r="O340" s="22"/>
      <c r="P340" s="22"/>
      <c r="Q340" s="22"/>
      <c r="R340" s="22"/>
      <c r="S340" s="22"/>
      <c r="T340" s="22"/>
      <c r="U340" s="2"/>
      <c r="V340" s="2"/>
      <c r="W340" s="2"/>
      <c r="X340" s="2"/>
      <c r="Y340" s="2"/>
      <c r="Z340" s="2"/>
    </row>
    <row r="341" spans="1:26" ht="12.75">
      <c r="A341" s="22"/>
      <c r="B341" s="22"/>
      <c r="C341" s="22"/>
      <c r="D341" s="22"/>
      <c r="E341" s="22"/>
      <c r="F341" s="22"/>
      <c r="G341" s="22"/>
      <c r="H341" s="22"/>
      <c r="I341" s="22"/>
      <c r="J341" s="22"/>
      <c r="K341" s="22"/>
      <c r="L341" s="22"/>
      <c r="M341" s="22"/>
      <c r="N341" s="22"/>
      <c r="O341" s="22"/>
      <c r="P341" s="22"/>
      <c r="Q341" s="22"/>
      <c r="R341" s="22"/>
      <c r="S341" s="22"/>
      <c r="T341" s="22"/>
      <c r="U341" s="2"/>
      <c r="V341" s="2"/>
      <c r="W341" s="2"/>
      <c r="X341" s="2"/>
      <c r="Y341" s="2"/>
      <c r="Z341" s="2"/>
    </row>
    <row r="342" spans="1:26" ht="12.75">
      <c r="A342" s="22"/>
      <c r="B342" s="22"/>
      <c r="C342" s="22"/>
      <c r="D342" s="22"/>
      <c r="E342" s="22"/>
      <c r="F342" s="22"/>
      <c r="G342" s="22"/>
      <c r="H342" s="22"/>
      <c r="I342" s="22"/>
      <c r="J342" s="22"/>
      <c r="K342" s="22"/>
      <c r="L342" s="22"/>
      <c r="M342" s="22"/>
      <c r="N342" s="22"/>
      <c r="O342" s="22"/>
      <c r="P342" s="22"/>
      <c r="Q342" s="22"/>
      <c r="R342" s="22"/>
      <c r="S342" s="22"/>
      <c r="T342" s="22"/>
      <c r="U342" s="2"/>
      <c r="V342" s="2"/>
      <c r="W342" s="2"/>
      <c r="X342" s="2"/>
      <c r="Y342" s="2"/>
      <c r="Z342" s="2"/>
    </row>
    <row r="343" spans="1:26" ht="12.75">
      <c r="A343" s="22"/>
      <c r="B343" s="22"/>
      <c r="C343" s="22"/>
      <c r="D343" s="22"/>
      <c r="E343" s="22"/>
      <c r="F343" s="22"/>
      <c r="G343" s="22"/>
      <c r="H343" s="22"/>
      <c r="I343" s="22"/>
      <c r="J343" s="22"/>
      <c r="K343" s="22"/>
      <c r="L343" s="22"/>
      <c r="M343" s="22"/>
      <c r="N343" s="22"/>
      <c r="O343" s="22"/>
      <c r="P343" s="22"/>
      <c r="Q343" s="22"/>
      <c r="R343" s="22"/>
      <c r="S343" s="22"/>
      <c r="T343" s="22"/>
      <c r="U343" s="2"/>
      <c r="V343" s="2"/>
      <c r="W343" s="2"/>
      <c r="X343" s="2"/>
      <c r="Y343" s="2"/>
      <c r="Z343" s="2"/>
    </row>
    <row r="344" spans="1:26" ht="12.75">
      <c r="A344" s="22"/>
      <c r="B344" s="22"/>
      <c r="C344" s="22"/>
      <c r="D344" s="22"/>
      <c r="E344" s="22"/>
      <c r="F344" s="22"/>
      <c r="G344" s="22"/>
      <c r="H344" s="22"/>
      <c r="I344" s="22"/>
      <c r="J344" s="22"/>
      <c r="K344" s="22"/>
      <c r="L344" s="22"/>
      <c r="M344" s="22"/>
      <c r="N344" s="22"/>
      <c r="O344" s="22"/>
      <c r="P344" s="22"/>
      <c r="Q344" s="22"/>
      <c r="R344" s="22"/>
      <c r="S344" s="22"/>
      <c r="T344" s="22"/>
      <c r="U344" s="2"/>
      <c r="V344" s="2"/>
      <c r="W344" s="2"/>
      <c r="X344" s="2"/>
      <c r="Y344" s="2"/>
      <c r="Z344" s="2"/>
    </row>
    <row r="345" spans="1:26" ht="12.75">
      <c r="A345" s="22"/>
      <c r="B345" s="22"/>
      <c r="C345" s="22"/>
      <c r="D345" s="22"/>
      <c r="E345" s="22"/>
      <c r="F345" s="22"/>
      <c r="G345" s="22"/>
      <c r="H345" s="22"/>
      <c r="I345" s="22"/>
      <c r="J345" s="22"/>
      <c r="K345" s="22"/>
      <c r="L345" s="22"/>
      <c r="M345" s="22"/>
      <c r="N345" s="22"/>
      <c r="O345" s="22"/>
      <c r="P345" s="22"/>
      <c r="Q345" s="22"/>
      <c r="R345" s="22"/>
      <c r="S345" s="22"/>
      <c r="T345" s="22"/>
      <c r="U345" s="2"/>
      <c r="V345" s="2"/>
      <c r="W345" s="2"/>
      <c r="X345" s="2"/>
      <c r="Y345" s="2"/>
      <c r="Z345" s="2"/>
    </row>
    <row r="346" spans="1:26" ht="12.75">
      <c r="A346" s="22"/>
      <c r="B346" s="22"/>
      <c r="C346" s="22"/>
      <c r="D346" s="22"/>
      <c r="E346" s="22"/>
      <c r="F346" s="22"/>
      <c r="G346" s="22"/>
      <c r="H346" s="22"/>
      <c r="I346" s="22"/>
      <c r="J346" s="22"/>
      <c r="K346" s="22"/>
      <c r="L346" s="22"/>
      <c r="M346" s="22"/>
      <c r="N346" s="22"/>
      <c r="O346" s="22"/>
      <c r="P346" s="22"/>
      <c r="Q346" s="22"/>
      <c r="R346" s="22"/>
      <c r="S346" s="22"/>
      <c r="T346" s="22"/>
      <c r="U346" s="2"/>
      <c r="V346" s="2"/>
      <c r="W346" s="2"/>
      <c r="X346" s="2"/>
      <c r="Y346" s="2"/>
      <c r="Z346" s="2"/>
    </row>
    <row r="347" spans="1:26" ht="12.75">
      <c r="A347" s="22"/>
      <c r="B347" s="22"/>
      <c r="C347" s="22"/>
      <c r="D347" s="22"/>
      <c r="E347" s="22"/>
      <c r="F347" s="22"/>
      <c r="G347" s="22"/>
      <c r="H347" s="22"/>
      <c r="I347" s="22"/>
      <c r="J347" s="22"/>
      <c r="K347" s="22"/>
      <c r="L347" s="22"/>
      <c r="M347" s="22"/>
      <c r="N347" s="22"/>
      <c r="O347" s="22"/>
      <c r="P347" s="22"/>
      <c r="Q347" s="22"/>
      <c r="R347" s="22"/>
      <c r="S347" s="22"/>
      <c r="T347" s="22"/>
      <c r="U347" s="2"/>
      <c r="V347" s="2"/>
      <c r="W347" s="2"/>
      <c r="X347" s="2"/>
      <c r="Y347" s="2"/>
      <c r="Z347" s="2"/>
    </row>
    <row r="348" spans="1:26" ht="12.75">
      <c r="A348" s="22"/>
      <c r="B348" s="22"/>
      <c r="C348" s="22"/>
      <c r="D348" s="22"/>
      <c r="E348" s="22"/>
      <c r="F348" s="22"/>
      <c r="G348" s="22"/>
      <c r="H348" s="22"/>
      <c r="I348" s="22"/>
      <c r="J348" s="22"/>
      <c r="K348" s="22"/>
      <c r="L348" s="22"/>
      <c r="M348" s="22"/>
      <c r="N348" s="22"/>
      <c r="O348" s="22"/>
      <c r="P348" s="22"/>
      <c r="Q348" s="22"/>
      <c r="R348" s="22"/>
      <c r="S348" s="22"/>
      <c r="T348" s="22"/>
      <c r="U348" s="2"/>
      <c r="V348" s="2"/>
      <c r="W348" s="2"/>
      <c r="X348" s="2"/>
      <c r="Y348" s="2"/>
      <c r="Z348" s="2"/>
    </row>
    <row r="349" spans="1:26" ht="12.75">
      <c r="A349" s="22"/>
      <c r="B349" s="22"/>
      <c r="C349" s="22"/>
      <c r="D349" s="22"/>
      <c r="E349" s="22"/>
      <c r="F349" s="22"/>
      <c r="G349" s="22"/>
      <c r="H349" s="22"/>
      <c r="I349" s="22"/>
      <c r="J349" s="22"/>
      <c r="K349" s="22"/>
      <c r="L349" s="22"/>
      <c r="M349" s="22"/>
      <c r="N349" s="22"/>
      <c r="O349" s="22"/>
      <c r="P349" s="22"/>
      <c r="Q349" s="22"/>
      <c r="R349" s="22"/>
      <c r="S349" s="22"/>
      <c r="T349" s="22"/>
      <c r="U349" s="2"/>
      <c r="V349" s="2"/>
      <c r="W349" s="2"/>
      <c r="X349" s="2"/>
      <c r="Y349" s="2"/>
      <c r="Z349" s="2"/>
    </row>
    <row r="350" spans="1:26" ht="12.75">
      <c r="A350" s="22"/>
      <c r="B350" s="22"/>
      <c r="C350" s="22"/>
      <c r="D350" s="22"/>
      <c r="E350" s="22"/>
      <c r="F350" s="22"/>
      <c r="G350" s="22"/>
      <c r="H350" s="22"/>
      <c r="I350" s="22"/>
      <c r="J350" s="22"/>
      <c r="K350" s="22"/>
      <c r="L350" s="22"/>
      <c r="M350" s="22"/>
      <c r="N350" s="22"/>
      <c r="O350" s="22"/>
      <c r="P350" s="22"/>
      <c r="Q350" s="22"/>
      <c r="R350" s="22"/>
      <c r="S350" s="22"/>
      <c r="T350" s="22"/>
      <c r="U350" s="2"/>
      <c r="V350" s="2"/>
      <c r="W350" s="2"/>
      <c r="X350" s="2"/>
      <c r="Y350" s="2"/>
      <c r="Z350" s="2"/>
    </row>
    <row r="351" spans="1:26" ht="12.75">
      <c r="A351" s="22"/>
      <c r="B351" s="22"/>
      <c r="C351" s="22"/>
      <c r="D351" s="22"/>
      <c r="E351" s="22"/>
      <c r="F351" s="22"/>
      <c r="G351" s="22"/>
      <c r="H351" s="22"/>
      <c r="I351" s="22"/>
      <c r="J351" s="22"/>
      <c r="K351" s="22"/>
      <c r="L351" s="22"/>
      <c r="M351" s="22"/>
      <c r="N351" s="22"/>
      <c r="O351" s="22"/>
      <c r="P351" s="22"/>
      <c r="Q351" s="22"/>
      <c r="R351" s="22"/>
      <c r="S351" s="22"/>
      <c r="T351" s="22"/>
      <c r="U351" s="2"/>
      <c r="V351" s="2"/>
      <c r="W351" s="2"/>
      <c r="X351" s="2"/>
      <c r="Y351" s="2"/>
      <c r="Z351" s="2"/>
    </row>
    <row r="352" spans="1:26" ht="12.75">
      <c r="A352" s="22"/>
      <c r="B352" s="22"/>
      <c r="C352" s="22"/>
      <c r="D352" s="22"/>
      <c r="E352" s="22"/>
      <c r="F352" s="22"/>
      <c r="G352" s="22"/>
      <c r="H352" s="22"/>
      <c r="I352" s="22"/>
      <c r="J352" s="22"/>
      <c r="K352" s="22"/>
      <c r="L352" s="22"/>
      <c r="M352" s="22"/>
      <c r="N352" s="22"/>
      <c r="O352" s="22"/>
      <c r="P352" s="22"/>
      <c r="Q352" s="22"/>
      <c r="R352" s="22"/>
      <c r="S352" s="22"/>
      <c r="T352" s="22"/>
      <c r="U352" s="2"/>
      <c r="V352" s="2"/>
      <c r="W352" s="2"/>
      <c r="X352" s="2"/>
      <c r="Y352" s="2"/>
      <c r="Z352" s="2"/>
    </row>
    <row r="353" spans="1:26" ht="12.75">
      <c r="A353" s="22"/>
      <c r="B353" s="22"/>
      <c r="C353" s="22"/>
      <c r="D353" s="22"/>
      <c r="E353" s="22"/>
      <c r="F353" s="22"/>
      <c r="G353" s="22"/>
      <c r="H353" s="22"/>
      <c r="I353" s="22"/>
      <c r="J353" s="22"/>
      <c r="K353" s="22"/>
      <c r="L353" s="22"/>
      <c r="M353" s="22"/>
      <c r="N353" s="22"/>
      <c r="O353" s="22"/>
      <c r="P353" s="22"/>
      <c r="Q353" s="22"/>
      <c r="R353" s="22"/>
      <c r="S353" s="22"/>
      <c r="T353" s="22"/>
      <c r="U353" s="2"/>
      <c r="V353" s="2"/>
      <c r="W353" s="2"/>
      <c r="X353" s="2"/>
      <c r="Y353" s="2"/>
      <c r="Z353" s="2"/>
    </row>
    <row r="354" spans="1:26" ht="12.75">
      <c r="A354" s="22"/>
      <c r="B354" s="22"/>
      <c r="C354" s="22"/>
      <c r="D354" s="22"/>
      <c r="E354" s="22"/>
      <c r="F354" s="22"/>
      <c r="G354" s="22"/>
      <c r="H354" s="22"/>
      <c r="I354" s="22"/>
      <c r="J354" s="22"/>
      <c r="K354" s="22"/>
      <c r="L354" s="22"/>
      <c r="M354" s="22"/>
      <c r="N354" s="22"/>
      <c r="O354" s="22"/>
      <c r="P354" s="22"/>
      <c r="Q354" s="22"/>
      <c r="R354" s="22"/>
      <c r="S354" s="22"/>
      <c r="T354" s="22"/>
      <c r="U354" s="2"/>
      <c r="V354" s="2"/>
      <c r="W354" s="2"/>
      <c r="X354" s="2"/>
      <c r="Y354" s="2"/>
      <c r="Z354" s="2"/>
    </row>
    <row r="355" spans="1:26" ht="12.75">
      <c r="A355" s="22"/>
      <c r="B355" s="22"/>
      <c r="C355" s="22"/>
      <c r="D355" s="22"/>
      <c r="E355" s="22"/>
      <c r="F355" s="22"/>
      <c r="G355" s="22"/>
      <c r="H355" s="22"/>
      <c r="I355" s="22"/>
      <c r="J355" s="22"/>
      <c r="K355" s="22"/>
      <c r="L355" s="22"/>
      <c r="M355" s="22"/>
      <c r="N355" s="22"/>
      <c r="O355" s="22"/>
      <c r="P355" s="22"/>
      <c r="Q355" s="22"/>
      <c r="R355" s="22"/>
      <c r="S355" s="22"/>
      <c r="T355" s="22"/>
      <c r="U355" s="2"/>
      <c r="V355" s="2"/>
      <c r="W355" s="2"/>
      <c r="X355" s="2"/>
      <c r="Y355" s="2"/>
      <c r="Z355" s="2"/>
    </row>
    <row r="356" spans="1:26" ht="12.75">
      <c r="A356" s="22"/>
      <c r="B356" s="22"/>
      <c r="C356" s="22"/>
      <c r="D356" s="22"/>
      <c r="E356" s="22"/>
      <c r="F356" s="22"/>
      <c r="G356" s="22"/>
      <c r="H356" s="22"/>
      <c r="I356" s="22"/>
      <c r="J356" s="22"/>
      <c r="K356" s="22"/>
      <c r="L356" s="22"/>
      <c r="M356" s="22"/>
      <c r="N356" s="22"/>
      <c r="O356" s="22"/>
      <c r="P356" s="22"/>
      <c r="Q356" s="22"/>
      <c r="R356" s="22"/>
      <c r="S356" s="22"/>
      <c r="T356" s="22"/>
      <c r="U356" s="2"/>
      <c r="V356" s="2"/>
      <c r="W356" s="2"/>
      <c r="X356" s="2"/>
      <c r="Y356" s="2"/>
      <c r="Z356" s="2"/>
    </row>
    <row r="357" spans="1:26" ht="12.75">
      <c r="A357" s="22"/>
      <c r="B357" s="22"/>
      <c r="C357" s="22"/>
      <c r="D357" s="22"/>
      <c r="E357" s="22"/>
      <c r="F357" s="22"/>
      <c r="G357" s="22"/>
      <c r="H357" s="22"/>
      <c r="I357" s="22"/>
      <c r="J357" s="22"/>
      <c r="K357" s="22"/>
      <c r="L357" s="22"/>
      <c r="M357" s="22"/>
      <c r="N357" s="22"/>
      <c r="O357" s="22"/>
      <c r="P357" s="22"/>
      <c r="Q357" s="22"/>
      <c r="R357" s="22"/>
      <c r="S357" s="22"/>
      <c r="T357" s="22"/>
      <c r="U357" s="2"/>
      <c r="V357" s="2"/>
      <c r="W357" s="2"/>
      <c r="X357" s="2"/>
      <c r="Y357" s="2"/>
      <c r="Z357" s="2"/>
    </row>
    <row r="358" spans="1:26" ht="12.75">
      <c r="A358" s="22"/>
      <c r="B358" s="22"/>
      <c r="C358" s="22"/>
      <c r="D358" s="22"/>
      <c r="E358" s="22"/>
      <c r="F358" s="22"/>
      <c r="G358" s="22"/>
      <c r="H358" s="22"/>
      <c r="I358" s="22"/>
      <c r="J358" s="22"/>
      <c r="K358" s="22"/>
      <c r="L358" s="22"/>
      <c r="M358" s="22"/>
      <c r="N358" s="22"/>
      <c r="O358" s="22"/>
      <c r="P358" s="22"/>
      <c r="Q358" s="22"/>
      <c r="R358" s="22"/>
      <c r="S358" s="22"/>
      <c r="T358" s="22"/>
      <c r="U358" s="2"/>
      <c r="V358" s="2"/>
      <c r="W358" s="2"/>
      <c r="X358" s="2"/>
      <c r="Y358" s="2"/>
      <c r="Z358" s="2"/>
    </row>
    <row r="359" spans="1:26" ht="12.75">
      <c r="A359" s="22"/>
      <c r="B359" s="22"/>
      <c r="C359" s="22"/>
      <c r="D359" s="22"/>
      <c r="E359" s="22"/>
      <c r="F359" s="22"/>
      <c r="G359" s="22"/>
      <c r="H359" s="22"/>
      <c r="I359" s="22"/>
      <c r="J359" s="22"/>
      <c r="K359" s="22"/>
      <c r="L359" s="22"/>
      <c r="M359" s="22"/>
      <c r="N359" s="22"/>
      <c r="O359" s="22"/>
      <c r="P359" s="22"/>
      <c r="Q359" s="22"/>
      <c r="R359" s="22"/>
      <c r="S359" s="22"/>
      <c r="T359" s="22"/>
      <c r="U359" s="2"/>
      <c r="V359" s="2"/>
      <c r="W359" s="2"/>
      <c r="X359" s="2"/>
      <c r="Y359" s="2"/>
      <c r="Z359" s="2"/>
    </row>
    <row r="360" spans="1:26" ht="12.75">
      <c r="A360" s="22"/>
      <c r="B360" s="22"/>
      <c r="C360" s="22"/>
      <c r="D360" s="22"/>
      <c r="E360" s="22"/>
      <c r="F360" s="22"/>
      <c r="G360" s="22"/>
      <c r="H360" s="22"/>
      <c r="I360" s="22"/>
      <c r="J360" s="22"/>
      <c r="K360" s="22"/>
      <c r="L360" s="22"/>
      <c r="M360" s="22"/>
      <c r="N360" s="22"/>
      <c r="O360" s="22"/>
      <c r="P360" s="22"/>
      <c r="Q360" s="22"/>
      <c r="R360" s="22"/>
      <c r="S360" s="22"/>
      <c r="T360" s="22"/>
      <c r="U360" s="2"/>
      <c r="V360" s="2"/>
      <c r="W360" s="2"/>
      <c r="X360" s="2"/>
      <c r="Y360" s="2"/>
      <c r="Z360" s="2"/>
    </row>
    <row r="361" spans="1:26" ht="12.75">
      <c r="A361" s="22"/>
      <c r="B361" s="22"/>
      <c r="C361" s="22"/>
      <c r="D361" s="22"/>
      <c r="E361" s="22"/>
      <c r="F361" s="22"/>
      <c r="G361" s="22"/>
      <c r="H361" s="22"/>
      <c r="I361" s="22"/>
      <c r="J361" s="22"/>
      <c r="K361" s="22"/>
      <c r="L361" s="22"/>
      <c r="M361" s="22"/>
      <c r="N361" s="22"/>
      <c r="O361" s="22"/>
      <c r="P361" s="22"/>
      <c r="Q361" s="22"/>
      <c r="R361" s="22"/>
      <c r="S361" s="22"/>
      <c r="T361" s="22"/>
      <c r="U361" s="2"/>
      <c r="V361" s="2"/>
      <c r="W361" s="2"/>
      <c r="X361" s="2"/>
      <c r="Y361" s="2"/>
      <c r="Z361" s="2"/>
    </row>
    <row r="362" spans="1:26" ht="12.75">
      <c r="A362" s="22"/>
      <c r="B362" s="22"/>
      <c r="C362" s="22"/>
      <c r="D362" s="22"/>
      <c r="E362" s="22"/>
      <c r="F362" s="22"/>
      <c r="G362" s="22"/>
      <c r="H362" s="22"/>
      <c r="I362" s="22"/>
      <c r="J362" s="22"/>
      <c r="K362" s="22"/>
      <c r="L362" s="22"/>
      <c r="M362" s="22"/>
      <c r="N362" s="22"/>
      <c r="O362" s="22"/>
      <c r="P362" s="22"/>
      <c r="Q362" s="22"/>
      <c r="R362" s="22"/>
      <c r="S362" s="22"/>
      <c r="T362" s="22"/>
      <c r="U362" s="2"/>
      <c r="V362" s="2"/>
      <c r="W362" s="2"/>
      <c r="X362" s="2"/>
      <c r="Y362" s="2"/>
      <c r="Z362" s="2"/>
    </row>
    <row r="363" spans="1:26" ht="12.75">
      <c r="A363" s="22"/>
      <c r="B363" s="22"/>
      <c r="C363" s="22"/>
      <c r="D363" s="22"/>
      <c r="E363" s="22"/>
      <c r="F363" s="22"/>
      <c r="G363" s="22"/>
      <c r="H363" s="22"/>
      <c r="I363" s="22"/>
      <c r="J363" s="22"/>
      <c r="K363" s="22"/>
      <c r="L363" s="22"/>
      <c r="M363" s="22"/>
      <c r="N363" s="22"/>
      <c r="O363" s="22"/>
      <c r="P363" s="22"/>
      <c r="Q363" s="22"/>
      <c r="R363" s="22"/>
      <c r="S363" s="22"/>
      <c r="T363" s="22"/>
      <c r="U363" s="2"/>
      <c r="V363" s="2"/>
      <c r="W363" s="2"/>
      <c r="X363" s="2"/>
      <c r="Y363" s="2"/>
      <c r="Z363" s="2"/>
    </row>
    <row r="364" spans="1:26" ht="12.75">
      <c r="A364" s="22"/>
      <c r="B364" s="22"/>
      <c r="C364" s="22"/>
      <c r="D364" s="22"/>
      <c r="E364" s="22"/>
      <c r="F364" s="22"/>
      <c r="G364" s="22"/>
      <c r="H364" s="22"/>
      <c r="I364" s="22"/>
      <c r="J364" s="22"/>
      <c r="K364" s="22"/>
      <c r="L364" s="22"/>
      <c r="M364" s="22"/>
      <c r="N364" s="22"/>
      <c r="O364" s="22"/>
      <c r="P364" s="22"/>
      <c r="Q364" s="22"/>
      <c r="R364" s="22"/>
      <c r="S364" s="22"/>
      <c r="T364" s="22"/>
      <c r="U364" s="2"/>
      <c r="V364" s="2"/>
      <c r="W364" s="2"/>
      <c r="X364" s="2"/>
      <c r="Y364" s="2"/>
      <c r="Z364" s="2"/>
    </row>
    <row r="365" spans="1:26" ht="12.75">
      <c r="A365" s="22"/>
      <c r="B365" s="22"/>
      <c r="C365" s="22"/>
      <c r="D365" s="22"/>
      <c r="E365" s="22"/>
      <c r="F365" s="22"/>
      <c r="G365" s="22"/>
      <c r="H365" s="22"/>
      <c r="I365" s="22"/>
      <c r="J365" s="22"/>
      <c r="K365" s="22"/>
      <c r="L365" s="22"/>
      <c r="M365" s="22"/>
      <c r="N365" s="22"/>
      <c r="O365" s="22"/>
      <c r="P365" s="22"/>
      <c r="Q365" s="22"/>
      <c r="R365" s="22"/>
      <c r="S365" s="22"/>
      <c r="T365" s="22"/>
      <c r="U365" s="2"/>
      <c r="V365" s="2"/>
      <c r="W365" s="2"/>
      <c r="X365" s="2"/>
      <c r="Y365" s="2"/>
      <c r="Z365" s="2"/>
    </row>
    <row r="366" spans="1:26" ht="12.75">
      <c r="A366" s="22"/>
      <c r="B366" s="22"/>
      <c r="C366" s="22"/>
      <c r="D366" s="22"/>
      <c r="E366" s="22"/>
      <c r="F366" s="22"/>
      <c r="G366" s="22"/>
      <c r="H366" s="22"/>
      <c r="I366" s="22"/>
      <c r="J366" s="22"/>
      <c r="K366" s="22"/>
      <c r="L366" s="22"/>
      <c r="M366" s="22"/>
      <c r="N366" s="22"/>
      <c r="O366" s="22"/>
      <c r="P366" s="22"/>
      <c r="Q366" s="22"/>
      <c r="R366" s="22"/>
      <c r="S366" s="22"/>
      <c r="T366" s="22"/>
      <c r="U366" s="2"/>
      <c r="V366" s="2"/>
      <c r="W366" s="2"/>
      <c r="X366" s="2"/>
      <c r="Y366" s="2"/>
      <c r="Z366" s="2"/>
    </row>
    <row r="367" spans="1:26" ht="12.75">
      <c r="A367" s="22"/>
      <c r="B367" s="22"/>
      <c r="C367" s="22"/>
      <c r="D367" s="22"/>
      <c r="E367" s="22"/>
      <c r="F367" s="22"/>
      <c r="G367" s="22"/>
      <c r="H367" s="22"/>
      <c r="I367" s="22"/>
      <c r="J367" s="22"/>
      <c r="K367" s="22"/>
      <c r="L367" s="22"/>
      <c r="M367" s="22"/>
      <c r="N367" s="22"/>
      <c r="O367" s="22"/>
      <c r="P367" s="22"/>
      <c r="Q367" s="22"/>
      <c r="R367" s="22"/>
      <c r="S367" s="22"/>
      <c r="T367" s="22"/>
      <c r="U367" s="2"/>
      <c r="V367" s="2"/>
      <c r="W367" s="2"/>
      <c r="X367" s="2"/>
      <c r="Y367" s="2"/>
      <c r="Z367" s="2"/>
    </row>
    <row r="368" spans="1:26" ht="12.75">
      <c r="A368" s="22"/>
      <c r="B368" s="22"/>
      <c r="C368" s="22"/>
      <c r="D368" s="22"/>
      <c r="E368" s="22"/>
      <c r="F368" s="22"/>
      <c r="G368" s="22"/>
      <c r="H368" s="22"/>
      <c r="I368" s="22"/>
      <c r="J368" s="22"/>
      <c r="K368" s="22"/>
      <c r="L368" s="22"/>
      <c r="M368" s="22"/>
      <c r="N368" s="22"/>
      <c r="O368" s="22"/>
      <c r="P368" s="22"/>
      <c r="Q368" s="22"/>
      <c r="R368" s="22"/>
      <c r="S368" s="22"/>
      <c r="T368" s="22"/>
      <c r="U368" s="2"/>
      <c r="V368" s="2"/>
      <c r="W368" s="2"/>
      <c r="X368" s="2"/>
      <c r="Y368" s="2"/>
      <c r="Z368" s="2"/>
    </row>
    <row r="369" spans="1:26" ht="12.75">
      <c r="A369" s="22"/>
      <c r="B369" s="22"/>
      <c r="C369" s="22"/>
      <c r="D369" s="22"/>
      <c r="E369" s="22"/>
      <c r="F369" s="22"/>
      <c r="G369" s="22"/>
      <c r="H369" s="22"/>
      <c r="I369" s="22"/>
      <c r="J369" s="22"/>
      <c r="K369" s="22"/>
      <c r="L369" s="22"/>
      <c r="M369" s="22"/>
      <c r="N369" s="22"/>
      <c r="O369" s="22"/>
      <c r="P369" s="22"/>
      <c r="Q369" s="22"/>
      <c r="R369" s="22"/>
      <c r="S369" s="22"/>
      <c r="T369" s="22"/>
      <c r="U369" s="2"/>
      <c r="V369" s="2"/>
      <c r="W369" s="2"/>
      <c r="X369" s="2"/>
      <c r="Y369" s="2"/>
      <c r="Z369" s="2"/>
    </row>
    <row r="370" spans="1:26" ht="12.75">
      <c r="A370" s="22"/>
      <c r="B370" s="22"/>
      <c r="C370" s="22"/>
      <c r="D370" s="22"/>
      <c r="E370" s="22"/>
      <c r="F370" s="22"/>
      <c r="G370" s="22"/>
      <c r="H370" s="22"/>
      <c r="I370" s="22"/>
      <c r="J370" s="22"/>
      <c r="K370" s="22"/>
      <c r="L370" s="22"/>
      <c r="M370" s="22"/>
      <c r="N370" s="22"/>
      <c r="O370" s="22"/>
      <c r="P370" s="22"/>
      <c r="Q370" s="22"/>
      <c r="R370" s="22"/>
      <c r="S370" s="22"/>
      <c r="T370" s="22"/>
      <c r="U370" s="2"/>
      <c r="V370" s="2"/>
      <c r="W370" s="2"/>
      <c r="X370" s="2"/>
      <c r="Y370" s="2"/>
      <c r="Z370" s="2"/>
    </row>
    <row r="371" spans="1:26" ht="12.75">
      <c r="A371" s="22"/>
      <c r="B371" s="22"/>
      <c r="C371" s="22"/>
      <c r="D371" s="22"/>
      <c r="E371" s="22"/>
      <c r="F371" s="22"/>
      <c r="G371" s="22"/>
      <c r="H371" s="22"/>
      <c r="I371" s="22"/>
      <c r="J371" s="22"/>
      <c r="K371" s="22"/>
      <c r="L371" s="22"/>
      <c r="M371" s="22"/>
      <c r="N371" s="22"/>
      <c r="O371" s="22"/>
      <c r="P371" s="22"/>
      <c r="Q371" s="22"/>
      <c r="R371" s="22"/>
      <c r="S371" s="22"/>
      <c r="T371" s="22"/>
      <c r="U371" s="2"/>
      <c r="V371" s="2"/>
      <c r="W371" s="2"/>
      <c r="X371" s="2"/>
      <c r="Y371" s="2"/>
      <c r="Z371" s="2"/>
    </row>
    <row r="372" spans="1:26" ht="12.75">
      <c r="A372" s="22"/>
      <c r="B372" s="22"/>
      <c r="C372" s="22"/>
      <c r="D372" s="22"/>
      <c r="E372" s="22"/>
      <c r="F372" s="22"/>
      <c r="G372" s="22"/>
      <c r="H372" s="22"/>
      <c r="I372" s="22"/>
      <c r="J372" s="22"/>
      <c r="K372" s="22"/>
      <c r="L372" s="22"/>
      <c r="M372" s="22"/>
      <c r="N372" s="22"/>
      <c r="O372" s="22"/>
      <c r="P372" s="22"/>
      <c r="Q372" s="22"/>
      <c r="R372" s="22"/>
      <c r="S372" s="22"/>
      <c r="T372" s="22"/>
      <c r="U372" s="2"/>
      <c r="V372" s="2"/>
      <c r="W372" s="2"/>
      <c r="X372" s="2"/>
      <c r="Y372" s="2"/>
      <c r="Z372" s="2"/>
    </row>
    <row r="373" spans="1:26" ht="12.75">
      <c r="A373" s="22"/>
      <c r="B373" s="22"/>
      <c r="C373" s="22"/>
      <c r="D373" s="22"/>
      <c r="E373" s="22"/>
      <c r="F373" s="22"/>
      <c r="G373" s="22"/>
      <c r="H373" s="22"/>
      <c r="I373" s="22"/>
      <c r="J373" s="22"/>
      <c r="K373" s="22"/>
      <c r="L373" s="22"/>
      <c r="M373" s="22"/>
      <c r="N373" s="22"/>
      <c r="O373" s="22"/>
      <c r="P373" s="22"/>
      <c r="Q373" s="22"/>
      <c r="R373" s="22"/>
      <c r="S373" s="22"/>
      <c r="T373" s="22"/>
      <c r="U373" s="2"/>
      <c r="V373" s="2"/>
      <c r="W373" s="2"/>
      <c r="X373" s="2"/>
      <c r="Y373" s="2"/>
      <c r="Z373" s="2"/>
    </row>
    <row r="374" spans="1:26" ht="12.75">
      <c r="A374" s="22"/>
      <c r="B374" s="22"/>
      <c r="C374" s="22"/>
      <c r="D374" s="22"/>
      <c r="E374" s="22"/>
      <c r="F374" s="22"/>
      <c r="G374" s="22"/>
      <c r="H374" s="22"/>
      <c r="I374" s="22"/>
      <c r="J374" s="22"/>
      <c r="K374" s="22"/>
      <c r="L374" s="22"/>
      <c r="M374" s="22"/>
      <c r="N374" s="22"/>
      <c r="O374" s="22"/>
      <c r="P374" s="22"/>
      <c r="Q374" s="22"/>
      <c r="R374" s="22"/>
      <c r="S374" s="22"/>
      <c r="T374" s="22"/>
      <c r="U374" s="2"/>
      <c r="V374" s="2"/>
      <c r="W374" s="2"/>
      <c r="X374" s="2"/>
      <c r="Y374" s="2"/>
      <c r="Z374" s="2"/>
    </row>
    <row r="375" spans="1:26" ht="12.75">
      <c r="A375" s="22"/>
      <c r="B375" s="22"/>
      <c r="C375" s="22"/>
      <c r="D375" s="22"/>
      <c r="E375" s="22"/>
      <c r="F375" s="22"/>
      <c r="G375" s="22"/>
      <c r="H375" s="22"/>
      <c r="I375" s="22"/>
      <c r="J375" s="22"/>
      <c r="K375" s="22"/>
      <c r="L375" s="22"/>
      <c r="M375" s="22"/>
      <c r="N375" s="22"/>
      <c r="O375" s="22"/>
      <c r="P375" s="22"/>
      <c r="Q375" s="22"/>
      <c r="R375" s="22"/>
      <c r="S375" s="22"/>
      <c r="T375" s="22"/>
      <c r="U375" s="2"/>
      <c r="V375" s="2"/>
      <c r="W375" s="2"/>
      <c r="X375" s="2"/>
      <c r="Y375" s="2"/>
      <c r="Z375" s="2"/>
    </row>
    <row r="376" spans="1:26" ht="12.75">
      <c r="A376" s="22"/>
      <c r="B376" s="22"/>
      <c r="C376" s="22"/>
      <c r="D376" s="22"/>
      <c r="E376" s="22"/>
      <c r="F376" s="22"/>
      <c r="G376" s="22"/>
      <c r="H376" s="22"/>
      <c r="I376" s="22"/>
      <c r="J376" s="22"/>
      <c r="K376" s="22"/>
      <c r="L376" s="22"/>
      <c r="M376" s="22"/>
      <c r="N376" s="22"/>
      <c r="O376" s="22"/>
      <c r="P376" s="22"/>
      <c r="Q376" s="22"/>
      <c r="R376" s="22"/>
      <c r="S376" s="22"/>
      <c r="T376" s="22"/>
      <c r="U376" s="2"/>
      <c r="V376" s="2"/>
      <c r="W376" s="2"/>
      <c r="X376" s="2"/>
      <c r="Y376" s="2"/>
      <c r="Z376" s="2"/>
    </row>
    <row r="377" spans="1:26" ht="12.75">
      <c r="A377" s="22"/>
      <c r="B377" s="22"/>
      <c r="C377" s="22"/>
      <c r="D377" s="22"/>
      <c r="E377" s="22"/>
      <c r="F377" s="22"/>
      <c r="G377" s="22"/>
      <c r="H377" s="22"/>
      <c r="I377" s="22"/>
      <c r="J377" s="22"/>
      <c r="K377" s="22"/>
      <c r="L377" s="22"/>
      <c r="M377" s="22"/>
      <c r="N377" s="22"/>
      <c r="O377" s="22"/>
      <c r="P377" s="22"/>
      <c r="Q377" s="22"/>
      <c r="R377" s="22"/>
      <c r="S377" s="22"/>
      <c r="T377" s="22"/>
      <c r="U377" s="2"/>
      <c r="V377" s="2"/>
      <c r="W377" s="2"/>
      <c r="X377" s="2"/>
      <c r="Y377" s="2"/>
      <c r="Z377" s="2"/>
    </row>
    <row r="378" spans="1:26" ht="12.75">
      <c r="A378" s="22"/>
      <c r="B378" s="22"/>
      <c r="C378" s="22"/>
      <c r="D378" s="22"/>
      <c r="E378" s="22"/>
      <c r="F378" s="22"/>
      <c r="G378" s="22"/>
      <c r="H378" s="22"/>
      <c r="I378" s="22"/>
      <c r="J378" s="22"/>
      <c r="K378" s="22"/>
      <c r="L378" s="22"/>
      <c r="M378" s="22"/>
      <c r="N378" s="22"/>
      <c r="O378" s="22"/>
      <c r="P378" s="22"/>
      <c r="Q378" s="22"/>
      <c r="R378" s="22"/>
      <c r="S378" s="22"/>
      <c r="T378" s="22"/>
      <c r="U378" s="2"/>
      <c r="V378" s="2"/>
      <c r="W378" s="2"/>
      <c r="X378" s="2"/>
      <c r="Y378" s="2"/>
      <c r="Z378" s="2"/>
    </row>
    <row r="379" spans="1:26" ht="12.75">
      <c r="A379" s="22"/>
      <c r="B379" s="22"/>
      <c r="C379" s="22"/>
      <c r="D379" s="22"/>
      <c r="E379" s="22"/>
      <c r="F379" s="22"/>
      <c r="G379" s="22"/>
      <c r="H379" s="22"/>
      <c r="I379" s="22"/>
      <c r="J379" s="22"/>
      <c r="K379" s="22"/>
      <c r="L379" s="22"/>
      <c r="M379" s="22"/>
      <c r="N379" s="22"/>
      <c r="O379" s="22"/>
      <c r="P379" s="22"/>
      <c r="Q379" s="22"/>
      <c r="R379" s="22"/>
      <c r="S379" s="22"/>
      <c r="T379" s="22"/>
      <c r="U379" s="2"/>
      <c r="V379" s="2"/>
      <c r="W379" s="2"/>
      <c r="X379" s="2"/>
      <c r="Y379" s="2"/>
      <c r="Z379" s="2"/>
    </row>
    <row r="380" spans="1:26" ht="12.75">
      <c r="A380" s="22"/>
      <c r="B380" s="22"/>
      <c r="C380" s="22"/>
      <c r="D380" s="22"/>
      <c r="E380" s="22"/>
      <c r="F380" s="22"/>
      <c r="G380" s="22"/>
      <c r="H380" s="22"/>
      <c r="I380" s="22"/>
      <c r="J380" s="22"/>
      <c r="K380" s="22"/>
      <c r="L380" s="22"/>
      <c r="M380" s="22"/>
      <c r="N380" s="22"/>
      <c r="O380" s="22"/>
      <c r="P380" s="22"/>
      <c r="Q380" s="22"/>
      <c r="R380" s="22"/>
      <c r="S380" s="22"/>
      <c r="T380" s="22"/>
      <c r="U380" s="2"/>
      <c r="V380" s="2"/>
      <c r="W380" s="2"/>
      <c r="X380" s="2"/>
      <c r="Y380" s="2"/>
      <c r="Z380" s="2"/>
    </row>
    <row r="381" spans="1:26" ht="12.75">
      <c r="A381" s="22"/>
      <c r="B381" s="22"/>
      <c r="C381" s="22"/>
      <c r="D381" s="22"/>
      <c r="E381" s="22"/>
      <c r="F381" s="22"/>
      <c r="G381" s="22"/>
      <c r="H381" s="22"/>
      <c r="I381" s="22"/>
      <c r="J381" s="22"/>
      <c r="K381" s="22"/>
      <c r="L381" s="22"/>
      <c r="M381" s="22"/>
      <c r="N381" s="22"/>
      <c r="O381" s="22"/>
      <c r="P381" s="22"/>
      <c r="Q381" s="22"/>
      <c r="R381" s="22"/>
      <c r="S381" s="22"/>
      <c r="T381" s="22"/>
      <c r="U381" s="2"/>
      <c r="V381" s="2"/>
      <c r="W381" s="2"/>
      <c r="X381" s="2"/>
      <c r="Y381" s="2"/>
      <c r="Z381" s="2"/>
    </row>
    <row r="382" spans="1:26" ht="12.75">
      <c r="A382" s="22"/>
      <c r="B382" s="22"/>
      <c r="C382" s="22"/>
      <c r="D382" s="22"/>
      <c r="E382" s="22"/>
      <c r="F382" s="22"/>
      <c r="G382" s="22"/>
      <c r="H382" s="22"/>
      <c r="I382" s="22"/>
      <c r="J382" s="22"/>
      <c r="K382" s="22"/>
      <c r="L382" s="22"/>
      <c r="M382" s="22"/>
      <c r="N382" s="22"/>
      <c r="O382" s="22"/>
      <c r="P382" s="22"/>
      <c r="Q382" s="22"/>
      <c r="R382" s="22"/>
      <c r="S382" s="22"/>
      <c r="T382" s="22"/>
      <c r="U382" s="2"/>
      <c r="V382" s="2"/>
      <c r="W382" s="2"/>
      <c r="X382" s="2"/>
      <c r="Y382" s="2"/>
      <c r="Z382" s="2"/>
    </row>
    <row r="383" spans="1:26" ht="12.75">
      <c r="A383" s="22"/>
      <c r="B383" s="22"/>
      <c r="C383" s="22"/>
      <c r="D383" s="22"/>
      <c r="E383" s="22"/>
      <c r="F383" s="22"/>
      <c r="G383" s="22"/>
      <c r="H383" s="22"/>
      <c r="I383" s="22"/>
      <c r="J383" s="22"/>
      <c r="K383" s="22"/>
      <c r="L383" s="22"/>
      <c r="M383" s="22"/>
      <c r="N383" s="22"/>
      <c r="O383" s="22"/>
      <c r="P383" s="22"/>
      <c r="Q383" s="22"/>
      <c r="R383" s="22"/>
      <c r="S383" s="22"/>
      <c r="T383" s="22"/>
      <c r="U383" s="2"/>
      <c r="V383" s="2"/>
      <c r="W383" s="2"/>
      <c r="X383" s="2"/>
      <c r="Y383" s="2"/>
      <c r="Z383" s="2"/>
    </row>
    <row r="384" spans="1:26" ht="12.75">
      <c r="A384" s="22"/>
      <c r="B384" s="22"/>
      <c r="C384" s="22"/>
      <c r="D384" s="22"/>
      <c r="E384" s="22"/>
      <c r="F384" s="22"/>
      <c r="G384" s="22"/>
      <c r="H384" s="22"/>
      <c r="I384" s="22"/>
      <c r="J384" s="22"/>
      <c r="K384" s="22"/>
      <c r="L384" s="22"/>
      <c r="M384" s="22"/>
      <c r="N384" s="22"/>
      <c r="O384" s="22"/>
      <c r="P384" s="22"/>
      <c r="Q384" s="22"/>
      <c r="R384" s="22"/>
      <c r="S384" s="22"/>
      <c r="T384" s="22"/>
      <c r="U384" s="2"/>
      <c r="V384" s="2"/>
      <c r="W384" s="2"/>
      <c r="X384" s="2"/>
      <c r="Y384" s="2"/>
      <c r="Z384" s="2"/>
    </row>
    <row r="385" spans="1:26" ht="12.75">
      <c r="A385" s="22"/>
      <c r="B385" s="22"/>
      <c r="C385" s="22"/>
      <c r="D385" s="22"/>
      <c r="E385" s="22"/>
      <c r="F385" s="22"/>
      <c r="G385" s="22"/>
      <c r="H385" s="22"/>
      <c r="I385" s="22"/>
      <c r="J385" s="22"/>
      <c r="K385" s="22"/>
      <c r="L385" s="22"/>
      <c r="M385" s="22"/>
      <c r="N385" s="22"/>
      <c r="O385" s="22"/>
      <c r="P385" s="22"/>
      <c r="Q385" s="22"/>
      <c r="R385" s="22"/>
      <c r="S385" s="22"/>
      <c r="T385" s="22"/>
      <c r="U385" s="2"/>
      <c r="V385" s="2"/>
      <c r="W385" s="2"/>
      <c r="X385" s="2"/>
      <c r="Y385" s="2"/>
      <c r="Z385" s="2"/>
    </row>
    <row r="386" spans="1:26" ht="12.75">
      <c r="A386" s="22"/>
      <c r="B386" s="22"/>
      <c r="C386" s="22"/>
      <c r="D386" s="22"/>
      <c r="E386" s="22"/>
      <c r="F386" s="22"/>
      <c r="G386" s="22"/>
      <c r="H386" s="22"/>
      <c r="I386" s="22"/>
      <c r="J386" s="22"/>
      <c r="K386" s="22"/>
      <c r="L386" s="22"/>
      <c r="M386" s="22"/>
      <c r="N386" s="22"/>
      <c r="O386" s="22"/>
      <c r="P386" s="22"/>
      <c r="Q386" s="22"/>
      <c r="R386" s="22"/>
      <c r="S386" s="22"/>
      <c r="T386" s="22"/>
      <c r="U386" s="2"/>
      <c r="V386" s="2"/>
      <c r="W386" s="2"/>
      <c r="X386" s="2"/>
      <c r="Y386" s="2"/>
      <c r="Z386" s="2"/>
    </row>
    <row r="387" spans="1:26" ht="12.75">
      <c r="A387" s="22"/>
      <c r="B387" s="22"/>
      <c r="C387" s="22"/>
      <c r="D387" s="22"/>
      <c r="E387" s="22"/>
      <c r="F387" s="22"/>
      <c r="G387" s="22"/>
      <c r="H387" s="22"/>
      <c r="I387" s="22"/>
      <c r="J387" s="22"/>
      <c r="K387" s="22"/>
      <c r="L387" s="22"/>
      <c r="M387" s="22"/>
      <c r="N387" s="22"/>
      <c r="O387" s="22"/>
      <c r="P387" s="22"/>
      <c r="Q387" s="22"/>
      <c r="R387" s="22"/>
      <c r="S387" s="22"/>
      <c r="T387" s="22"/>
      <c r="U387" s="2"/>
      <c r="V387" s="2"/>
      <c r="W387" s="2"/>
      <c r="X387" s="2"/>
      <c r="Y387" s="2"/>
      <c r="Z387" s="2"/>
    </row>
    <row r="388" spans="1:26" ht="12.75">
      <c r="A388" s="22"/>
      <c r="B388" s="22"/>
      <c r="C388" s="22"/>
      <c r="D388" s="22"/>
      <c r="E388" s="22"/>
      <c r="F388" s="22"/>
      <c r="G388" s="22"/>
      <c r="H388" s="22"/>
      <c r="I388" s="22"/>
      <c r="J388" s="22"/>
      <c r="K388" s="22"/>
      <c r="L388" s="22"/>
      <c r="M388" s="22"/>
      <c r="N388" s="22"/>
      <c r="O388" s="22"/>
      <c r="P388" s="22"/>
      <c r="Q388" s="22"/>
      <c r="R388" s="22"/>
      <c r="S388" s="22"/>
      <c r="T388" s="22"/>
      <c r="U388" s="2"/>
      <c r="V388" s="2"/>
      <c r="W388" s="2"/>
      <c r="X388" s="2"/>
      <c r="Y388" s="2"/>
      <c r="Z388" s="2"/>
    </row>
    <row r="389" spans="1:26" ht="12.75">
      <c r="A389" s="22"/>
      <c r="B389" s="22"/>
      <c r="C389" s="22"/>
      <c r="D389" s="22"/>
      <c r="E389" s="22"/>
      <c r="F389" s="22"/>
      <c r="G389" s="22"/>
      <c r="H389" s="22"/>
      <c r="I389" s="22"/>
      <c r="J389" s="22"/>
      <c r="K389" s="22"/>
      <c r="L389" s="22"/>
      <c r="M389" s="22"/>
      <c r="N389" s="22"/>
      <c r="O389" s="22"/>
      <c r="P389" s="22"/>
      <c r="Q389" s="22"/>
      <c r="R389" s="22"/>
      <c r="S389" s="22"/>
      <c r="T389" s="22"/>
      <c r="U389" s="2"/>
      <c r="V389" s="2"/>
      <c r="W389" s="2"/>
      <c r="X389" s="2"/>
      <c r="Y389" s="2"/>
      <c r="Z389" s="2"/>
    </row>
    <row r="390" spans="1:26" ht="12.75">
      <c r="A390" s="22"/>
      <c r="B390" s="22"/>
      <c r="C390" s="22"/>
      <c r="D390" s="22"/>
      <c r="E390" s="22"/>
      <c r="F390" s="22"/>
      <c r="G390" s="22"/>
      <c r="H390" s="22"/>
      <c r="I390" s="22"/>
      <c r="J390" s="22"/>
      <c r="K390" s="22"/>
      <c r="L390" s="22"/>
      <c r="M390" s="22"/>
      <c r="N390" s="22"/>
      <c r="O390" s="22"/>
      <c r="P390" s="22"/>
      <c r="Q390" s="22"/>
      <c r="R390" s="22"/>
      <c r="S390" s="22"/>
      <c r="T390" s="22"/>
      <c r="U390" s="2"/>
      <c r="V390" s="2"/>
      <c r="W390" s="2"/>
      <c r="X390" s="2"/>
      <c r="Y390" s="2"/>
      <c r="Z390" s="2"/>
    </row>
    <row r="391" spans="1:26" ht="12.75">
      <c r="A391" s="22"/>
      <c r="B391" s="22"/>
      <c r="C391" s="22"/>
      <c r="D391" s="22"/>
      <c r="E391" s="22"/>
      <c r="F391" s="22"/>
      <c r="G391" s="22"/>
      <c r="H391" s="22"/>
      <c r="I391" s="22"/>
      <c r="J391" s="22"/>
      <c r="K391" s="22"/>
      <c r="L391" s="22"/>
      <c r="M391" s="22"/>
      <c r="N391" s="22"/>
      <c r="O391" s="22"/>
      <c r="P391" s="22"/>
      <c r="Q391" s="22"/>
      <c r="R391" s="22"/>
      <c r="S391" s="22"/>
      <c r="T391" s="22"/>
      <c r="U391" s="2"/>
      <c r="V391" s="2"/>
      <c r="W391" s="2"/>
      <c r="X391" s="2"/>
      <c r="Y391" s="2"/>
      <c r="Z391" s="2"/>
    </row>
    <row r="392" spans="1:26" ht="12.75">
      <c r="A392" s="22"/>
      <c r="B392" s="22"/>
      <c r="C392" s="22"/>
      <c r="D392" s="22"/>
      <c r="E392" s="22"/>
      <c r="F392" s="22"/>
      <c r="G392" s="22"/>
      <c r="H392" s="22"/>
      <c r="I392" s="22"/>
      <c r="J392" s="22"/>
      <c r="K392" s="22"/>
      <c r="L392" s="22"/>
      <c r="M392" s="22"/>
      <c r="N392" s="22"/>
      <c r="O392" s="22"/>
      <c r="P392" s="22"/>
      <c r="Q392" s="22"/>
      <c r="R392" s="22"/>
      <c r="S392" s="22"/>
      <c r="T392" s="22"/>
      <c r="U392" s="2"/>
      <c r="V392" s="2"/>
      <c r="W392" s="2"/>
      <c r="X392" s="2"/>
      <c r="Y392" s="2"/>
      <c r="Z392" s="2"/>
    </row>
    <row r="393" spans="1:26" ht="12.75">
      <c r="A393" s="22"/>
      <c r="B393" s="22"/>
      <c r="C393" s="22"/>
      <c r="D393" s="22"/>
      <c r="E393" s="22"/>
      <c r="F393" s="22"/>
      <c r="G393" s="22"/>
      <c r="H393" s="22"/>
      <c r="I393" s="22"/>
      <c r="J393" s="22"/>
      <c r="K393" s="22"/>
      <c r="L393" s="22"/>
      <c r="M393" s="22"/>
      <c r="N393" s="22"/>
      <c r="O393" s="22"/>
      <c r="P393" s="22"/>
      <c r="Q393" s="22"/>
      <c r="R393" s="22"/>
      <c r="S393" s="22"/>
      <c r="T393" s="22"/>
      <c r="U393" s="2"/>
      <c r="V393" s="2"/>
      <c r="W393" s="2"/>
      <c r="X393" s="2"/>
      <c r="Y393" s="2"/>
      <c r="Z393" s="2"/>
    </row>
    <row r="394" spans="1:26" ht="12.75">
      <c r="A394" s="22"/>
      <c r="B394" s="22"/>
      <c r="C394" s="22"/>
      <c r="D394" s="22"/>
      <c r="E394" s="22"/>
      <c r="F394" s="22"/>
      <c r="G394" s="22"/>
      <c r="H394" s="22"/>
      <c r="I394" s="22"/>
      <c r="J394" s="22"/>
      <c r="K394" s="22"/>
      <c r="L394" s="22"/>
      <c r="M394" s="22"/>
      <c r="N394" s="22"/>
      <c r="O394" s="22"/>
      <c r="P394" s="22"/>
      <c r="Q394" s="22"/>
      <c r="R394" s="22"/>
      <c r="S394" s="22"/>
      <c r="T394" s="22"/>
      <c r="U394" s="2"/>
      <c r="V394" s="2"/>
      <c r="W394" s="2"/>
      <c r="X394" s="2"/>
      <c r="Y394" s="2"/>
      <c r="Z394" s="2"/>
    </row>
    <row r="395" spans="1:26" ht="12.75">
      <c r="A395" s="22"/>
      <c r="B395" s="22"/>
      <c r="C395" s="22"/>
      <c r="D395" s="22"/>
      <c r="E395" s="22"/>
      <c r="F395" s="22"/>
      <c r="G395" s="22"/>
      <c r="H395" s="22"/>
      <c r="I395" s="22"/>
      <c r="J395" s="22"/>
      <c r="K395" s="22"/>
      <c r="L395" s="22"/>
      <c r="M395" s="22"/>
      <c r="N395" s="22"/>
      <c r="O395" s="22"/>
      <c r="P395" s="22"/>
      <c r="Q395" s="22"/>
      <c r="R395" s="22"/>
      <c r="S395" s="22"/>
      <c r="T395" s="22"/>
      <c r="U395" s="2"/>
      <c r="V395" s="2"/>
      <c r="W395" s="2"/>
      <c r="X395" s="2"/>
      <c r="Y395" s="2"/>
      <c r="Z395" s="2"/>
    </row>
    <row r="396" spans="1:26" ht="12.75">
      <c r="A396" s="22"/>
      <c r="B396" s="22"/>
      <c r="C396" s="22"/>
      <c r="D396" s="22"/>
      <c r="E396" s="22"/>
      <c r="F396" s="22"/>
      <c r="G396" s="22"/>
      <c r="H396" s="22"/>
      <c r="I396" s="22"/>
      <c r="J396" s="22"/>
      <c r="K396" s="22"/>
      <c r="L396" s="22"/>
      <c r="M396" s="22"/>
      <c r="N396" s="22"/>
      <c r="O396" s="22"/>
      <c r="P396" s="22"/>
      <c r="Q396" s="22"/>
      <c r="R396" s="22"/>
      <c r="S396" s="22"/>
      <c r="T396" s="22"/>
      <c r="U396" s="2"/>
      <c r="V396" s="2"/>
      <c r="W396" s="2"/>
      <c r="X396" s="2"/>
      <c r="Y396" s="2"/>
      <c r="Z396" s="2"/>
    </row>
    <row r="397" spans="1:26" ht="12.75">
      <c r="A397" s="22"/>
      <c r="B397" s="22"/>
      <c r="C397" s="22"/>
      <c r="D397" s="22"/>
      <c r="E397" s="22"/>
      <c r="F397" s="22"/>
      <c r="G397" s="22"/>
      <c r="H397" s="22"/>
      <c r="I397" s="22"/>
      <c r="J397" s="22"/>
      <c r="K397" s="22"/>
      <c r="L397" s="22"/>
      <c r="M397" s="22"/>
      <c r="N397" s="22"/>
      <c r="O397" s="22"/>
      <c r="P397" s="22"/>
      <c r="Q397" s="22"/>
      <c r="R397" s="22"/>
      <c r="S397" s="22"/>
      <c r="T397" s="22"/>
      <c r="U397" s="2"/>
      <c r="V397" s="2"/>
      <c r="W397" s="2"/>
      <c r="X397" s="2"/>
      <c r="Y397" s="2"/>
      <c r="Z397" s="2"/>
    </row>
    <row r="398" spans="1:26" ht="12.75">
      <c r="A398" s="22"/>
      <c r="B398" s="22"/>
      <c r="C398" s="22"/>
      <c r="D398" s="22"/>
      <c r="E398" s="22"/>
      <c r="F398" s="22"/>
      <c r="G398" s="22"/>
      <c r="H398" s="22"/>
      <c r="I398" s="22"/>
      <c r="J398" s="22"/>
      <c r="K398" s="22"/>
      <c r="L398" s="22"/>
      <c r="M398" s="22"/>
      <c r="N398" s="22"/>
      <c r="O398" s="22"/>
      <c r="P398" s="22"/>
      <c r="Q398" s="22"/>
      <c r="R398" s="22"/>
      <c r="S398" s="22"/>
      <c r="T398" s="22"/>
      <c r="U398" s="2"/>
      <c r="V398" s="2"/>
      <c r="W398" s="2"/>
      <c r="X398" s="2"/>
      <c r="Y398" s="2"/>
      <c r="Z398" s="2"/>
    </row>
    <row r="399" spans="1:26" ht="12.75">
      <c r="A399" s="22"/>
      <c r="B399" s="22"/>
      <c r="C399" s="22"/>
      <c r="D399" s="22"/>
      <c r="E399" s="22"/>
      <c r="F399" s="22"/>
      <c r="G399" s="22"/>
      <c r="H399" s="22"/>
      <c r="I399" s="22"/>
      <c r="J399" s="22"/>
      <c r="K399" s="22"/>
      <c r="L399" s="22"/>
      <c r="M399" s="22"/>
      <c r="N399" s="22"/>
      <c r="O399" s="22"/>
      <c r="P399" s="22"/>
      <c r="Q399" s="22"/>
      <c r="R399" s="22"/>
      <c r="S399" s="22"/>
      <c r="T399" s="22"/>
      <c r="U399" s="2"/>
      <c r="V399" s="2"/>
      <c r="W399" s="2"/>
      <c r="X399" s="2"/>
      <c r="Y399" s="2"/>
      <c r="Z399" s="2"/>
    </row>
    <row r="400" spans="1:26" ht="12.75">
      <c r="A400" s="22"/>
      <c r="B400" s="22"/>
      <c r="C400" s="22"/>
      <c r="D400" s="22"/>
      <c r="E400" s="22"/>
      <c r="F400" s="22"/>
      <c r="G400" s="22"/>
      <c r="H400" s="22"/>
      <c r="I400" s="22"/>
      <c r="J400" s="22"/>
      <c r="K400" s="22"/>
      <c r="L400" s="22"/>
      <c r="M400" s="22"/>
      <c r="N400" s="22"/>
      <c r="O400" s="22"/>
      <c r="P400" s="22"/>
      <c r="Q400" s="22"/>
      <c r="R400" s="22"/>
      <c r="S400" s="22"/>
      <c r="T400" s="22"/>
      <c r="U400" s="2"/>
      <c r="V400" s="2"/>
      <c r="W400" s="2"/>
      <c r="X400" s="2"/>
      <c r="Y400" s="2"/>
      <c r="Z400" s="2"/>
    </row>
    <row r="401" spans="1:26" ht="12.75">
      <c r="A401" s="22"/>
      <c r="B401" s="22"/>
      <c r="C401" s="22"/>
      <c r="D401" s="22"/>
      <c r="E401" s="22"/>
      <c r="F401" s="22"/>
      <c r="G401" s="22"/>
      <c r="H401" s="22"/>
      <c r="I401" s="22"/>
      <c r="J401" s="22"/>
      <c r="K401" s="22"/>
      <c r="L401" s="22"/>
      <c r="M401" s="22"/>
      <c r="N401" s="22"/>
      <c r="O401" s="22"/>
      <c r="P401" s="22"/>
      <c r="Q401" s="22"/>
      <c r="R401" s="22"/>
      <c r="S401" s="22"/>
      <c r="T401" s="22"/>
      <c r="U401" s="2"/>
      <c r="V401" s="2"/>
      <c r="W401" s="2"/>
      <c r="X401" s="2"/>
      <c r="Y401" s="2"/>
      <c r="Z401" s="2"/>
    </row>
    <row r="402" spans="1:26" ht="12.75">
      <c r="A402" s="22"/>
      <c r="B402" s="22"/>
      <c r="C402" s="22"/>
      <c r="D402" s="22"/>
      <c r="E402" s="22"/>
      <c r="F402" s="22"/>
      <c r="G402" s="22"/>
      <c r="H402" s="22"/>
      <c r="I402" s="22"/>
      <c r="J402" s="22"/>
      <c r="K402" s="22"/>
      <c r="L402" s="22"/>
      <c r="M402" s="22"/>
      <c r="N402" s="22"/>
      <c r="O402" s="22"/>
      <c r="P402" s="22"/>
      <c r="Q402" s="22"/>
      <c r="R402" s="22"/>
      <c r="S402" s="22"/>
      <c r="T402" s="22"/>
      <c r="U402" s="2"/>
      <c r="V402" s="2"/>
      <c r="W402" s="2"/>
      <c r="X402" s="2"/>
      <c r="Y402" s="2"/>
      <c r="Z402" s="2"/>
    </row>
    <row r="403" spans="1:26" ht="12.75">
      <c r="A403" s="22"/>
      <c r="B403" s="22"/>
      <c r="C403" s="22"/>
      <c r="D403" s="22"/>
      <c r="E403" s="22"/>
      <c r="F403" s="22"/>
      <c r="G403" s="22"/>
      <c r="H403" s="22"/>
      <c r="I403" s="22"/>
      <c r="J403" s="22"/>
      <c r="K403" s="22"/>
      <c r="L403" s="22"/>
      <c r="M403" s="22"/>
      <c r="N403" s="22"/>
      <c r="O403" s="22"/>
      <c r="P403" s="22"/>
      <c r="Q403" s="22"/>
      <c r="R403" s="22"/>
      <c r="S403" s="22"/>
      <c r="T403" s="22"/>
      <c r="U403" s="2"/>
      <c r="V403" s="2"/>
      <c r="W403" s="2"/>
      <c r="X403" s="2"/>
      <c r="Y403" s="2"/>
      <c r="Z403" s="2"/>
    </row>
    <row r="404" spans="1:26" ht="12.75">
      <c r="A404" s="22"/>
      <c r="B404" s="22"/>
      <c r="C404" s="22"/>
      <c r="D404" s="22"/>
      <c r="E404" s="22"/>
      <c r="F404" s="22"/>
      <c r="G404" s="22"/>
      <c r="H404" s="22"/>
      <c r="I404" s="22"/>
      <c r="J404" s="22"/>
      <c r="K404" s="22"/>
      <c r="L404" s="22"/>
      <c r="M404" s="22"/>
      <c r="N404" s="22"/>
      <c r="O404" s="22"/>
      <c r="P404" s="22"/>
      <c r="Q404" s="22"/>
      <c r="R404" s="22"/>
      <c r="S404" s="22"/>
      <c r="T404" s="22"/>
      <c r="U404" s="2"/>
      <c r="V404" s="2"/>
      <c r="W404" s="2"/>
      <c r="X404" s="2"/>
      <c r="Y404" s="2"/>
      <c r="Z404" s="2"/>
    </row>
    <row r="405" spans="1:26" ht="12.75">
      <c r="A405" s="22"/>
      <c r="B405" s="22"/>
      <c r="C405" s="22"/>
      <c r="D405" s="22"/>
      <c r="E405" s="22"/>
      <c r="F405" s="22"/>
      <c r="G405" s="22"/>
      <c r="H405" s="22"/>
      <c r="I405" s="22"/>
      <c r="J405" s="22"/>
      <c r="K405" s="22"/>
      <c r="L405" s="22"/>
      <c r="M405" s="22"/>
      <c r="N405" s="22"/>
      <c r="O405" s="22"/>
      <c r="P405" s="22"/>
      <c r="Q405" s="22"/>
      <c r="R405" s="22"/>
      <c r="S405" s="22"/>
      <c r="T405" s="22"/>
      <c r="U405" s="2"/>
      <c r="V405" s="2"/>
      <c r="W405" s="2"/>
      <c r="X405" s="2"/>
      <c r="Y405" s="2"/>
      <c r="Z405" s="2"/>
    </row>
    <row r="406" spans="1:26" ht="12.75">
      <c r="A406" s="22"/>
      <c r="B406" s="22"/>
      <c r="C406" s="22"/>
      <c r="D406" s="22"/>
      <c r="E406" s="22"/>
      <c r="F406" s="22"/>
      <c r="G406" s="22"/>
      <c r="H406" s="22"/>
      <c r="I406" s="22"/>
      <c r="J406" s="22"/>
      <c r="K406" s="22"/>
      <c r="L406" s="22"/>
      <c r="M406" s="22"/>
      <c r="N406" s="22"/>
      <c r="O406" s="22"/>
      <c r="P406" s="22"/>
      <c r="Q406" s="22"/>
      <c r="R406" s="22"/>
      <c r="S406" s="22"/>
      <c r="T406" s="22"/>
      <c r="U406" s="2"/>
      <c r="V406" s="2"/>
      <c r="W406" s="2"/>
      <c r="X406" s="2"/>
      <c r="Y406" s="2"/>
      <c r="Z406" s="2"/>
    </row>
    <row r="407" spans="1:26" ht="12.75">
      <c r="A407" s="22"/>
      <c r="B407" s="22"/>
      <c r="C407" s="22"/>
      <c r="D407" s="22"/>
      <c r="E407" s="22"/>
      <c r="F407" s="22"/>
      <c r="G407" s="22"/>
      <c r="H407" s="22"/>
      <c r="I407" s="22"/>
      <c r="J407" s="22"/>
      <c r="K407" s="22"/>
      <c r="L407" s="22"/>
      <c r="M407" s="22"/>
      <c r="N407" s="22"/>
      <c r="O407" s="22"/>
      <c r="P407" s="22"/>
      <c r="Q407" s="22"/>
      <c r="R407" s="22"/>
      <c r="S407" s="22"/>
      <c r="T407" s="22"/>
      <c r="U407" s="2"/>
      <c r="V407" s="2"/>
      <c r="W407" s="2"/>
      <c r="X407" s="2"/>
      <c r="Y407" s="2"/>
      <c r="Z407" s="2"/>
    </row>
    <row r="408" spans="1:26" ht="12.75">
      <c r="A408" s="22"/>
      <c r="B408" s="22"/>
      <c r="C408" s="22"/>
      <c r="D408" s="22"/>
      <c r="E408" s="22"/>
      <c r="F408" s="22"/>
      <c r="G408" s="22"/>
      <c r="H408" s="22"/>
      <c r="I408" s="22"/>
      <c r="J408" s="22"/>
      <c r="K408" s="22"/>
      <c r="L408" s="22"/>
      <c r="M408" s="22"/>
      <c r="N408" s="22"/>
      <c r="O408" s="22"/>
      <c r="P408" s="22"/>
      <c r="Q408" s="22"/>
      <c r="R408" s="22"/>
      <c r="S408" s="22"/>
      <c r="T408" s="22"/>
      <c r="U408" s="2"/>
      <c r="V408" s="2"/>
      <c r="W408" s="2"/>
      <c r="X408" s="2"/>
      <c r="Y408" s="2"/>
      <c r="Z408" s="2"/>
    </row>
    <row r="409" spans="1:26" ht="12.75">
      <c r="A409" s="22"/>
      <c r="B409" s="22"/>
      <c r="C409" s="22"/>
      <c r="D409" s="22"/>
      <c r="E409" s="22"/>
      <c r="F409" s="22"/>
      <c r="G409" s="22"/>
      <c r="H409" s="22"/>
      <c r="I409" s="22"/>
      <c r="J409" s="22"/>
      <c r="K409" s="22"/>
      <c r="L409" s="22"/>
      <c r="M409" s="22"/>
      <c r="N409" s="22"/>
      <c r="O409" s="22"/>
      <c r="P409" s="22"/>
      <c r="Q409" s="22"/>
      <c r="R409" s="22"/>
      <c r="S409" s="22"/>
      <c r="T409" s="22"/>
      <c r="U409" s="2"/>
      <c r="V409" s="2"/>
      <c r="W409" s="2"/>
      <c r="X409" s="2"/>
      <c r="Y409" s="2"/>
      <c r="Z409" s="2"/>
    </row>
    <row r="410" spans="1:26" ht="12.75">
      <c r="A410" s="22"/>
      <c r="B410" s="22"/>
      <c r="C410" s="22"/>
      <c r="D410" s="22"/>
      <c r="E410" s="22"/>
      <c r="F410" s="22"/>
      <c r="G410" s="22"/>
      <c r="H410" s="22"/>
      <c r="I410" s="22"/>
      <c r="J410" s="22"/>
      <c r="K410" s="22"/>
      <c r="L410" s="22"/>
      <c r="M410" s="22"/>
      <c r="N410" s="22"/>
      <c r="O410" s="22"/>
      <c r="P410" s="22"/>
      <c r="Q410" s="22"/>
      <c r="R410" s="22"/>
      <c r="S410" s="22"/>
      <c r="T410" s="22"/>
      <c r="U410" s="2"/>
      <c r="V410" s="2"/>
      <c r="W410" s="2"/>
      <c r="X410" s="2"/>
      <c r="Y410" s="2"/>
      <c r="Z410" s="2"/>
    </row>
    <row r="411" spans="1:26" ht="12.75">
      <c r="A411" s="22"/>
      <c r="B411" s="22"/>
      <c r="C411" s="22"/>
      <c r="D411" s="22"/>
      <c r="E411" s="22"/>
      <c r="F411" s="22"/>
      <c r="G411" s="22"/>
      <c r="H411" s="22"/>
      <c r="I411" s="22"/>
      <c r="J411" s="22"/>
      <c r="K411" s="22"/>
      <c r="L411" s="22"/>
      <c r="M411" s="22"/>
      <c r="N411" s="22"/>
      <c r="O411" s="22"/>
      <c r="P411" s="22"/>
      <c r="Q411" s="22"/>
      <c r="R411" s="22"/>
      <c r="S411" s="22"/>
      <c r="T411" s="22"/>
      <c r="U411" s="2"/>
      <c r="V411" s="2"/>
      <c r="W411" s="2"/>
      <c r="X411" s="2"/>
      <c r="Y411" s="2"/>
      <c r="Z411" s="2"/>
    </row>
    <row r="412" spans="1:26" ht="12.75">
      <c r="A412" s="22"/>
      <c r="B412" s="22"/>
      <c r="C412" s="22"/>
      <c r="D412" s="22"/>
      <c r="E412" s="22"/>
      <c r="F412" s="22"/>
      <c r="G412" s="22"/>
      <c r="H412" s="22"/>
      <c r="I412" s="22"/>
      <c r="J412" s="22"/>
      <c r="K412" s="22"/>
      <c r="L412" s="22"/>
      <c r="M412" s="22"/>
      <c r="N412" s="22"/>
      <c r="O412" s="22"/>
      <c r="P412" s="22"/>
      <c r="Q412" s="22"/>
      <c r="R412" s="22"/>
      <c r="S412" s="22"/>
      <c r="T412" s="22"/>
      <c r="U412" s="2"/>
      <c r="V412" s="2"/>
      <c r="W412" s="2"/>
      <c r="X412" s="2"/>
      <c r="Y412" s="2"/>
      <c r="Z412" s="2"/>
    </row>
    <row r="413" spans="1:26" ht="12.75">
      <c r="A413" s="22"/>
      <c r="B413" s="22"/>
      <c r="C413" s="22"/>
      <c r="D413" s="22"/>
      <c r="E413" s="22"/>
      <c r="F413" s="22"/>
      <c r="G413" s="22"/>
      <c r="H413" s="22"/>
      <c r="I413" s="22"/>
      <c r="J413" s="22"/>
      <c r="K413" s="22"/>
      <c r="L413" s="22"/>
      <c r="M413" s="22"/>
      <c r="N413" s="22"/>
      <c r="O413" s="22"/>
      <c r="P413" s="22"/>
      <c r="Q413" s="22"/>
      <c r="R413" s="22"/>
      <c r="S413" s="22"/>
      <c r="T413" s="22"/>
      <c r="U413" s="2"/>
      <c r="V413" s="2"/>
      <c r="W413" s="2"/>
      <c r="X413" s="2"/>
      <c r="Y413" s="2"/>
      <c r="Z413" s="2"/>
    </row>
    <row r="414" spans="1:26" ht="12.75">
      <c r="A414" s="22"/>
      <c r="B414" s="22"/>
      <c r="C414" s="22"/>
      <c r="D414" s="22"/>
      <c r="E414" s="22"/>
      <c r="F414" s="22"/>
      <c r="G414" s="22"/>
      <c r="H414" s="22"/>
      <c r="I414" s="22"/>
      <c r="J414" s="22"/>
      <c r="K414" s="22"/>
      <c r="L414" s="22"/>
      <c r="M414" s="22"/>
      <c r="N414" s="22"/>
      <c r="O414" s="22"/>
      <c r="P414" s="22"/>
      <c r="Q414" s="22"/>
      <c r="R414" s="22"/>
      <c r="S414" s="22"/>
      <c r="T414" s="22"/>
      <c r="U414" s="2"/>
      <c r="V414" s="2"/>
      <c r="W414" s="2"/>
      <c r="X414" s="2"/>
      <c r="Y414" s="2"/>
      <c r="Z414" s="2"/>
    </row>
    <row r="415" spans="1:26" ht="12.75">
      <c r="A415" s="22"/>
      <c r="B415" s="22"/>
      <c r="C415" s="22"/>
      <c r="D415" s="22"/>
      <c r="E415" s="22"/>
      <c r="F415" s="22"/>
      <c r="G415" s="22"/>
      <c r="H415" s="22"/>
      <c r="I415" s="22"/>
      <c r="J415" s="22"/>
      <c r="K415" s="22"/>
      <c r="L415" s="22"/>
      <c r="M415" s="22"/>
      <c r="N415" s="22"/>
      <c r="O415" s="22"/>
      <c r="P415" s="22"/>
      <c r="Q415" s="22"/>
      <c r="R415" s="22"/>
      <c r="S415" s="22"/>
      <c r="T415" s="22"/>
      <c r="U415" s="2"/>
      <c r="V415" s="2"/>
      <c r="W415" s="2"/>
      <c r="X415" s="2"/>
      <c r="Y415" s="2"/>
      <c r="Z415" s="2"/>
    </row>
    <row r="416" spans="1:26" ht="12.75">
      <c r="A416" s="22"/>
      <c r="B416" s="22"/>
      <c r="C416" s="22"/>
      <c r="D416" s="22"/>
      <c r="E416" s="22"/>
      <c r="F416" s="22"/>
      <c r="G416" s="22"/>
      <c r="H416" s="22"/>
      <c r="I416" s="22"/>
      <c r="J416" s="22"/>
      <c r="K416" s="22"/>
      <c r="L416" s="22"/>
      <c r="M416" s="22"/>
      <c r="N416" s="22"/>
      <c r="O416" s="22"/>
      <c r="P416" s="22"/>
      <c r="Q416" s="22"/>
      <c r="R416" s="22"/>
      <c r="S416" s="22"/>
      <c r="T416" s="22"/>
      <c r="U416" s="2"/>
      <c r="V416" s="2"/>
      <c r="W416" s="2"/>
      <c r="X416" s="2"/>
      <c r="Y416" s="2"/>
      <c r="Z416" s="2"/>
    </row>
    <row r="417" spans="1:26" ht="12.75">
      <c r="A417" s="22"/>
      <c r="B417" s="22"/>
      <c r="C417" s="22"/>
      <c r="D417" s="22"/>
      <c r="E417" s="22"/>
      <c r="F417" s="22"/>
      <c r="G417" s="22"/>
      <c r="H417" s="22"/>
      <c r="I417" s="22"/>
      <c r="J417" s="22"/>
      <c r="K417" s="22"/>
      <c r="L417" s="22"/>
      <c r="M417" s="22"/>
      <c r="N417" s="22"/>
      <c r="O417" s="22"/>
      <c r="P417" s="22"/>
      <c r="Q417" s="22"/>
      <c r="R417" s="22"/>
      <c r="S417" s="22"/>
      <c r="T417" s="22"/>
      <c r="U417" s="2"/>
      <c r="V417" s="2"/>
      <c r="W417" s="2"/>
      <c r="X417" s="2"/>
      <c r="Y417" s="2"/>
      <c r="Z417" s="2"/>
    </row>
    <row r="418" spans="1:26" ht="12.75">
      <c r="A418" s="22"/>
      <c r="B418" s="22"/>
      <c r="C418" s="22"/>
      <c r="D418" s="22"/>
      <c r="E418" s="22"/>
      <c r="F418" s="22"/>
      <c r="G418" s="22"/>
      <c r="H418" s="22"/>
      <c r="I418" s="22"/>
      <c r="J418" s="22"/>
      <c r="K418" s="22"/>
      <c r="L418" s="22"/>
      <c r="M418" s="22"/>
      <c r="N418" s="22"/>
      <c r="O418" s="22"/>
      <c r="P418" s="22"/>
      <c r="Q418" s="22"/>
      <c r="R418" s="22"/>
      <c r="S418" s="22"/>
      <c r="T418" s="22"/>
      <c r="U418" s="2"/>
      <c r="V418" s="2"/>
      <c r="W418" s="2"/>
      <c r="X418" s="2"/>
      <c r="Y418" s="2"/>
      <c r="Z418" s="2"/>
    </row>
    <row r="419" spans="1:26" ht="12.75">
      <c r="A419" s="22"/>
      <c r="B419" s="22"/>
      <c r="C419" s="22"/>
      <c r="D419" s="22"/>
      <c r="E419" s="22"/>
      <c r="F419" s="22"/>
      <c r="G419" s="22"/>
      <c r="H419" s="22"/>
      <c r="I419" s="22"/>
      <c r="J419" s="22"/>
      <c r="K419" s="22"/>
      <c r="L419" s="22"/>
      <c r="M419" s="22"/>
      <c r="N419" s="22"/>
      <c r="O419" s="22"/>
      <c r="P419" s="22"/>
      <c r="Q419" s="22"/>
      <c r="R419" s="22"/>
      <c r="S419" s="22"/>
      <c r="T419" s="22"/>
      <c r="U419" s="2"/>
      <c r="V419" s="2"/>
      <c r="W419" s="2"/>
      <c r="X419" s="2"/>
      <c r="Y419" s="2"/>
      <c r="Z419" s="2"/>
    </row>
    <row r="420" spans="1:26" ht="12.75">
      <c r="A420" s="22"/>
      <c r="B420" s="22"/>
      <c r="C420" s="22"/>
      <c r="D420" s="22"/>
      <c r="E420" s="22"/>
      <c r="F420" s="22"/>
      <c r="G420" s="22"/>
      <c r="H420" s="22"/>
      <c r="I420" s="22"/>
      <c r="J420" s="22"/>
      <c r="K420" s="22"/>
      <c r="L420" s="22"/>
      <c r="M420" s="22"/>
      <c r="N420" s="22"/>
      <c r="O420" s="22"/>
      <c r="P420" s="22"/>
      <c r="Q420" s="22"/>
      <c r="R420" s="22"/>
      <c r="S420" s="22"/>
      <c r="T420" s="22"/>
      <c r="U420" s="2"/>
      <c r="V420" s="2"/>
      <c r="W420" s="2"/>
      <c r="X420" s="2"/>
      <c r="Y420" s="2"/>
      <c r="Z420" s="2"/>
    </row>
    <row r="421" spans="1:26" ht="12.75">
      <c r="A421" s="22"/>
      <c r="B421" s="22"/>
      <c r="C421" s="22"/>
      <c r="D421" s="22"/>
      <c r="E421" s="22"/>
      <c r="F421" s="22"/>
      <c r="G421" s="22"/>
      <c r="H421" s="22"/>
      <c r="I421" s="22"/>
      <c r="J421" s="22"/>
      <c r="K421" s="22"/>
      <c r="L421" s="22"/>
      <c r="M421" s="22"/>
      <c r="N421" s="22"/>
      <c r="O421" s="22"/>
      <c r="P421" s="22"/>
      <c r="Q421" s="22"/>
      <c r="R421" s="22"/>
      <c r="S421" s="22"/>
      <c r="T421" s="22"/>
      <c r="U421" s="2"/>
      <c r="V421" s="2"/>
      <c r="W421" s="2"/>
      <c r="X421" s="2"/>
      <c r="Y421" s="2"/>
      <c r="Z421" s="2"/>
    </row>
    <row r="422" spans="1:26" ht="12.75">
      <c r="A422" s="22"/>
      <c r="B422" s="22"/>
      <c r="C422" s="22"/>
      <c r="D422" s="22"/>
      <c r="E422" s="22"/>
      <c r="F422" s="22"/>
      <c r="G422" s="22"/>
      <c r="H422" s="22"/>
      <c r="I422" s="22"/>
      <c r="J422" s="22"/>
      <c r="K422" s="22"/>
      <c r="L422" s="22"/>
      <c r="M422" s="22"/>
      <c r="N422" s="22"/>
      <c r="O422" s="22"/>
      <c r="P422" s="22"/>
      <c r="Q422" s="22"/>
      <c r="R422" s="22"/>
      <c r="S422" s="22"/>
      <c r="T422" s="22"/>
      <c r="U422" s="2"/>
      <c r="V422" s="2"/>
      <c r="W422" s="2"/>
      <c r="X422" s="2"/>
      <c r="Y422" s="2"/>
      <c r="Z422" s="2"/>
    </row>
    <row r="423" spans="1:26" ht="12.75">
      <c r="A423" s="22"/>
      <c r="B423" s="22"/>
      <c r="C423" s="22"/>
      <c r="D423" s="22"/>
      <c r="E423" s="22"/>
      <c r="F423" s="22"/>
      <c r="G423" s="22"/>
      <c r="H423" s="22"/>
      <c r="I423" s="22"/>
      <c r="J423" s="22"/>
      <c r="K423" s="22"/>
      <c r="L423" s="22"/>
      <c r="M423" s="22"/>
      <c r="N423" s="22"/>
      <c r="O423" s="22"/>
      <c r="P423" s="22"/>
      <c r="Q423" s="22"/>
      <c r="R423" s="22"/>
      <c r="S423" s="22"/>
      <c r="T423" s="22"/>
      <c r="U423" s="2"/>
      <c r="V423" s="2"/>
      <c r="W423" s="2"/>
      <c r="X423" s="2"/>
      <c r="Y423" s="2"/>
      <c r="Z423" s="2"/>
    </row>
    <row r="424" spans="1:26" ht="12.75">
      <c r="A424" s="22"/>
      <c r="B424" s="22"/>
      <c r="C424" s="22"/>
      <c r="D424" s="22"/>
      <c r="E424" s="22"/>
      <c r="F424" s="22"/>
      <c r="G424" s="22"/>
      <c r="H424" s="22"/>
      <c r="I424" s="22"/>
      <c r="J424" s="22"/>
      <c r="K424" s="22"/>
      <c r="L424" s="22"/>
      <c r="M424" s="22"/>
      <c r="N424" s="22"/>
      <c r="O424" s="22"/>
      <c r="P424" s="22"/>
      <c r="Q424" s="22"/>
      <c r="R424" s="22"/>
      <c r="S424" s="22"/>
      <c r="T424" s="22"/>
      <c r="U424" s="2"/>
      <c r="V424" s="2"/>
      <c r="W424" s="2"/>
      <c r="X424" s="2"/>
      <c r="Y424" s="2"/>
      <c r="Z424" s="2"/>
    </row>
    <row r="425" spans="1:26" ht="12.75">
      <c r="A425" s="22"/>
      <c r="B425" s="22"/>
      <c r="C425" s="22"/>
      <c r="D425" s="22"/>
      <c r="E425" s="22"/>
      <c r="F425" s="22"/>
      <c r="G425" s="22"/>
      <c r="H425" s="22"/>
      <c r="I425" s="22"/>
      <c r="J425" s="22"/>
      <c r="K425" s="22"/>
      <c r="L425" s="22"/>
      <c r="M425" s="22"/>
      <c r="N425" s="22"/>
      <c r="O425" s="22"/>
      <c r="P425" s="22"/>
      <c r="Q425" s="22"/>
      <c r="R425" s="22"/>
      <c r="S425" s="22"/>
      <c r="T425" s="22"/>
      <c r="U425" s="2"/>
      <c r="V425" s="2"/>
      <c r="W425" s="2"/>
      <c r="X425" s="2"/>
      <c r="Y425" s="2"/>
      <c r="Z425" s="2"/>
    </row>
    <row r="426" spans="1:26" ht="12.75">
      <c r="A426" s="22"/>
      <c r="B426" s="22"/>
      <c r="C426" s="22"/>
      <c r="D426" s="22"/>
      <c r="E426" s="22"/>
      <c r="F426" s="22"/>
      <c r="G426" s="22"/>
      <c r="H426" s="22"/>
      <c r="I426" s="22"/>
      <c r="J426" s="22"/>
      <c r="K426" s="22"/>
      <c r="L426" s="22"/>
      <c r="M426" s="22"/>
      <c r="N426" s="22"/>
      <c r="O426" s="22"/>
      <c r="P426" s="22"/>
      <c r="Q426" s="22"/>
      <c r="R426" s="22"/>
      <c r="S426" s="22"/>
      <c r="T426" s="22"/>
      <c r="U426" s="2"/>
      <c r="V426" s="2"/>
      <c r="W426" s="2"/>
      <c r="X426" s="2"/>
      <c r="Y426" s="2"/>
      <c r="Z426" s="2"/>
    </row>
    <row r="427" spans="1:26" ht="12.75">
      <c r="A427" s="22"/>
      <c r="B427" s="22"/>
      <c r="C427" s="22"/>
      <c r="D427" s="22"/>
      <c r="E427" s="22"/>
      <c r="F427" s="22"/>
      <c r="G427" s="22"/>
      <c r="H427" s="22"/>
      <c r="I427" s="22"/>
      <c r="J427" s="22"/>
      <c r="K427" s="22"/>
      <c r="L427" s="22"/>
      <c r="M427" s="22"/>
      <c r="N427" s="22"/>
      <c r="O427" s="22"/>
      <c r="P427" s="22"/>
      <c r="Q427" s="22"/>
      <c r="R427" s="22"/>
      <c r="S427" s="22"/>
      <c r="T427" s="22"/>
      <c r="U427" s="2"/>
      <c r="V427" s="2"/>
      <c r="W427" s="2"/>
      <c r="X427" s="2"/>
      <c r="Y427" s="2"/>
      <c r="Z427" s="2"/>
    </row>
    <row r="428" spans="1:26" ht="12.75">
      <c r="A428" s="22"/>
      <c r="B428" s="22"/>
      <c r="C428" s="22"/>
      <c r="D428" s="22"/>
      <c r="E428" s="22"/>
      <c r="F428" s="22"/>
      <c r="G428" s="22"/>
      <c r="H428" s="22"/>
      <c r="I428" s="22"/>
      <c r="J428" s="22"/>
      <c r="K428" s="22"/>
      <c r="L428" s="22"/>
      <c r="M428" s="22"/>
      <c r="N428" s="22"/>
      <c r="O428" s="22"/>
      <c r="P428" s="22"/>
      <c r="Q428" s="22"/>
      <c r="R428" s="22"/>
      <c r="S428" s="22"/>
      <c r="T428" s="22"/>
      <c r="U428" s="2"/>
      <c r="V428" s="2"/>
      <c r="W428" s="2"/>
      <c r="X428" s="2"/>
      <c r="Y428" s="2"/>
      <c r="Z428" s="2"/>
    </row>
    <row r="429" spans="1:26" ht="12.75">
      <c r="A429" s="22"/>
      <c r="B429" s="22"/>
      <c r="C429" s="22"/>
      <c r="D429" s="22"/>
      <c r="E429" s="22"/>
      <c r="F429" s="22"/>
      <c r="G429" s="22"/>
      <c r="H429" s="22"/>
      <c r="I429" s="22"/>
      <c r="J429" s="22"/>
      <c r="K429" s="22"/>
      <c r="L429" s="22"/>
      <c r="M429" s="22"/>
      <c r="N429" s="22"/>
      <c r="O429" s="22"/>
      <c r="P429" s="22"/>
      <c r="Q429" s="22"/>
      <c r="R429" s="22"/>
      <c r="S429" s="22"/>
      <c r="T429" s="22"/>
      <c r="U429" s="2"/>
      <c r="V429" s="2"/>
      <c r="W429" s="2"/>
      <c r="X429" s="2"/>
      <c r="Y429" s="2"/>
      <c r="Z429" s="2"/>
    </row>
    <row r="430" spans="1:26" ht="12.75">
      <c r="A430" s="22"/>
      <c r="B430" s="22"/>
      <c r="C430" s="22"/>
      <c r="D430" s="22"/>
      <c r="E430" s="22"/>
      <c r="F430" s="22"/>
      <c r="G430" s="22"/>
      <c r="H430" s="22"/>
      <c r="I430" s="22"/>
      <c r="J430" s="22"/>
      <c r="K430" s="22"/>
      <c r="L430" s="22"/>
      <c r="M430" s="22"/>
      <c r="N430" s="22"/>
      <c r="O430" s="22"/>
      <c r="P430" s="22"/>
      <c r="Q430" s="22"/>
      <c r="R430" s="22"/>
      <c r="S430" s="22"/>
      <c r="T430" s="22"/>
      <c r="U430" s="2"/>
      <c r="V430" s="2"/>
      <c r="W430" s="2"/>
      <c r="X430" s="2"/>
      <c r="Y430" s="2"/>
      <c r="Z430" s="2"/>
    </row>
    <row r="431" spans="1:26" ht="12.75">
      <c r="A431" s="22"/>
      <c r="B431" s="22"/>
      <c r="C431" s="22"/>
      <c r="D431" s="22"/>
      <c r="E431" s="22"/>
      <c r="F431" s="22"/>
      <c r="G431" s="22"/>
      <c r="H431" s="22"/>
      <c r="I431" s="22"/>
      <c r="J431" s="22"/>
      <c r="K431" s="22"/>
      <c r="L431" s="22"/>
      <c r="M431" s="22"/>
      <c r="N431" s="22"/>
      <c r="O431" s="22"/>
      <c r="P431" s="22"/>
      <c r="Q431" s="22"/>
      <c r="R431" s="22"/>
      <c r="S431" s="22"/>
      <c r="T431" s="22"/>
      <c r="U431" s="2"/>
      <c r="V431" s="2"/>
      <c r="W431" s="2"/>
      <c r="X431" s="2"/>
      <c r="Y431" s="2"/>
      <c r="Z431" s="2"/>
    </row>
    <row r="432" spans="1:26" ht="12.75">
      <c r="A432" s="22"/>
      <c r="B432" s="22"/>
      <c r="C432" s="22"/>
      <c r="D432" s="22"/>
      <c r="E432" s="22"/>
      <c r="F432" s="22"/>
      <c r="G432" s="22"/>
      <c r="H432" s="22"/>
      <c r="I432" s="22"/>
      <c r="J432" s="22"/>
      <c r="K432" s="22"/>
      <c r="L432" s="22"/>
      <c r="M432" s="22"/>
      <c r="N432" s="22"/>
      <c r="O432" s="22"/>
      <c r="P432" s="22"/>
      <c r="Q432" s="22"/>
      <c r="R432" s="22"/>
      <c r="S432" s="22"/>
      <c r="T432" s="22"/>
      <c r="U432" s="2"/>
      <c r="V432" s="2"/>
      <c r="W432" s="2"/>
      <c r="X432" s="2"/>
      <c r="Y432" s="2"/>
      <c r="Z432" s="2"/>
    </row>
    <row r="433" spans="1:26" ht="12.75">
      <c r="A433" s="22"/>
      <c r="B433" s="22"/>
      <c r="C433" s="22"/>
      <c r="D433" s="22"/>
      <c r="E433" s="22"/>
      <c r="F433" s="22"/>
      <c r="G433" s="22"/>
      <c r="H433" s="22"/>
      <c r="I433" s="22"/>
      <c r="J433" s="22"/>
      <c r="K433" s="22"/>
      <c r="L433" s="22"/>
      <c r="M433" s="22"/>
      <c r="N433" s="22"/>
      <c r="O433" s="22"/>
      <c r="P433" s="22"/>
      <c r="Q433" s="22"/>
      <c r="R433" s="22"/>
      <c r="S433" s="22"/>
      <c r="T433" s="22"/>
      <c r="U433" s="2"/>
      <c r="V433" s="2"/>
      <c r="W433" s="2"/>
      <c r="X433" s="2"/>
      <c r="Y433" s="2"/>
      <c r="Z433" s="2"/>
    </row>
    <row r="434" spans="1:26" ht="12.75">
      <c r="A434" s="22"/>
      <c r="B434" s="22"/>
      <c r="C434" s="22"/>
      <c r="D434" s="22"/>
      <c r="E434" s="22"/>
      <c r="F434" s="22"/>
      <c r="G434" s="22"/>
      <c r="H434" s="22"/>
      <c r="I434" s="22"/>
      <c r="J434" s="22"/>
      <c r="K434" s="22"/>
      <c r="L434" s="22"/>
      <c r="M434" s="22"/>
      <c r="N434" s="22"/>
      <c r="O434" s="22"/>
      <c r="P434" s="22"/>
      <c r="Q434" s="22"/>
      <c r="R434" s="22"/>
      <c r="S434" s="22"/>
      <c r="T434" s="22"/>
      <c r="U434" s="2"/>
      <c r="V434" s="2"/>
      <c r="W434" s="2"/>
      <c r="X434" s="2"/>
      <c r="Y434" s="2"/>
      <c r="Z434" s="2"/>
    </row>
    <row r="435" spans="1:26" ht="12.75">
      <c r="A435" s="22"/>
      <c r="B435" s="22"/>
      <c r="C435" s="22"/>
      <c r="D435" s="22"/>
      <c r="E435" s="22"/>
      <c r="F435" s="22"/>
      <c r="G435" s="22"/>
      <c r="H435" s="22"/>
      <c r="I435" s="22"/>
      <c r="J435" s="22"/>
      <c r="K435" s="22"/>
      <c r="L435" s="22"/>
      <c r="M435" s="22"/>
      <c r="N435" s="22"/>
      <c r="O435" s="22"/>
      <c r="P435" s="22"/>
      <c r="Q435" s="22"/>
      <c r="R435" s="22"/>
      <c r="S435" s="22"/>
      <c r="T435" s="22"/>
      <c r="U435" s="2"/>
      <c r="V435" s="2"/>
      <c r="W435" s="2"/>
      <c r="X435" s="2"/>
      <c r="Y435" s="2"/>
      <c r="Z435" s="2"/>
    </row>
    <row r="436" spans="1:26" ht="12.75">
      <c r="A436" s="22"/>
      <c r="B436" s="22"/>
      <c r="C436" s="22"/>
      <c r="D436" s="22"/>
      <c r="E436" s="22"/>
      <c r="F436" s="22"/>
      <c r="G436" s="22"/>
      <c r="H436" s="22"/>
      <c r="I436" s="22"/>
      <c r="J436" s="22"/>
      <c r="K436" s="22"/>
      <c r="L436" s="22"/>
      <c r="M436" s="22"/>
      <c r="N436" s="22"/>
      <c r="O436" s="22"/>
      <c r="P436" s="22"/>
      <c r="Q436" s="22"/>
      <c r="R436" s="22"/>
      <c r="S436" s="22"/>
      <c r="T436" s="22"/>
      <c r="U436" s="2"/>
      <c r="V436" s="2"/>
      <c r="W436" s="2"/>
      <c r="X436" s="2"/>
      <c r="Y436" s="2"/>
      <c r="Z436" s="2"/>
    </row>
    <row r="437" spans="1:26" ht="12.75">
      <c r="A437" s="22"/>
      <c r="B437" s="22"/>
      <c r="C437" s="22"/>
      <c r="D437" s="22"/>
      <c r="E437" s="22"/>
      <c r="F437" s="22"/>
      <c r="G437" s="22"/>
      <c r="H437" s="22"/>
      <c r="I437" s="22"/>
      <c r="J437" s="22"/>
      <c r="K437" s="22"/>
      <c r="L437" s="22"/>
      <c r="M437" s="22"/>
      <c r="N437" s="22"/>
      <c r="O437" s="22"/>
      <c r="P437" s="22"/>
      <c r="Q437" s="22"/>
      <c r="R437" s="22"/>
      <c r="S437" s="22"/>
      <c r="T437" s="22"/>
      <c r="U437" s="2"/>
      <c r="V437" s="2"/>
      <c r="W437" s="2"/>
      <c r="X437" s="2"/>
      <c r="Y437" s="2"/>
      <c r="Z437" s="2"/>
    </row>
    <row r="438" spans="1:26" ht="12.75">
      <c r="A438" s="22"/>
      <c r="B438" s="22"/>
      <c r="C438" s="22"/>
      <c r="D438" s="22"/>
      <c r="E438" s="22"/>
      <c r="F438" s="22"/>
      <c r="G438" s="22"/>
      <c r="H438" s="22"/>
      <c r="I438" s="22"/>
      <c r="J438" s="22"/>
      <c r="K438" s="22"/>
      <c r="L438" s="22"/>
      <c r="M438" s="22"/>
      <c r="N438" s="22"/>
      <c r="O438" s="22"/>
      <c r="P438" s="22"/>
      <c r="Q438" s="22"/>
      <c r="R438" s="22"/>
      <c r="S438" s="22"/>
      <c r="T438" s="22"/>
      <c r="U438" s="2"/>
      <c r="V438" s="2"/>
      <c r="W438" s="2"/>
      <c r="X438" s="2"/>
      <c r="Y438" s="2"/>
      <c r="Z438" s="2"/>
    </row>
    <row r="439" spans="1:26" ht="12.75">
      <c r="A439" s="22"/>
      <c r="B439" s="22"/>
      <c r="C439" s="22"/>
      <c r="D439" s="22"/>
      <c r="E439" s="22"/>
      <c r="F439" s="22"/>
      <c r="G439" s="22"/>
      <c r="H439" s="22"/>
      <c r="I439" s="22"/>
      <c r="J439" s="22"/>
      <c r="K439" s="22"/>
      <c r="L439" s="22"/>
      <c r="M439" s="22"/>
      <c r="N439" s="22"/>
      <c r="O439" s="22"/>
      <c r="P439" s="22"/>
      <c r="Q439" s="22"/>
      <c r="R439" s="22"/>
      <c r="S439" s="22"/>
      <c r="T439" s="22"/>
      <c r="U439" s="2"/>
      <c r="V439" s="2"/>
      <c r="W439" s="2"/>
      <c r="X439" s="2"/>
      <c r="Y439" s="2"/>
      <c r="Z439" s="2"/>
    </row>
    <row r="440" spans="1:26" ht="12.75">
      <c r="A440" s="22"/>
      <c r="B440" s="22"/>
      <c r="C440" s="22"/>
      <c r="D440" s="22"/>
      <c r="E440" s="22"/>
      <c r="F440" s="22"/>
      <c r="G440" s="22"/>
      <c r="H440" s="22"/>
      <c r="I440" s="22"/>
      <c r="J440" s="22"/>
      <c r="K440" s="22"/>
      <c r="L440" s="22"/>
      <c r="M440" s="22"/>
      <c r="N440" s="22"/>
      <c r="O440" s="22"/>
      <c r="P440" s="22"/>
      <c r="Q440" s="22"/>
      <c r="R440" s="22"/>
      <c r="S440" s="22"/>
      <c r="T440" s="22"/>
      <c r="U440" s="2"/>
      <c r="V440" s="2"/>
      <c r="W440" s="2"/>
      <c r="X440" s="2"/>
      <c r="Y440" s="2"/>
      <c r="Z440" s="2"/>
    </row>
    <row r="441" spans="1:26" ht="12.75">
      <c r="A441" s="22"/>
      <c r="B441" s="22"/>
      <c r="C441" s="22"/>
      <c r="D441" s="22"/>
      <c r="E441" s="22"/>
      <c r="F441" s="22"/>
      <c r="G441" s="22"/>
      <c r="H441" s="22"/>
      <c r="I441" s="22"/>
      <c r="J441" s="22"/>
      <c r="K441" s="22"/>
      <c r="L441" s="22"/>
      <c r="M441" s="22"/>
      <c r="N441" s="22"/>
      <c r="O441" s="22"/>
      <c r="P441" s="22"/>
      <c r="Q441" s="22"/>
      <c r="R441" s="22"/>
      <c r="S441" s="22"/>
      <c r="T441" s="22"/>
      <c r="U441" s="2"/>
      <c r="V441" s="2"/>
      <c r="W441" s="2"/>
      <c r="X441" s="2"/>
      <c r="Y441" s="2"/>
      <c r="Z441" s="2"/>
    </row>
    <row r="442" spans="1:26" ht="12.75">
      <c r="A442" s="22"/>
      <c r="B442" s="22"/>
      <c r="C442" s="22"/>
      <c r="D442" s="22"/>
      <c r="E442" s="22"/>
      <c r="F442" s="22"/>
      <c r="G442" s="22"/>
      <c r="H442" s="22"/>
      <c r="I442" s="22"/>
      <c r="J442" s="22"/>
      <c r="K442" s="22"/>
      <c r="L442" s="22"/>
      <c r="M442" s="22"/>
      <c r="N442" s="22"/>
      <c r="O442" s="22"/>
      <c r="P442" s="22"/>
      <c r="Q442" s="22"/>
      <c r="R442" s="22"/>
      <c r="S442" s="22"/>
      <c r="T442" s="22"/>
      <c r="U442" s="2"/>
      <c r="V442" s="2"/>
      <c r="W442" s="2"/>
      <c r="X442" s="2"/>
      <c r="Y442" s="2"/>
      <c r="Z442" s="2"/>
    </row>
    <row r="443" spans="1:26" ht="12.75">
      <c r="A443" s="22"/>
      <c r="B443" s="22"/>
      <c r="C443" s="22"/>
      <c r="D443" s="22"/>
      <c r="E443" s="22"/>
      <c r="F443" s="22"/>
      <c r="G443" s="22"/>
      <c r="H443" s="22"/>
      <c r="I443" s="22"/>
      <c r="J443" s="22"/>
      <c r="K443" s="22"/>
      <c r="L443" s="22"/>
      <c r="M443" s="22"/>
      <c r="N443" s="22"/>
      <c r="O443" s="22"/>
      <c r="P443" s="22"/>
      <c r="Q443" s="22"/>
      <c r="R443" s="22"/>
      <c r="S443" s="22"/>
      <c r="T443" s="22"/>
      <c r="U443" s="2"/>
      <c r="V443" s="2"/>
      <c r="W443" s="2"/>
      <c r="X443" s="2"/>
      <c r="Y443" s="2"/>
      <c r="Z443" s="2"/>
    </row>
    <row r="444" spans="1:26" ht="12.75">
      <c r="A444" s="22"/>
      <c r="B444" s="22"/>
      <c r="C444" s="22"/>
      <c r="D444" s="22"/>
      <c r="E444" s="22"/>
      <c r="F444" s="22"/>
      <c r="G444" s="22"/>
      <c r="H444" s="22"/>
      <c r="I444" s="22"/>
      <c r="J444" s="22"/>
      <c r="K444" s="22"/>
      <c r="L444" s="22"/>
      <c r="M444" s="22"/>
      <c r="N444" s="22"/>
      <c r="O444" s="22"/>
      <c r="P444" s="22"/>
      <c r="Q444" s="22"/>
      <c r="R444" s="22"/>
      <c r="S444" s="22"/>
      <c r="T444" s="22"/>
      <c r="U444" s="2"/>
      <c r="V444" s="2"/>
      <c r="W444" s="2"/>
      <c r="X444" s="2"/>
      <c r="Y444" s="2"/>
      <c r="Z444" s="2"/>
    </row>
    <row r="445" spans="1:26" ht="12.75">
      <c r="A445" s="22"/>
      <c r="B445" s="22"/>
      <c r="C445" s="22"/>
      <c r="D445" s="22"/>
      <c r="E445" s="22"/>
      <c r="F445" s="22"/>
      <c r="G445" s="22"/>
      <c r="H445" s="22"/>
      <c r="I445" s="22"/>
      <c r="J445" s="22"/>
      <c r="K445" s="22"/>
      <c r="L445" s="22"/>
      <c r="M445" s="22"/>
      <c r="N445" s="22"/>
      <c r="O445" s="22"/>
      <c r="P445" s="22"/>
      <c r="Q445" s="22"/>
      <c r="R445" s="22"/>
      <c r="S445" s="22"/>
      <c r="T445" s="22"/>
      <c r="U445" s="2"/>
      <c r="V445" s="2"/>
      <c r="W445" s="2"/>
      <c r="X445" s="2"/>
      <c r="Y445" s="2"/>
      <c r="Z445" s="2"/>
    </row>
    <row r="446" spans="1:26" ht="12.75">
      <c r="A446" s="22"/>
      <c r="B446" s="22"/>
      <c r="C446" s="22"/>
      <c r="D446" s="22"/>
      <c r="E446" s="22"/>
      <c r="F446" s="22"/>
      <c r="G446" s="22"/>
      <c r="H446" s="22"/>
      <c r="I446" s="22"/>
      <c r="J446" s="22"/>
      <c r="K446" s="22"/>
      <c r="L446" s="22"/>
      <c r="M446" s="22"/>
      <c r="N446" s="22"/>
      <c r="O446" s="22"/>
      <c r="P446" s="22"/>
      <c r="Q446" s="22"/>
      <c r="R446" s="22"/>
      <c r="S446" s="22"/>
      <c r="T446" s="22"/>
      <c r="U446" s="2"/>
      <c r="V446" s="2"/>
      <c r="W446" s="2"/>
      <c r="X446" s="2"/>
      <c r="Y446" s="2"/>
      <c r="Z446" s="2"/>
    </row>
    <row r="447" spans="1:26" ht="12.75">
      <c r="A447" s="22"/>
      <c r="B447" s="22"/>
      <c r="C447" s="22"/>
      <c r="D447" s="22"/>
      <c r="E447" s="22"/>
      <c r="F447" s="22"/>
      <c r="G447" s="22"/>
      <c r="H447" s="22"/>
      <c r="I447" s="22"/>
      <c r="J447" s="22"/>
      <c r="K447" s="22"/>
      <c r="L447" s="22"/>
      <c r="M447" s="22"/>
      <c r="N447" s="22"/>
      <c r="O447" s="22"/>
      <c r="P447" s="22"/>
      <c r="Q447" s="22"/>
      <c r="R447" s="22"/>
      <c r="S447" s="22"/>
      <c r="T447" s="22"/>
      <c r="U447" s="2"/>
      <c r="V447" s="2"/>
      <c r="W447" s="2"/>
      <c r="X447" s="2"/>
      <c r="Y447" s="2"/>
      <c r="Z447" s="2"/>
    </row>
    <row r="448" spans="1:26" ht="12.75">
      <c r="A448" s="22"/>
      <c r="B448" s="22"/>
      <c r="C448" s="22"/>
      <c r="D448" s="22"/>
      <c r="E448" s="22"/>
      <c r="F448" s="22"/>
      <c r="G448" s="22"/>
      <c r="H448" s="22"/>
      <c r="I448" s="22"/>
      <c r="J448" s="22"/>
      <c r="K448" s="22"/>
      <c r="L448" s="22"/>
      <c r="M448" s="22"/>
      <c r="N448" s="22"/>
      <c r="O448" s="22"/>
      <c r="P448" s="22"/>
      <c r="Q448" s="22"/>
      <c r="R448" s="22"/>
      <c r="S448" s="22"/>
      <c r="T448" s="22"/>
      <c r="U448" s="2"/>
      <c r="V448" s="2"/>
      <c r="W448" s="2"/>
      <c r="X448" s="2"/>
      <c r="Y448" s="2"/>
      <c r="Z448" s="2"/>
    </row>
    <row r="449" spans="1:26" ht="12.75">
      <c r="A449" s="22"/>
      <c r="B449" s="22"/>
      <c r="C449" s="22"/>
      <c r="D449" s="22"/>
      <c r="E449" s="22"/>
      <c r="F449" s="22"/>
      <c r="G449" s="22"/>
      <c r="H449" s="22"/>
      <c r="I449" s="22"/>
      <c r="J449" s="22"/>
      <c r="K449" s="22"/>
      <c r="L449" s="22"/>
      <c r="M449" s="22"/>
      <c r="N449" s="22"/>
      <c r="O449" s="22"/>
      <c r="P449" s="22"/>
      <c r="Q449" s="22"/>
      <c r="R449" s="22"/>
      <c r="S449" s="22"/>
      <c r="T449" s="22"/>
      <c r="U449" s="2"/>
      <c r="V449" s="2"/>
      <c r="W449" s="2"/>
      <c r="X449" s="2"/>
      <c r="Y449" s="2"/>
      <c r="Z449" s="2"/>
    </row>
    <row r="450" spans="1:26" ht="12.75">
      <c r="A450" s="22"/>
      <c r="B450" s="22"/>
      <c r="C450" s="22"/>
      <c r="D450" s="22"/>
      <c r="E450" s="22"/>
      <c r="F450" s="22"/>
      <c r="G450" s="22"/>
      <c r="H450" s="22"/>
      <c r="I450" s="22"/>
      <c r="J450" s="22"/>
      <c r="K450" s="22"/>
      <c r="L450" s="22"/>
      <c r="M450" s="22"/>
      <c r="N450" s="22"/>
      <c r="O450" s="22"/>
      <c r="P450" s="22"/>
      <c r="Q450" s="22"/>
      <c r="R450" s="22"/>
      <c r="S450" s="22"/>
      <c r="T450" s="22"/>
      <c r="U450" s="2"/>
      <c r="V450" s="2"/>
      <c r="W450" s="2"/>
      <c r="X450" s="2"/>
      <c r="Y450" s="2"/>
      <c r="Z450" s="2"/>
    </row>
    <row r="451" spans="1:26" ht="12.75">
      <c r="A451" s="22"/>
      <c r="B451" s="22"/>
      <c r="C451" s="22"/>
      <c r="D451" s="22"/>
      <c r="E451" s="22"/>
      <c r="F451" s="22"/>
      <c r="G451" s="22"/>
      <c r="H451" s="22"/>
      <c r="I451" s="22"/>
      <c r="J451" s="22"/>
      <c r="K451" s="22"/>
      <c r="L451" s="22"/>
      <c r="M451" s="22"/>
      <c r="N451" s="22"/>
      <c r="O451" s="22"/>
      <c r="P451" s="22"/>
      <c r="Q451" s="22"/>
      <c r="R451" s="22"/>
      <c r="S451" s="22"/>
      <c r="T451" s="22"/>
      <c r="U451" s="2"/>
      <c r="V451" s="2"/>
      <c r="W451" s="2"/>
      <c r="X451" s="2"/>
      <c r="Y451" s="2"/>
      <c r="Z451" s="2"/>
    </row>
    <row r="452" spans="1:26" ht="12.75">
      <c r="A452" s="22"/>
      <c r="B452" s="22"/>
      <c r="C452" s="22"/>
      <c r="D452" s="22"/>
      <c r="E452" s="22"/>
      <c r="F452" s="22"/>
      <c r="G452" s="22"/>
      <c r="H452" s="22"/>
      <c r="I452" s="22"/>
      <c r="J452" s="22"/>
      <c r="K452" s="22"/>
      <c r="L452" s="22"/>
      <c r="M452" s="22"/>
      <c r="N452" s="22"/>
      <c r="O452" s="22"/>
      <c r="P452" s="22"/>
      <c r="Q452" s="22"/>
      <c r="R452" s="22"/>
      <c r="S452" s="22"/>
      <c r="T452" s="22"/>
      <c r="U452" s="2"/>
      <c r="V452" s="2"/>
      <c r="W452" s="2"/>
      <c r="X452" s="2"/>
      <c r="Y452" s="2"/>
      <c r="Z452" s="2"/>
    </row>
    <row r="453" spans="1:26" ht="12.75">
      <c r="A453" s="22"/>
      <c r="B453" s="22"/>
      <c r="C453" s="22"/>
      <c r="D453" s="22"/>
      <c r="E453" s="22"/>
      <c r="F453" s="22"/>
      <c r="G453" s="22"/>
      <c r="H453" s="22"/>
      <c r="I453" s="22"/>
      <c r="J453" s="22"/>
      <c r="K453" s="22"/>
      <c r="L453" s="22"/>
      <c r="M453" s="22"/>
      <c r="N453" s="22"/>
      <c r="O453" s="22"/>
      <c r="P453" s="22"/>
      <c r="Q453" s="22"/>
      <c r="R453" s="22"/>
      <c r="S453" s="22"/>
      <c r="T453" s="22"/>
      <c r="U453" s="2"/>
      <c r="V453" s="2"/>
      <c r="W453" s="2"/>
      <c r="X453" s="2"/>
      <c r="Y453" s="2"/>
      <c r="Z453" s="2"/>
    </row>
    <row r="454" spans="1:26" ht="12.75">
      <c r="A454" s="22"/>
      <c r="B454" s="22"/>
      <c r="C454" s="22"/>
      <c r="D454" s="22"/>
      <c r="E454" s="22"/>
      <c r="F454" s="22"/>
      <c r="G454" s="22"/>
      <c r="H454" s="22"/>
      <c r="I454" s="22"/>
      <c r="J454" s="22"/>
      <c r="K454" s="22"/>
      <c r="L454" s="22"/>
      <c r="M454" s="22"/>
      <c r="N454" s="22"/>
      <c r="O454" s="22"/>
      <c r="P454" s="22"/>
      <c r="Q454" s="22"/>
      <c r="R454" s="22"/>
      <c r="S454" s="22"/>
      <c r="T454" s="22"/>
      <c r="U454" s="2"/>
      <c r="V454" s="2"/>
      <c r="W454" s="2"/>
      <c r="X454" s="2"/>
      <c r="Y454" s="2"/>
      <c r="Z454" s="2"/>
    </row>
    <row r="455" spans="1:26" ht="12.75">
      <c r="A455" s="22"/>
      <c r="B455" s="22"/>
      <c r="C455" s="22"/>
      <c r="D455" s="22"/>
      <c r="E455" s="22"/>
      <c r="F455" s="22"/>
      <c r="G455" s="22"/>
      <c r="H455" s="22"/>
      <c r="I455" s="22"/>
      <c r="J455" s="22"/>
      <c r="K455" s="22"/>
      <c r="L455" s="22"/>
      <c r="M455" s="22"/>
      <c r="N455" s="22"/>
      <c r="O455" s="22"/>
      <c r="P455" s="22"/>
      <c r="Q455" s="22"/>
      <c r="R455" s="22"/>
      <c r="S455" s="22"/>
      <c r="T455" s="22"/>
      <c r="U455" s="2"/>
      <c r="V455" s="2"/>
      <c r="W455" s="2"/>
      <c r="X455" s="2"/>
      <c r="Y455" s="2"/>
      <c r="Z455" s="2"/>
    </row>
    <row r="456" spans="1:26" ht="12.75">
      <c r="A456" s="22"/>
      <c r="B456" s="22"/>
      <c r="C456" s="22"/>
      <c r="D456" s="22"/>
      <c r="E456" s="22"/>
      <c r="F456" s="22"/>
      <c r="G456" s="22"/>
      <c r="H456" s="22"/>
      <c r="I456" s="22"/>
      <c r="J456" s="22"/>
      <c r="K456" s="22"/>
      <c r="L456" s="22"/>
      <c r="M456" s="22"/>
      <c r="N456" s="22"/>
      <c r="O456" s="22"/>
      <c r="P456" s="22"/>
      <c r="Q456" s="22"/>
      <c r="R456" s="22"/>
      <c r="S456" s="22"/>
      <c r="T456" s="22"/>
      <c r="U456" s="2"/>
      <c r="V456" s="2"/>
      <c r="W456" s="2"/>
      <c r="X456" s="2"/>
      <c r="Y456" s="2"/>
      <c r="Z456" s="2"/>
    </row>
    <row r="457" spans="1:26" ht="12.75">
      <c r="A457" s="22"/>
      <c r="B457" s="22"/>
      <c r="C457" s="22"/>
      <c r="D457" s="22"/>
      <c r="E457" s="22"/>
      <c r="F457" s="22"/>
      <c r="G457" s="22"/>
      <c r="H457" s="22"/>
      <c r="I457" s="22"/>
      <c r="J457" s="22"/>
      <c r="K457" s="22"/>
      <c r="L457" s="22"/>
      <c r="M457" s="22"/>
      <c r="N457" s="22"/>
      <c r="O457" s="22"/>
      <c r="P457" s="22"/>
      <c r="Q457" s="22"/>
      <c r="R457" s="22"/>
      <c r="S457" s="22"/>
      <c r="T457" s="22"/>
      <c r="U457" s="2"/>
      <c r="V457" s="2"/>
      <c r="W457" s="2"/>
      <c r="X457" s="2"/>
      <c r="Y457" s="2"/>
      <c r="Z457" s="2"/>
    </row>
    <row r="458" spans="1:26" ht="12.75">
      <c r="A458" s="22"/>
      <c r="B458" s="22"/>
      <c r="C458" s="22"/>
      <c r="D458" s="22"/>
      <c r="E458" s="22"/>
      <c r="F458" s="22"/>
      <c r="G458" s="22"/>
      <c r="H458" s="22"/>
      <c r="I458" s="22"/>
      <c r="J458" s="22"/>
      <c r="K458" s="22"/>
      <c r="L458" s="22"/>
      <c r="M458" s="22"/>
      <c r="N458" s="22"/>
      <c r="O458" s="22"/>
      <c r="P458" s="22"/>
      <c r="Q458" s="22"/>
      <c r="R458" s="22"/>
      <c r="S458" s="22"/>
      <c r="T458" s="22"/>
      <c r="U458" s="2"/>
      <c r="V458" s="2"/>
      <c r="W458" s="2"/>
      <c r="X458" s="2"/>
      <c r="Y458" s="2"/>
      <c r="Z458" s="2"/>
    </row>
    <row r="459" spans="1:26" ht="12.75">
      <c r="A459" s="22"/>
      <c r="B459" s="22"/>
      <c r="C459" s="22"/>
      <c r="D459" s="22"/>
      <c r="E459" s="22"/>
      <c r="F459" s="22"/>
      <c r="G459" s="22"/>
      <c r="H459" s="22"/>
      <c r="I459" s="22"/>
      <c r="J459" s="22"/>
      <c r="K459" s="22"/>
      <c r="L459" s="22"/>
      <c r="M459" s="22"/>
      <c r="N459" s="22"/>
      <c r="O459" s="22"/>
      <c r="P459" s="22"/>
      <c r="Q459" s="22"/>
      <c r="R459" s="22"/>
      <c r="S459" s="22"/>
      <c r="T459" s="22"/>
      <c r="U459" s="2"/>
      <c r="V459" s="2"/>
      <c r="W459" s="2"/>
      <c r="X459" s="2"/>
      <c r="Y459" s="2"/>
      <c r="Z459" s="2"/>
    </row>
    <row r="460" spans="1:26" ht="12.75">
      <c r="A460" s="22"/>
      <c r="B460" s="22"/>
      <c r="C460" s="22"/>
      <c r="D460" s="22"/>
      <c r="E460" s="22"/>
      <c r="F460" s="22"/>
      <c r="G460" s="22"/>
      <c r="H460" s="22"/>
      <c r="I460" s="22"/>
      <c r="J460" s="22"/>
      <c r="K460" s="22"/>
      <c r="L460" s="22"/>
      <c r="M460" s="22"/>
      <c r="N460" s="22"/>
      <c r="O460" s="22"/>
      <c r="P460" s="22"/>
      <c r="Q460" s="22"/>
      <c r="R460" s="22"/>
      <c r="S460" s="22"/>
      <c r="T460" s="22"/>
      <c r="U460" s="2"/>
      <c r="V460" s="2"/>
      <c r="W460" s="2"/>
      <c r="X460" s="2"/>
      <c r="Y460" s="2"/>
      <c r="Z460" s="2"/>
    </row>
    <row r="461" spans="1:26" ht="12.75">
      <c r="A461" s="22"/>
      <c r="B461" s="22"/>
      <c r="C461" s="22"/>
      <c r="D461" s="22"/>
      <c r="E461" s="22"/>
      <c r="F461" s="22"/>
      <c r="G461" s="22"/>
      <c r="H461" s="22"/>
      <c r="I461" s="22"/>
      <c r="J461" s="22"/>
      <c r="K461" s="22"/>
      <c r="L461" s="22"/>
      <c r="M461" s="22"/>
      <c r="N461" s="22"/>
      <c r="O461" s="22"/>
      <c r="P461" s="22"/>
      <c r="Q461" s="22"/>
      <c r="R461" s="22"/>
      <c r="S461" s="22"/>
      <c r="T461" s="22"/>
      <c r="U461" s="2"/>
      <c r="V461" s="2"/>
      <c r="W461" s="2"/>
      <c r="X461" s="2"/>
      <c r="Y461" s="2"/>
      <c r="Z461" s="2"/>
    </row>
    <row r="462" spans="1:26" ht="12.75">
      <c r="A462" s="22"/>
      <c r="B462" s="22"/>
      <c r="C462" s="22"/>
      <c r="D462" s="22"/>
      <c r="E462" s="22"/>
      <c r="F462" s="22"/>
      <c r="G462" s="22"/>
      <c r="H462" s="22"/>
      <c r="I462" s="22"/>
      <c r="J462" s="22"/>
      <c r="K462" s="22"/>
      <c r="L462" s="22"/>
      <c r="M462" s="22"/>
      <c r="N462" s="22"/>
      <c r="O462" s="22"/>
      <c r="P462" s="22"/>
      <c r="Q462" s="22"/>
      <c r="R462" s="22"/>
      <c r="S462" s="22"/>
      <c r="T462" s="22"/>
      <c r="U462" s="2"/>
      <c r="V462" s="2"/>
      <c r="W462" s="2"/>
      <c r="X462" s="2"/>
      <c r="Y462" s="2"/>
      <c r="Z462" s="2"/>
    </row>
    <row r="463" spans="1:26" ht="12.75">
      <c r="A463" s="22"/>
      <c r="B463" s="22"/>
      <c r="C463" s="22"/>
      <c r="D463" s="22"/>
      <c r="E463" s="22"/>
      <c r="F463" s="22"/>
      <c r="G463" s="22"/>
      <c r="H463" s="22"/>
      <c r="I463" s="22"/>
      <c r="J463" s="22"/>
      <c r="K463" s="22"/>
      <c r="L463" s="22"/>
      <c r="M463" s="22"/>
      <c r="N463" s="22"/>
      <c r="O463" s="22"/>
      <c r="P463" s="22"/>
      <c r="Q463" s="22"/>
      <c r="R463" s="22"/>
      <c r="S463" s="22"/>
      <c r="T463" s="22"/>
      <c r="U463" s="2"/>
      <c r="V463" s="2"/>
      <c r="W463" s="2"/>
      <c r="X463" s="2"/>
      <c r="Y463" s="2"/>
      <c r="Z463" s="2"/>
    </row>
    <row r="464" spans="1:26" ht="12.75">
      <c r="A464" s="22"/>
      <c r="B464" s="22"/>
      <c r="C464" s="22"/>
      <c r="D464" s="22"/>
      <c r="E464" s="22"/>
      <c r="F464" s="22"/>
      <c r="G464" s="22"/>
      <c r="H464" s="22"/>
      <c r="I464" s="22"/>
      <c r="J464" s="22"/>
      <c r="K464" s="22"/>
      <c r="L464" s="22"/>
      <c r="M464" s="22"/>
      <c r="N464" s="22"/>
      <c r="O464" s="22"/>
      <c r="P464" s="22"/>
      <c r="Q464" s="22"/>
      <c r="R464" s="22"/>
      <c r="S464" s="22"/>
      <c r="T464" s="22"/>
      <c r="U464" s="2"/>
      <c r="V464" s="2"/>
      <c r="W464" s="2"/>
      <c r="X464" s="2"/>
      <c r="Y464" s="2"/>
      <c r="Z464" s="2"/>
    </row>
    <row r="465" spans="1:26" ht="12.75">
      <c r="A465" s="22"/>
      <c r="B465" s="22"/>
      <c r="C465" s="22"/>
      <c r="D465" s="22"/>
      <c r="E465" s="22"/>
      <c r="F465" s="22"/>
      <c r="G465" s="22"/>
      <c r="H465" s="22"/>
      <c r="I465" s="22"/>
      <c r="J465" s="22"/>
      <c r="K465" s="22"/>
      <c r="L465" s="22"/>
      <c r="M465" s="22"/>
      <c r="N465" s="22"/>
      <c r="O465" s="22"/>
      <c r="P465" s="22"/>
      <c r="Q465" s="22"/>
      <c r="R465" s="22"/>
      <c r="S465" s="22"/>
      <c r="T465" s="22"/>
      <c r="U465" s="2"/>
      <c r="V465" s="2"/>
      <c r="W465" s="2"/>
      <c r="X465" s="2"/>
      <c r="Y465" s="2"/>
      <c r="Z465" s="2"/>
    </row>
    <row r="466" spans="1:26" ht="12.75">
      <c r="A466" s="22"/>
      <c r="B466" s="22"/>
      <c r="C466" s="22"/>
      <c r="D466" s="22"/>
      <c r="E466" s="22"/>
      <c r="F466" s="22"/>
      <c r="G466" s="22"/>
      <c r="H466" s="22"/>
      <c r="I466" s="22"/>
      <c r="J466" s="22"/>
      <c r="K466" s="22"/>
      <c r="L466" s="22"/>
      <c r="M466" s="22"/>
      <c r="N466" s="22"/>
      <c r="O466" s="22"/>
      <c r="P466" s="22"/>
      <c r="Q466" s="22"/>
      <c r="R466" s="22"/>
      <c r="S466" s="22"/>
      <c r="T466" s="22"/>
      <c r="U466" s="2"/>
      <c r="V466" s="2"/>
      <c r="W466" s="2"/>
      <c r="X466" s="2"/>
      <c r="Y466" s="2"/>
      <c r="Z466" s="2"/>
    </row>
    <row r="467" spans="1:26" ht="12.75">
      <c r="A467" s="22"/>
      <c r="B467" s="22"/>
      <c r="C467" s="22"/>
      <c r="D467" s="22"/>
      <c r="E467" s="22"/>
      <c r="F467" s="22"/>
      <c r="G467" s="22"/>
      <c r="H467" s="22"/>
      <c r="I467" s="22"/>
      <c r="J467" s="22"/>
      <c r="K467" s="22"/>
      <c r="L467" s="22"/>
      <c r="M467" s="22"/>
      <c r="N467" s="22"/>
      <c r="O467" s="22"/>
      <c r="P467" s="22"/>
      <c r="Q467" s="22"/>
      <c r="R467" s="22"/>
      <c r="S467" s="22"/>
      <c r="T467" s="22"/>
      <c r="U467" s="2"/>
      <c r="V467" s="2"/>
      <c r="W467" s="2"/>
      <c r="X467" s="2"/>
      <c r="Y467" s="2"/>
      <c r="Z467" s="2"/>
    </row>
    <row r="468" spans="1:26" ht="12.75">
      <c r="A468" s="22"/>
      <c r="B468" s="22"/>
      <c r="C468" s="22"/>
      <c r="D468" s="22"/>
      <c r="E468" s="22"/>
      <c r="F468" s="22"/>
      <c r="G468" s="22"/>
      <c r="H468" s="22"/>
      <c r="I468" s="22"/>
      <c r="J468" s="22"/>
      <c r="K468" s="22"/>
      <c r="L468" s="22"/>
      <c r="M468" s="22"/>
      <c r="N468" s="22"/>
      <c r="O468" s="22"/>
      <c r="P468" s="22"/>
      <c r="Q468" s="22"/>
      <c r="R468" s="22"/>
      <c r="S468" s="22"/>
      <c r="T468" s="22"/>
      <c r="U468" s="2"/>
      <c r="V468" s="2"/>
      <c r="W468" s="2"/>
      <c r="X468" s="2"/>
      <c r="Y468" s="2"/>
      <c r="Z468" s="2"/>
    </row>
    <row r="469" spans="1:26" ht="12.75">
      <c r="A469" s="22"/>
      <c r="B469" s="22"/>
      <c r="C469" s="22"/>
      <c r="D469" s="22"/>
      <c r="E469" s="22"/>
      <c r="F469" s="22"/>
      <c r="G469" s="22"/>
      <c r="H469" s="22"/>
      <c r="I469" s="22"/>
      <c r="J469" s="22"/>
      <c r="K469" s="22"/>
      <c r="L469" s="22"/>
      <c r="M469" s="22"/>
      <c r="N469" s="22"/>
      <c r="O469" s="22"/>
      <c r="P469" s="22"/>
      <c r="Q469" s="22"/>
      <c r="R469" s="22"/>
      <c r="S469" s="22"/>
      <c r="T469" s="22"/>
      <c r="U469" s="2"/>
      <c r="V469" s="2"/>
      <c r="W469" s="2"/>
      <c r="X469" s="2"/>
      <c r="Y469" s="2"/>
      <c r="Z469" s="2"/>
    </row>
    <row r="470" spans="1:26" ht="12.75">
      <c r="A470" s="22"/>
      <c r="B470" s="22"/>
      <c r="C470" s="22"/>
      <c r="D470" s="22"/>
      <c r="E470" s="22"/>
      <c r="F470" s="22"/>
      <c r="G470" s="22"/>
      <c r="H470" s="22"/>
      <c r="I470" s="22"/>
      <c r="J470" s="22"/>
      <c r="K470" s="22"/>
      <c r="L470" s="22"/>
      <c r="M470" s="22"/>
      <c r="N470" s="22"/>
      <c r="O470" s="22"/>
      <c r="P470" s="22"/>
      <c r="Q470" s="22"/>
      <c r="R470" s="22"/>
      <c r="S470" s="22"/>
      <c r="T470" s="22"/>
      <c r="U470" s="2"/>
      <c r="V470" s="2"/>
      <c r="W470" s="2"/>
      <c r="X470" s="2"/>
      <c r="Y470" s="2"/>
      <c r="Z470" s="2"/>
    </row>
    <row r="471" spans="1:26" ht="12.75">
      <c r="A471" s="22"/>
      <c r="B471" s="22"/>
      <c r="C471" s="22"/>
      <c r="D471" s="22"/>
      <c r="E471" s="22"/>
      <c r="F471" s="22"/>
      <c r="G471" s="22"/>
      <c r="H471" s="22"/>
      <c r="I471" s="22"/>
      <c r="J471" s="22"/>
      <c r="K471" s="22"/>
      <c r="L471" s="22"/>
      <c r="M471" s="22"/>
      <c r="N471" s="22"/>
      <c r="O471" s="22"/>
      <c r="P471" s="22"/>
      <c r="Q471" s="22"/>
      <c r="R471" s="22"/>
      <c r="S471" s="22"/>
      <c r="T471" s="22"/>
      <c r="U471" s="2"/>
      <c r="V471" s="2"/>
      <c r="W471" s="2"/>
      <c r="X471" s="2"/>
      <c r="Y471" s="2"/>
      <c r="Z471" s="2"/>
    </row>
    <row r="472" spans="1:26" ht="12.75">
      <c r="A472" s="22"/>
      <c r="B472" s="22"/>
      <c r="C472" s="22"/>
      <c r="D472" s="22"/>
      <c r="E472" s="22"/>
      <c r="F472" s="22"/>
      <c r="G472" s="22"/>
      <c r="H472" s="22"/>
      <c r="I472" s="22"/>
      <c r="J472" s="22"/>
      <c r="K472" s="22"/>
      <c r="L472" s="22"/>
      <c r="M472" s="22"/>
      <c r="N472" s="22"/>
      <c r="O472" s="22"/>
      <c r="P472" s="22"/>
      <c r="Q472" s="22"/>
      <c r="R472" s="22"/>
      <c r="S472" s="22"/>
      <c r="T472" s="22"/>
      <c r="U472" s="2"/>
      <c r="V472" s="2"/>
      <c r="W472" s="2"/>
      <c r="X472" s="2"/>
      <c r="Y472" s="2"/>
      <c r="Z472" s="2"/>
    </row>
    <row r="473" spans="1:26" ht="12.75">
      <c r="A473" s="22"/>
      <c r="B473" s="22"/>
      <c r="C473" s="22"/>
      <c r="D473" s="22"/>
      <c r="E473" s="22"/>
      <c r="F473" s="22"/>
      <c r="G473" s="22"/>
      <c r="H473" s="22"/>
      <c r="I473" s="22"/>
      <c r="J473" s="22"/>
      <c r="K473" s="22"/>
      <c r="L473" s="22"/>
      <c r="M473" s="22"/>
      <c r="N473" s="22"/>
      <c r="O473" s="22"/>
      <c r="P473" s="22"/>
      <c r="Q473" s="22"/>
      <c r="R473" s="22"/>
      <c r="S473" s="22"/>
      <c r="T473" s="22"/>
      <c r="U473" s="2"/>
      <c r="V473" s="2"/>
      <c r="W473" s="2"/>
      <c r="X473" s="2"/>
      <c r="Y473" s="2"/>
      <c r="Z473" s="2"/>
    </row>
    <row r="474" spans="1:26" ht="12.75">
      <c r="A474" s="22"/>
      <c r="B474" s="22"/>
      <c r="C474" s="22"/>
      <c r="D474" s="22"/>
      <c r="E474" s="22"/>
      <c r="F474" s="22"/>
      <c r="G474" s="22"/>
      <c r="H474" s="22"/>
      <c r="I474" s="22"/>
      <c r="J474" s="22"/>
      <c r="K474" s="22"/>
      <c r="L474" s="22"/>
      <c r="M474" s="22"/>
      <c r="N474" s="22"/>
      <c r="O474" s="22"/>
      <c r="P474" s="22"/>
      <c r="Q474" s="22"/>
      <c r="R474" s="22"/>
      <c r="S474" s="22"/>
      <c r="T474" s="22"/>
      <c r="U474" s="2"/>
      <c r="V474" s="2"/>
      <c r="W474" s="2"/>
      <c r="X474" s="2"/>
      <c r="Y474" s="2"/>
      <c r="Z474" s="2"/>
    </row>
    <row r="475" spans="1:26" ht="12.75">
      <c r="A475" s="22"/>
      <c r="B475" s="22"/>
      <c r="C475" s="22"/>
      <c r="D475" s="22"/>
      <c r="E475" s="22"/>
      <c r="F475" s="22"/>
      <c r="G475" s="22"/>
      <c r="H475" s="22"/>
      <c r="I475" s="22"/>
      <c r="J475" s="22"/>
      <c r="K475" s="22"/>
      <c r="L475" s="22"/>
      <c r="M475" s="22"/>
      <c r="N475" s="22"/>
      <c r="O475" s="22"/>
      <c r="P475" s="22"/>
      <c r="Q475" s="22"/>
      <c r="R475" s="22"/>
      <c r="S475" s="22"/>
      <c r="T475" s="22"/>
      <c r="U475" s="2"/>
      <c r="V475" s="2"/>
      <c r="W475" s="2"/>
      <c r="X475" s="2"/>
      <c r="Y475" s="2"/>
      <c r="Z475" s="2"/>
    </row>
    <row r="476" spans="1:26" ht="12.75">
      <c r="A476" s="22"/>
      <c r="B476" s="22"/>
      <c r="C476" s="22"/>
      <c r="D476" s="22"/>
      <c r="E476" s="22"/>
      <c r="F476" s="22"/>
      <c r="G476" s="22"/>
      <c r="H476" s="22"/>
      <c r="I476" s="22"/>
      <c r="J476" s="22"/>
      <c r="K476" s="22"/>
      <c r="L476" s="22"/>
      <c r="M476" s="22"/>
      <c r="N476" s="22"/>
      <c r="O476" s="22"/>
      <c r="P476" s="22"/>
      <c r="Q476" s="22"/>
      <c r="R476" s="22"/>
      <c r="S476" s="22"/>
      <c r="T476" s="22"/>
      <c r="U476" s="2"/>
      <c r="V476" s="2"/>
      <c r="W476" s="2"/>
      <c r="X476" s="2"/>
      <c r="Y476" s="2"/>
      <c r="Z476" s="2"/>
    </row>
    <row r="477" spans="1:26" ht="12.75">
      <c r="A477" s="22"/>
      <c r="B477" s="22"/>
      <c r="C477" s="22"/>
      <c r="D477" s="22"/>
      <c r="E477" s="22"/>
      <c r="F477" s="22"/>
      <c r="G477" s="22"/>
      <c r="H477" s="22"/>
      <c r="I477" s="22"/>
      <c r="J477" s="22"/>
      <c r="K477" s="22"/>
      <c r="L477" s="22"/>
      <c r="M477" s="22"/>
      <c r="N477" s="22"/>
      <c r="O477" s="22"/>
      <c r="P477" s="22"/>
      <c r="Q477" s="22"/>
      <c r="R477" s="22"/>
      <c r="S477" s="22"/>
      <c r="T477" s="22"/>
      <c r="U477" s="2"/>
      <c r="V477" s="2"/>
      <c r="W477" s="2"/>
      <c r="X477" s="2"/>
      <c r="Y477" s="2"/>
      <c r="Z477" s="2"/>
    </row>
    <row r="478" spans="1:26" ht="12.75">
      <c r="A478" s="22"/>
      <c r="B478" s="22"/>
      <c r="C478" s="22"/>
      <c r="D478" s="22"/>
      <c r="E478" s="22"/>
      <c r="F478" s="22"/>
      <c r="G478" s="22"/>
      <c r="H478" s="22"/>
      <c r="I478" s="22"/>
      <c r="J478" s="22"/>
      <c r="K478" s="22"/>
      <c r="L478" s="22"/>
      <c r="M478" s="22"/>
      <c r="N478" s="22"/>
      <c r="O478" s="22"/>
      <c r="P478" s="22"/>
      <c r="Q478" s="22"/>
      <c r="R478" s="22"/>
      <c r="S478" s="22"/>
      <c r="T478" s="22"/>
      <c r="U478" s="2"/>
      <c r="V478" s="2"/>
      <c r="W478" s="2"/>
      <c r="X478" s="2"/>
      <c r="Y478" s="2"/>
      <c r="Z478" s="2"/>
    </row>
    <row r="479" spans="1:26" ht="12.75">
      <c r="A479" s="22"/>
      <c r="B479" s="22"/>
      <c r="C479" s="22"/>
      <c r="D479" s="22"/>
      <c r="E479" s="22"/>
      <c r="F479" s="22"/>
      <c r="G479" s="22"/>
      <c r="H479" s="22"/>
      <c r="I479" s="22"/>
      <c r="J479" s="22"/>
      <c r="K479" s="22"/>
      <c r="L479" s="22"/>
      <c r="M479" s="22"/>
      <c r="N479" s="22"/>
      <c r="O479" s="22"/>
      <c r="P479" s="22"/>
      <c r="Q479" s="22"/>
      <c r="R479" s="22"/>
      <c r="S479" s="22"/>
      <c r="T479" s="22"/>
      <c r="U479" s="2"/>
      <c r="V479" s="2"/>
      <c r="W479" s="2"/>
      <c r="X479" s="2"/>
      <c r="Y479" s="2"/>
      <c r="Z479" s="2"/>
    </row>
    <row r="480" spans="1:26" ht="12.75">
      <c r="A480" s="22"/>
      <c r="B480" s="22"/>
      <c r="C480" s="22"/>
      <c r="D480" s="22"/>
      <c r="E480" s="22"/>
      <c r="F480" s="22"/>
      <c r="G480" s="22"/>
      <c r="H480" s="22"/>
      <c r="I480" s="22"/>
      <c r="J480" s="22"/>
      <c r="K480" s="22"/>
      <c r="L480" s="22"/>
      <c r="M480" s="22"/>
      <c r="N480" s="22"/>
      <c r="O480" s="22"/>
      <c r="P480" s="22"/>
      <c r="Q480" s="22"/>
      <c r="R480" s="22"/>
      <c r="S480" s="22"/>
      <c r="T480" s="22"/>
      <c r="U480" s="2"/>
      <c r="V480" s="2"/>
      <c r="W480" s="2"/>
      <c r="X480" s="2"/>
      <c r="Y480" s="2"/>
      <c r="Z480" s="2"/>
    </row>
    <row r="481" spans="1:26" ht="12.75">
      <c r="A481" s="22"/>
      <c r="B481" s="22"/>
      <c r="C481" s="22"/>
      <c r="D481" s="22"/>
      <c r="E481" s="22"/>
      <c r="F481" s="22"/>
      <c r="G481" s="22"/>
      <c r="H481" s="22"/>
      <c r="I481" s="22"/>
      <c r="J481" s="22"/>
      <c r="K481" s="22"/>
      <c r="L481" s="22"/>
      <c r="M481" s="22"/>
      <c r="N481" s="22"/>
      <c r="O481" s="22"/>
      <c r="P481" s="22"/>
      <c r="Q481" s="22"/>
      <c r="R481" s="22"/>
      <c r="S481" s="22"/>
      <c r="T481" s="22"/>
      <c r="U481" s="2"/>
      <c r="V481" s="2"/>
      <c r="W481" s="2"/>
      <c r="X481" s="2"/>
      <c r="Y481" s="2"/>
      <c r="Z481" s="2"/>
    </row>
    <row r="482" spans="1:26" ht="12.75">
      <c r="A482" s="22"/>
      <c r="B482" s="22"/>
      <c r="C482" s="22"/>
      <c r="D482" s="22"/>
      <c r="E482" s="22"/>
      <c r="F482" s="22"/>
      <c r="G482" s="22"/>
      <c r="H482" s="22"/>
      <c r="I482" s="22"/>
      <c r="J482" s="22"/>
      <c r="K482" s="22"/>
      <c r="L482" s="22"/>
      <c r="M482" s="22"/>
      <c r="N482" s="22"/>
      <c r="O482" s="22"/>
      <c r="P482" s="22"/>
      <c r="Q482" s="22"/>
      <c r="R482" s="22"/>
      <c r="S482" s="22"/>
      <c r="T482" s="22"/>
      <c r="U482" s="2"/>
      <c r="V482" s="2"/>
      <c r="W482" s="2"/>
      <c r="X482" s="2"/>
      <c r="Y482" s="2"/>
      <c r="Z482" s="2"/>
    </row>
    <row r="483" spans="1:26" ht="12.75">
      <c r="A483" s="22"/>
      <c r="B483" s="22"/>
      <c r="C483" s="22"/>
      <c r="D483" s="22"/>
      <c r="E483" s="22"/>
      <c r="F483" s="22"/>
      <c r="G483" s="22"/>
      <c r="H483" s="22"/>
      <c r="I483" s="22"/>
      <c r="J483" s="22"/>
      <c r="K483" s="22"/>
      <c r="L483" s="22"/>
      <c r="M483" s="22"/>
      <c r="N483" s="22"/>
      <c r="O483" s="22"/>
      <c r="P483" s="22"/>
      <c r="Q483" s="22"/>
      <c r="R483" s="22"/>
      <c r="S483" s="22"/>
      <c r="T483" s="22"/>
      <c r="U483" s="2"/>
      <c r="V483" s="2"/>
      <c r="W483" s="2"/>
      <c r="X483" s="2"/>
      <c r="Y483" s="2"/>
      <c r="Z483" s="2"/>
    </row>
    <row r="484" spans="1:26" ht="12.75">
      <c r="A484" s="22"/>
      <c r="B484" s="22"/>
      <c r="C484" s="22"/>
      <c r="D484" s="22"/>
      <c r="E484" s="22"/>
      <c r="F484" s="22"/>
      <c r="G484" s="22"/>
      <c r="H484" s="22"/>
      <c r="I484" s="22"/>
      <c r="J484" s="22"/>
      <c r="K484" s="22"/>
      <c r="L484" s="22"/>
      <c r="M484" s="22"/>
      <c r="N484" s="22"/>
      <c r="O484" s="22"/>
      <c r="P484" s="22"/>
      <c r="Q484" s="22"/>
      <c r="R484" s="22"/>
      <c r="S484" s="22"/>
      <c r="T484" s="22"/>
      <c r="U484" s="2"/>
      <c r="V484" s="2"/>
      <c r="W484" s="2"/>
      <c r="X484" s="2"/>
      <c r="Y484" s="2"/>
      <c r="Z484" s="2"/>
    </row>
    <row r="485" spans="1:26" ht="12.75">
      <c r="A485" s="22"/>
      <c r="B485" s="22"/>
      <c r="C485" s="22"/>
      <c r="D485" s="22"/>
      <c r="E485" s="22"/>
      <c r="F485" s="22"/>
      <c r="G485" s="22"/>
      <c r="H485" s="22"/>
      <c r="I485" s="22"/>
      <c r="J485" s="22"/>
      <c r="K485" s="22"/>
      <c r="L485" s="22"/>
      <c r="M485" s="22"/>
      <c r="N485" s="22"/>
      <c r="O485" s="22"/>
      <c r="P485" s="22"/>
      <c r="Q485" s="22"/>
      <c r="R485" s="22"/>
      <c r="S485" s="22"/>
      <c r="T485" s="22"/>
      <c r="U485" s="2"/>
      <c r="V485" s="2"/>
      <c r="W485" s="2"/>
      <c r="X485" s="2"/>
      <c r="Y485" s="2"/>
      <c r="Z485" s="2"/>
    </row>
    <row r="486" spans="1:26" ht="12.75">
      <c r="A486" s="22"/>
      <c r="B486" s="22"/>
      <c r="C486" s="22"/>
      <c r="D486" s="22"/>
      <c r="E486" s="22"/>
      <c r="F486" s="22"/>
      <c r="G486" s="22"/>
      <c r="H486" s="22"/>
      <c r="I486" s="22"/>
      <c r="J486" s="22"/>
      <c r="K486" s="22"/>
      <c r="L486" s="22"/>
      <c r="M486" s="22"/>
      <c r="N486" s="22"/>
      <c r="O486" s="22"/>
      <c r="P486" s="22"/>
      <c r="Q486" s="22"/>
      <c r="R486" s="22"/>
      <c r="S486" s="22"/>
      <c r="T486" s="22"/>
      <c r="U486" s="2"/>
      <c r="V486" s="2"/>
      <c r="W486" s="2"/>
      <c r="X486" s="2"/>
      <c r="Y486" s="2"/>
      <c r="Z486" s="2"/>
    </row>
    <row r="487" spans="1:26" ht="12.75">
      <c r="A487" s="22"/>
      <c r="B487" s="22"/>
      <c r="C487" s="22"/>
      <c r="D487" s="22"/>
      <c r="E487" s="22"/>
      <c r="F487" s="22"/>
      <c r="G487" s="22"/>
      <c r="H487" s="22"/>
      <c r="I487" s="22"/>
      <c r="J487" s="22"/>
      <c r="K487" s="22"/>
      <c r="L487" s="22"/>
      <c r="M487" s="22"/>
      <c r="N487" s="22"/>
      <c r="O487" s="22"/>
      <c r="P487" s="22"/>
      <c r="Q487" s="22"/>
      <c r="R487" s="22"/>
      <c r="S487" s="22"/>
      <c r="T487" s="22"/>
      <c r="U487" s="2"/>
      <c r="V487" s="2"/>
      <c r="W487" s="2"/>
      <c r="X487" s="2"/>
      <c r="Y487" s="2"/>
      <c r="Z487" s="2"/>
    </row>
    <row r="488" spans="1:26" ht="12.75">
      <c r="A488" s="22"/>
      <c r="B488" s="22"/>
      <c r="C488" s="22"/>
      <c r="D488" s="22"/>
      <c r="E488" s="22"/>
      <c r="F488" s="22"/>
      <c r="G488" s="22"/>
      <c r="H488" s="22"/>
      <c r="I488" s="22"/>
      <c r="J488" s="22"/>
      <c r="K488" s="22"/>
      <c r="L488" s="22"/>
      <c r="M488" s="22"/>
      <c r="N488" s="22"/>
      <c r="O488" s="22"/>
      <c r="P488" s="22"/>
      <c r="Q488" s="22"/>
      <c r="R488" s="22"/>
      <c r="S488" s="22"/>
      <c r="T488" s="22"/>
      <c r="U488" s="2"/>
      <c r="V488" s="2"/>
      <c r="W488" s="2"/>
      <c r="X488" s="2"/>
      <c r="Y488" s="2"/>
      <c r="Z488" s="2"/>
    </row>
    <row r="489" spans="1:26" ht="12.75">
      <c r="A489" s="22"/>
      <c r="B489" s="22"/>
      <c r="C489" s="22"/>
      <c r="D489" s="22"/>
      <c r="E489" s="22"/>
      <c r="F489" s="22"/>
      <c r="G489" s="22"/>
      <c r="H489" s="22"/>
      <c r="I489" s="22"/>
      <c r="J489" s="22"/>
      <c r="K489" s="22"/>
      <c r="L489" s="22"/>
      <c r="M489" s="22"/>
      <c r="N489" s="22"/>
      <c r="O489" s="22"/>
      <c r="P489" s="22"/>
      <c r="Q489" s="22"/>
      <c r="R489" s="22"/>
      <c r="S489" s="22"/>
      <c r="T489" s="22"/>
      <c r="U489" s="2"/>
      <c r="V489" s="2"/>
      <c r="W489" s="2"/>
      <c r="X489" s="2"/>
      <c r="Y489" s="2"/>
      <c r="Z489" s="2"/>
    </row>
    <row r="490" spans="1:26" ht="12.75">
      <c r="A490" s="22"/>
      <c r="B490" s="22"/>
      <c r="C490" s="22"/>
      <c r="D490" s="22"/>
      <c r="E490" s="22"/>
      <c r="F490" s="22"/>
      <c r="G490" s="22"/>
      <c r="H490" s="22"/>
      <c r="I490" s="22"/>
      <c r="J490" s="22"/>
      <c r="K490" s="22"/>
      <c r="L490" s="22"/>
      <c r="M490" s="22"/>
      <c r="N490" s="22"/>
      <c r="O490" s="22"/>
      <c r="P490" s="22"/>
      <c r="Q490" s="22"/>
      <c r="R490" s="22"/>
      <c r="S490" s="22"/>
      <c r="T490" s="22"/>
      <c r="U490" s="2"/>
      <c r="V490" s="2"/>
      <c r="W490" s="2"/>
      <c r="X490" s="2"/>
      <c r="Y490" s="2"/>
      <c r="Z490" s="2"/>
    </row>
    <row r="491" spans="1:26" ht="12.75">
      <c r="A491" s="22"/>
      <c r="B491" s="22"/>
      <c r="C491" s="22"/>
      <c r="D491" s="22"/>
      <c r="E491" s="22"/>
      <c r="F491" s="22"/>
      <c r="G491" s="22"/>
      <c r="H491" s="22"/>
      <c r="I491" s="22"/>
      <c r="J491" s="22"/>
      <c r="K491" s="22"/>
      <c r="L491" s="22"/>
      <c r="M491" s="22"/>
      <c r="N491" s="22"/>
      <c r="O491" s="22"/>
      <c r="P491" s="22"/>
      <c r="Q491" s="22"/>
      <c r="R491" s="22"/>
      <c r="S491" s="22"/>
      <c r="T491" s="22"/>
      <c r="U491" s="2"/>
      <c r="V491" s="2"/>
      <c r="W491" s="2"/>
      <c r="X491" s="2"/>
      <c r="Y491" s="2"/>
      <c r="Z491" s="2"/>
    </row>
    <row r="492" spans="1:26" ht="12.75">
      <c r="A492" s="22"/>
      <c r="B492" s="22"/>
      <c r="C492" s="22"/>
      <c r="D492" s="22"/>
      <c r="E492" s="22"/>
      <c r="F492" s="22"/>
      <c r="G492" s="22"/>
      <c r="H492" s="22"/>
      <c r="I492" s="22"/>
      <c r="J492" s="22"/>
      <c r="K492" s="22"/>
      <c r="L492" s="22"/>
      <c r="M492" s="22"/>
      <c r="N492" s="22"/>
      <c r="O492" s="22"/>
      <c r="P492" s="22"/>
      <c r="Q492" s="22"/>
      <c r="R492" s="22"/>
      <c r="S492" s="22"/>
      <c r="T492" s="22"/>
      <c r="U492" s="2"/>
      <c r="V492" s="2"/>
      <c r="W492" s="2"/>
      <c r="X492" s="2"/>
      <c r="Y492" s="2"/>
      <c r="Z492" s="2"/>
    </row>
    <row r="493" spans="1:26" ht="12.75">
      <c r="A493" s="22"/>
      <c r="B493" s="22"/>
      <c r="C493" s="22"/>
      <c r="D493" s="22"/>
      <c r="E493" s="22"/>
      <c r="F493" s="22"/>
      <c r="G493" s="22"/>
      <c r="H493" s="22"/>
      <c r="I493" s="22"/>
      <c r="J493" s="22"/>
      <c r="K493" s="22"/>
      <c r="L493" s="22"/>
      <c r="M493" s="22"/>
      <c r="N493" s="22"/>
      <c r="O493" s="22"/>
      <c r="P493" s="22"/>
      <c r="Q493" s="22"/>
      <c r="R493" s="22"/>
      <c r="S493" s="22"/>
      <c r="T493" s="22"/>
      <c r="U493" s="2"/>
      <c r="V493" s="2"/>
      <c r="W493" s="2"/>
      <c r="X493" s="2"/>
      <c r="Y493" s="2"/>
      <c r="Z493" s="2"/>
    </row>
    <row r="494" spans="1:26" ht="12.75">
      <c r="A494" s="22"/>
      <c r="B494" s="22"/>
      <c r="C494" s="22"/>
      <c r="D494" s="22"/>
      <c r="E494" s="22"/>
      <c r="F494" s="22"/>
      <c r="G494" s="22"/>
      <c r="H494" s="22"/>
      <c r="I494" s="22"/>
      <c r="J494" s="22"/>
      <c r="K494" s="22"/>
      <c r="L494" s="22"/>
      <c r="M494" s="22"/>
      <c r="N494" s="22"/>
      <c r="O494" s="22"/>
      <c r="P494" s="22"/>
      <c r="Q494" s="22"/>
      <c r="R494" s="22"/>
      <c r="S494" s="22"/>
      <c r="T494" s="22"/>
      <c r="U494" s="2"/>
      <c r="V494" s="2"/>
      <c r="W494" s="2"/>
      <c r="X494" s="2"/>
      <c r="Y494" s="2"/>
      <c r="Z494" s="2"/>
    </row>
    <row r="495" spans="1:26" ht="12.75">
      <c r="A495" s="22"/>
      <c r="B495" s="22"/>
      <c r="C495" s="22"/>
      <c r="D495" s="22"/>
      <c r="E495" s="22"/>
      <c r="F495" s="22"/>
      <c r="G495" s="22"/>
      <c r="H495" s="22"/>
      <c r="I495" s="22"/>
      <c r="J495" s="22"/>
      <c r="K495" s="22"/>
      <c r="L495" s="22"/>
      <c r="M495" s="22"/>
      <c r="N495" s="22"/>
      <c r="O495" s="22"/>
      <c r="P495" s="22"/>
      <c r="Q495" s="22"/>
      <c r="R495" s="22"/>
      <c r="S495" s="22"/>
      <c r="T495" s="22"/>
      <c r="U495" s="2"/>
      <c r="V495" s="2"/>
      <c r="W495" s="2"/>
      <c r="X495" s="2"/>
      <c r="Y495" s="2"/>
      <c r="Z495" s="2"/>
    </row>
    <row r="496" spans="1:26" ht="12.75">
      <c r="A496" s="22"/>
      <c r="B496" s="22"/>
      <c r="C496" s="22"/>
      <c r="D496" s="22"/>
      <c r="E496" s="22"/>
      <c r="F496" s="22"/>
      <c r="G496" s="22"/>
      <c r="H496" s="22"/>
      <c r="I496" s="22"/>
      <c r="J496" s="22"/>
      <c r="K496" s="22"/>
      <c r="L496" s="22"/>
      <c r="M496" s="22"/>
      <c r="N496" s="22"/>
      <c r="O496" s="22"/>
      <c r="P496" s="22"/>
      <c r="Q496" s="22"/>
      <c r="R496" s="22"/>
      <c r="S496" s="22"/>
      <c r="T496" s="22"/>
      <c r="U496" s="2"/>
      <c r="V496" s="2"/>
      <c r="W496" s="2"/>
      <c r="X496" s="2"/>
      <c r="Y496" s="2"/>
      <c r="Z496" s="2"/>
    </row>
    <row r="497" spans="1:26" ht="12.75">
      <c r="A497" s="22"/>
      <c r="B497" s="22"/>
      <c r="C497" s="22"/>
      <c r="D497" s="22"/>
      <c r="E497" s="22"/>
      <c r="F497" s="22"/>
      <c r="G497" s="22"/>
      <c r="H497" s="22"/>
      <c r="I497" s="22"/>
      <c r="J497" s="22"/>
      <c r="K497" s="22"/>
      <c r="L497" s="22"/>
      <c r="M497" s="22"/>
      <c r="N497" s="22"/>
      <c r="O497" s="22"/>
      <c r="P497" s="22"/>
      <c r="Q497" s="22"/>
      <c r="R497" s="22"/>
      <c r="S497" s="22"/>
      <c r="T497" s="22"/>
      <c r="U497" s="2"/>
      <c r="V497" s="2"/>
      <c r="W497" s="2"/>
      <c r="X497" s="2"/>
      <c r="Y497" s="2"/>
      <c r="Z497" s="2"/>
    </row>
    <row r="498" spans="1:26" ht="12.75">
      <c r="A498" s="22"/>
      <c r="B498" s="22"/>
      <c r="C498" s="22"/>
      <c r="D498" s="22"/>
      <c r="E498" s="22"/>
      <c r="F498" s="22"/>
      <c r="G498" s="22"/>
      <c r="H498" s="22"/>
      <c r="I498" s="22"/>
      <c r="J498" s="22"/>
      <c r="K498" s="22"/>
      <c r="L498" s="22"/>
      <c r="M498" s="22"/>
      <c r="N498" s="22"/>
      <c r="O498" s="22"/>
      <c r="P498" s="22"/>
      <c r="Q498" s="22"/>
      <c r="R498" s="22"/>
      <c r="S498" s="22"/>
      <c r="T498" s="22"/>
      <c r="U498" s="2"/>
      <c r="V498" s="2"/>
      <c r="W498" s="2"/>
      <c r="X498" s="2"/>
      <c r="Y498" s="2"/>
      <c r="Z498" s="2"/>
    </row>
    <row r="499" spans="1:26" ht="12.75">
      <c r="A499" s="22"/>
      <c r="B499" s="22"/>
      <c r="C499" s="22"/>
      <c r="D499" s="22"/>
      <c r="E499" s="22"/>
      <c r="F499" s="22"/>
      <c r="G499" s="22"/>
      <c r="H499" s="22"/>
      <c r="I499" s="22"/>
      <c r="J499" s="22"/>
      <c r="K499" s="22"/>
      <c r="L499" s="22"/>
      <c r="M499" s="22"/>
      <c r="N499" s="22"/>
      <c r="O499" s="22"/>
      <c r="P499" s="22"/>
      <c r="Q499" s="22"/>
      <c r="R499" s="22"/>
      <c r="S499" s="22"/>
      <c r="T499" s="22"/>
      <c r="U499" s="2"/>
      <c r="V499" s="2"/>
      <c r="W499" s="2"/>
      <c r="X499" s="2"/>
      <c r="Y499" s="2"/>
      <c r="Z499" s="2"/>
    </row>
    <row r="500" spans="1:26" ht="12.75">
      <c r="A500" s="22"/>
      <c r="B500" s="22"/>
      <c r="C500" s="22"/>
      <c r="D500" s="22"/>
      <c r="E500" s="22"/>
      <c r="F500" s="22"/>
      <c r="G500" s="22"/>
      <c r="H500" s="22"/>
      <c r="I500" s="22"/>
      <c r="J500" s="22"/>
      <c r="K500" s="22"/>
      <c r="L500" s="22"/>
      <c r="M500" s="22"/>
      <c r="N500" s="22"/>
      <c r="O500" s="22"/>
      <c r="P500" s="22"/>
      <c r="Q500" s="22"/>
      <c r="R500" s="22"/>
      <c r="S500" s="22"/>
      <c r="T500" s="22"/>
      <c r="U500" s="2"/>
      <c r="V500" s="2"/>
      <c r="W500" s="2"/>
      <c r="X500" s="2"/>
      <c r="Y500" s="2"/>
      <c r="Z500" s="2"/>
    </row>
    <row r="501" spans="1:26" ht="12.75">
      <c r="A501" s="22"/>
      <c r="B501" s="22"/>
      <c r="C501" s="22"/>
      <c r="D501" s="22"/>
      <c r="E501" s="22"/>
      <c r="F501" s="22"/>
      <c r="G501" s="22"/>
      <c r="H501" s="22"/>
      <c r="I501" s="22"/>
      <c r="J501" s="22"/>
      <c r="K501" s="22"/>
      <c r="L501" s="22"/>
      <c r="M501" s="22"/>
      <c r="N501" s="22"/>
      <c r="O501" s="22"/>
      <c r="P501" s="22"/>
      <c r="Q501" s="22"/>
      <c r="R501" s="22"/>
      <c r="S501" s="22"/>
      <c r="T501" s="22"/>
      <c r="U501" s="2"/>
      <c r="V501" s="2"/>
      <c r="W501" s="2"/>
      <c r="X501" s="2"/>
      <c r="Y501" s="2"/>
      <c r="Z501" s="2"/>
    </row>
    <row r="502" spans="1:26" ht="12.75">
      <c r="A502" s="22"/>
      <c r="B502" s="22"/>
      <c r="C502" s="22"/>
      <c r="D502" s="22"/>
      <c r="E502" s="22"/>
      <c r="F502" s="22"/>
      <c r="G502" s="22"/>
      <c r="H502" s="22"/>
      <c r="I502" s="22"/>
      <c r="J502" s="22"/>
      <c r="K502" s="22"/>
      <c r="L502" s="22"/>
      <c r="M502" s="22"/>
      <c r="N502" s="22"/>
      <c r="O502" s="22"/>
      <c r="P502" s="22"/>
      <c r="Q502" s="22"/>
      <c r="R502" s="22"/>
      <c r="S502" s="22"/>
      <c r="T502" s="22"/>
      <c r="U502" s="2"/>
      <c r="V502" s="2"/>
      <c r="W502" s="2"/>
      <c r="X502" s="2"/>
      <c r="Y502" s="2"/>
      <c r="Z502" s="2"/>
    </row>
    <row r="503" spans="1:26" ht="12.75">
      <c r="A503" s="22"/>
      <c r="B503" s="22"/>
      <c r="C503" s="22"/>
      <c r="D503" s="22"/>
      <c r="E503" s="22"/>
      <c r="F503" s="22"/>
      <c r="G503" s="22"/>
      <c r="H503" s="22"/>
      <c r="I503" s="22"/>
      <c r="J503" s="22"/>
      <c r="K503" s="22"/>
      <c r="L503" s="22"/>
      <c r="M503" s="22"/>
      <c r="N503" s="22"/>
      <c r="O503" s="22"/>
      <c r="P503" s="22"/>
      <c r="Q503" s="22"/>
      <c r="R503" s="22"/>
      <c r="S503" s="22"/>
      <c r="T503" s="22"/>
      <c r="U503" s="2"/>
      <c r="V503" s="2"/>
      <c r="W503" s="2"/>
      <c r="X503" s="2"/>
      <c r="Y503" s="2"/>
      <c r="Z503" s="2"/>
    </row>
    <row r="504" spans="1:26" ht="12.75">
      <c r="A504" s="22"/>
      <c r="B504" s="22"/>
      <c r="C504" s="22"/>
      <c r="D504" s="22"/>
      <c r="E504" s="22"/>
      <c r="F504" s="22"/>
      <c r="G504" s="22"/>
      <c r="H504" s="22"/>
      <c r="I504" s="22"/>
      <c r="J504" s="22"/>
      <c r="K504" s="22"/>
      <c r="L504" s="22"/>
      <c r="M504" s="22"/>
      <c r="N504" s="22"/>
      <c r="O504" s="22"/>
      <c r="P504" s="22"/>
      <c r="Q504" s="22"/>
      <c r="R504" s="22"/>
      <c r="S504" s="22"/>
      <c r="T504" s="22"/>
      <c r="U504" s="2"/>
      <c r="V504" s="2"/>
      <c r="W504" s="2"/>
      <c r="X504" s="2"/>
      <c r="Y504" s="2"/>
      <c r="Z504" s="2"/>
    </row>
    <row r="505" spans="1:26" ht="12.75">
      <c r="A505" s="22"/>
      <c r="B505" s="22"/>
      <c r="C505" s="22"/>
      <c r="D505" s="22"/>
      <c r="E505" s="22"/>
      <c r="F505" s="22"/>
      <c r="G505" s="22"/>
      <c r="H505" s="22"/>
      <c r="I505" s="22"/>
      <c r="J505" s="22"/>
      <c r="K505" s="22"/>
      <c r="L505" s="22"/>
      <c r="M505" s="22"/>
      <c r="N505" s="22"/>
      <c r="O505" s="22"/>
      <c r="P505" s="22"/>
      <c r="Q505" s="22"/>
      <c r="R505" s="22"/>
      <c r="S505" s="22"/>
      <c r="T505" s="22"/>
      <c r="U505" s="2"/>
      <c r="V505" s="2"/>
      <c r="W505" s="2"/>
      <c r="X505" s="2"/>
      <c r="Y505" s="2"/>
      <c r="Z505" s="2"/>
    </row>
    <row r="506" spans="1:26" ht="12.75">
      <c r="A506" s="22"/>
      <c r="B506" s="22"/>
      <c r="C506" s="22"/>
      <c r="D506" s="22"/>
      <c r="E506" s="22"/>
      <c r="F506" s="22"/>
      <c r="G506" s="22"/>
      <c r="H506" s="22"/>
      <c r="I506" s="22"/>
      <c r="J506" s="22"/>
      <c r="K506" s="22"/>
      <c r="L506" s="22"/>
      <c r="M506" s="22"/>
      <c r="N506" s="22"/>
      <c r="O506" s="22"/>
      <c r="P506" s="22"/>
      <c r="Q506" s="22"/>
      <c r="R506" s="22"/>
      <c r="S506" s="22"/>
      <c r="T506" s="22"/>
      <c r="U506" s="2"/>
      <c r="V506" s="2"/>
      <c r="W506" s="2"/>
      <c r="X506" s="2"/>
      <c r="Y506" s="2"/>
      <c r="Z506" s="2"/>
    </row>
    <row r="507" spans="1:26" ht="12.75">
      <c r="A507" s="22"/>
      <c r="B507" s="22"/>
      <c r="C507" s="22"/>
      <c r="D507" s="22"/>
      <c r="E507" s="22"/>
      <c r="F507" s="22"/>
      <c r="G507" s="22"/>
      <c r="H507" s="22"/>
      <c r="I507" s="22"/>
      <c r="J507" s="22"/>
      <c r="K507" s="22"/>
      <c r="L507" s="22"/>
      <c r="M507" s="22"/>
      <c r="N507" s="22"/>
      <c r="O507" s="22"/>
      <c r="P507" s="22"/>
      <c r="Q507" s="22"/>
      <c r="R507" s="22"/>
      <c r="S507" s="22"/>
      <c r="T507" s="22"/>
      <c r="U507" s="2"/>
      <c r="V507" s="2"/>
      <c r="W507" s="2"/>
      <c r="X507" s="2"/>
      <c r="Y507" s="2"/>
      <c r="Z507" s="2"/>
    </row>
    <row r="508" spans="1:26" ht="12.75">
      <c r="A508" s="22"/>
      <c r="B508" s="22"/>
      <c r="C508" s="22"/>
      <c r="D508" s="22"/>
      <c r="E508" s="22"/>
      <c r="F508" s="22"/>
      <c r="G508" s="22"/>
      <c r="H508" s="22"/>
      <c r="I508" s="22"/>
      <c r="J508" s="22"/>
      <c r="K508" s="22"/>
      <c r="L508" s="22"/>
      <c r="M508" s="22"/>
      <c r="N508" s="22"/>
      <c r="O508" s="22"/>
      <c r="P508" s="22"/>
      <c r="Q508" s="22"/>
      <c r="R508" s="22"/>
      <c r="S508" s="22"/>
      <c r="T508" s="22"/>
      <c r="U508" s="2"/>
      <c r="V508" s="2"/>
      <c r="W508" s="2"/>
      <c r="X508" s="2"/>
      <c r="Y508" s="2"/>
      <c r="Z508" s="2"/>
    </row>
    <row r="509" spans="1:26" ht="12.75">
      <c r="A509" s="22"/>
      <c r="B509" s="22"/>
      <c r="C509" s="22"/>
      <c r="D509" s="22"/>
      <c r="E509" s="22"/>
      <c r="F509" s="22"/>
      <c r="G509" s="22"/>
      <c r="H509" s="22"/>
      <c r="I509" s="22"/>
      <c r="J509" s="22"/>
      <c r="K509" s="22"/>
      <c r="L509" s="22"/>
      <c r="M509" s="22"/>
      <c r="N509" s="22"/>
      <c r="O509" s="22"/>
      <c r="P509" s="22"/>
      <c r="Q509" s="22"/>
      <c r="R509" s="22"/>
      <c r="S509" s="22"/>
      <c r="T509" s="22"/>
      <c r="U509" s="2"/>
      <c r="V509" s="2"/>
      <c r="W509" s="2"/>
      <c r="X509" s="2"/>
      <c r="Y509" s="2"/>
      <c r="Z509" s="2"/>
    </row>
    <row r="510" spans="1:26" ht="12.75">
      <c r="A510" s="22"/>
      <c r="B510" s="22"/>
      <c r="C510" s="22"/>
      <c r="D510" s="22"/>
      <c r="E510" s="22"/>
      <c r="F510" s="22"/>
      <c r="G510" s="22"/>
      <c r="H510" s="22"/>
      <c r="I510" s="22"/>
      <c r="J510" s="22"/>
      <c r="K510" s="22"/>
      <c r="L510" s="22"/>
      <c r="M510" s="22"/>
      <c r="N510" s="22"/>
      <c r="O510" s="22"/>
      <c r="P510" s="22"/>
      <c r="Q510" s="22"/>
      <c r="R510" s="22"/>
      <c r="S510" s="22"/>
      <c r="T510" s="22"/>
      <c r="U510" s="2"/>
      <c r="V510" s="2"/>
      <c r="W510" s="2"/>
      <c r="X510" s="2"/>
      <c r="Y510" s="2"/>
      <c r="Z510" s="2"/>
    </row>
    <row r="511" spans="1:26" ht="12.75">
      <c r="A511" s="22"/>
      <c r="B511" s="22"/>
      <c r="C511" s="22"/>
      <c r="D511" s="22"/>
      <c r="E511" s="22"/>
      <c r="F511" s="22"/>
      <c r="G511" s="22"/>
      <c r="H511" s="22"/>
      <c r="I511" s="22"/>
      <c r="J511" s="22"/>
      <c r="K511" s="22"/>
      <c r="L511" s="22"/>
      <c r="M511" s="22"/>
      <c r="N511" s="22"/>
      <c r="O511" s="22"/>
      <c r="P511" s="22"/>
      <c r="Q511" s="22"/>
      <c r="R511" s="22"/>
      <c r="S511" s="22"/>
      <c r="T511" s="22"/>
      <c r="U511" s="2"/>
      <c r="V511" s="2"/>
      <c r="W511" s="2"/>
      <c r="X511" s="2"/>
      <c r="Y511" s="2"/>
      <c r="Z511" s="2"/>
    </row>
    <row r="512" spans="1:26" ht="12.75">
      <c r="A512" s="22"/>
      <c r="B512" s="22"/>
      <c r="C512" s="22"/>
      <c r="D512" s="22"/>
      <c r="E512" s="22"/>
      <c r="F512" s="22"/>
      <c r="G512" s="22"/>
      <c r="H512" s="22"/>
      <c r="I512" s="22"/>
      <c r="J512" s="22"/>
      <c r="K512" s="22"/>
      <c r="L512" s="22"/>
      <c r="M512" s="22"/>
      <c r="N512" s="22"/>
      <c r="O512" s="22"/>
      <c r="P512" s="22"/>
      <c r="Q512" s="22"/>
      <c r="R512" s="22"/>
      <c r="S512" s="22"/>
      <c r="T512" s="22"/>
      <c r="U512" s="2"/>
      <c r="V512" s="2"/>
      <c r="W512" s="2"/>
      <c r="X512" s="2"/>
      <c r="Y512" s="2"/>
      <c r="Z512" s="2"/>
    </row>
    <row r="513" spans="1:26" ht="12.75">
      <c r="A513" s="22"/>
      <c r="B513" s="22"/>
      <c r="C513" s="22"/>
      <c r="D513" s="22"/>
      <c r="E513" s="22"/>
      <c r="F513" s="22"/>
      <c r="G513" s="22"/>
      <c r="H513" s="22"/>
      <c r="I513" s="22"/>
      <c r="J513" s="22"/>
      <c r="K513" s="22"/>
      <c r="L513" s="22"/>
      <c r="M513" s="22"/>
      <c r="N513" s="22"/>
      <c r="O513" s="22"/>
      <c r="P513" s="22"/>
      <c r="Q513" s="22"/>
      <c r="R513" s="22"/>
      <c r="S513" s="22"/>
      <c r="T513" s="22"/>
      <c r="U513" s="2"/>
      <c r="V513" s="2"/>
      <c r="W513" s="2"/>
      <c r="X513" s="2"/>
      <c r="Y513" s="2"/>
      <c r="Z513" s="2"/>
    </row>
    <row r="514" spans="1:26" ht="12.75">
      <c r="A514" s="22"/>
      <c r="B514" s="22"/>
      <c r="C514" s="22"/>
      <c r="D514" s="22"/>
      <c r="E514" s="22"/>
      <c r="F514" s="22"/>
      <c r="G514" s="22"/>
      <c r="H514" s="22"/>
      <c r="I514" s="22"/>
      <c r="J514" s="22"/>
      <c r="K514" s="22"/>
      <c r="L514" s="22"/>
      <c r="M514" s="22"/>
      <c r="N514" s="22"/>
      <c r="O514" s="22"/>
      <c r="P514" s="22"/>
      <c r="Q514" s="22"/>
      <c r="R514" s="22"/>
      <c r="S514" s="22"/>
      <c r="T514" s="22"/>
      <c r="U514" s="2"/>
      <c r="V514" s="2"/>
      <c r="W514" s="2"/>
      <c r="X514" s="2"/>
      <c r="Y514" s="2"/>
      <c r="Z514" s="2"/>
    </row>
    <row r="515" spans="1:26" ht="12.75">
      <c r="A515" s="22"/>
      <c r="B515" s="22"/>
      <c r="C515" s="22"/>
      <c r="D515" s="22"/>
      <c r="E515" s="22"/>
      <c r="F515" s="22"/>
      <c r="G515" s="22"/>
      <c r="H515" s="22"/>
      <c r="I515" s="22"/>
      <c r="J515" s="22"/>
      <c r="K515" s="22"/>
      <c r="L515" s="22"/>
      <c r="M515" s="22"/>
      <c r="N515" s="22"/>
      <c r="O515" s="22"/>
      <c r="P515" s="22"/>
      <c r="Q515" s="22"/>
      <c r="R515" s="22"/>
      <c r="S515" s="22"/>
      <c r="T515" s="22"/>
      <c r="U515" s="2"/>
      <c r="V515" s="2"/>
      <c r="W515" s="2"/>
      <c r="X515" s="2"/>
      <c r="Y515" s="2"/>
      <c r="Z515" s="2"/>
    </row>
    <row r="516" spans="1:26" ht="12.75">
      <c r="A516" s="22"/>
      <c r="B516" s="22"/>
      <c r="C516" s="22"/>
      <c r="D516" s="22"/>
      <c r="E516" s="22"/>
      <c r="F516" s="22"/>
      <c r="G516" s="22"/>
      <c r="H516" s="22"/>
      <c r="I516" s="22"/>
      <c r="J516" s="22"/>
      <c r="K516" s="22"/>
      <c r="L516" s="22"/>
      <c r="M516" s="22"/>
      <c r="N516" s="22"/>
      <c r="O516" s="22"/>
      <c r="P516" s="22"/>
      <c r="Q516" s="22"/>
      <c r="R516" s="22"/>
      <c r="S516" s="22"/>
      <c r="T516" s="22"/>
      <c r="U516" s="2"/>
      <c r="V516" s="2"/>
      <c r="W516" s="2"/>
      <c r="X516" s="2"/>
      <c r="Y516" s="2"/>
      <c r="Z516" s="2"/>
    </row>
    <row r="517" spans="1:26" ht="12.75">
      <c r="A517" s="22"/>
      <c r="B517" s="22"/>
      <c r="C517" s="22"/>
      <c r="D517" s="22"/>
      <c r="E517" s="22"/>
      <c r="F517" s="22"/>
      <c r="G517" s="22"/>
      <c r="H517" s="22"/>
      <c r="I517" s="22"/>
      <c r="J517" s="22"/>
      <c r="K517" s="22"/>
      <c r="L517" s="22"/>
      <c r="M517" s="22"/>
      <c r="N517" s="22"/>
      <c r="O517" s="22"/>
      <c r="P517" s="22"/>
      <c r="Q517" s="22"/>
      <c r="R517" s="22"/>
      <c r="S517" s="22"/>
      <c r="T517" s="22"/>
      <c r="U517" s="2"/>
      <c r="V517" s="2"/>
      <c r="W517" s="2"/>
      <c r="X517" s="2"/>
      <c r="Y517" s="2"/>
      <c r="Z517" s="2"/>
    </row>
    <row r="518" spans="1:26" ht="12.75">
      <c r="A518" s="22"/>
      <c r="B518" s="22"/>
      <c r="C518" s="22"/>
      <c r="D518" s="22"/>
      <c r="E518" s="22"/>
      <c r="F518" s="22"/>
      <c r="G518" s="22"/>
      <c r="H518" s="22"/>
      <c r="I518" s="22"/>
      <c r="J518" s="22"/>
      <c r="K518" s="22"/>
      <c r="L518" s="22"/>
      <c r="M518" s="22"/>
      <c r="N518" s="22"/>
      <c r="O518" s="22"/>
      <c r="P518" s="22"/>
      <c r="Q518" s="22"/>
      <c r="R518" s="22"/>
      <c r="S518" s="22"/>
      <c r="T518" s="22"/>
      <c r="U518" s="2"/>
      <c r="V518" s="2"/>
      <c r="W518" s="2"/>
      <c r="X518" s="2"/>
      <c r="Y518" s="2"/>
      <c r="Z518" s="2"/>
    </row>
    <row r="519" spans="1:26" ht="12.75">
      <c r="A519" s="22"/>
      <c r="B519" s="22"/>
      <c r="C519" s="22"/>
      <c r="D519" s="22"/>
      <c r="E519" s="22"/>
      <c r="F519" s="22"/>
      <c r="G519" s="22"/>
      <c r="H519" s="22"/>
      <c r="I519" s="22"/>
      <c r="J519" s="22"/>
      <c r="K519" s="22"/>
      <c r="L519" s="22"/>
      <c r="M519" s="22"/>
      <c r="N519" s="22"/>
      <c r="O519" s="22"/>
      <c r="P519" s="22"/>
      <c r="Q519" s="22"/>
      <c r="R519" s="22"/>
      <c r="S519" s="22"/>
      <c r="T519" s="22"/>
      <c r="U519" s="2"/>
      <c r="V519" s="2"/>
      <c r="W519" s="2"/>
      <c r="X519" s="2"/>
      <c r="Y519" s="2"/>
      <c r="Z519" s="2"/>
    </row>
    <row r="520" spans="1:26" ht="12.75">
      <c r="A520" s="22"/>
      <c r="B520" s="22"/>
      <c r="C520" s="22"/>
      <c r="D520" s="22"/>
      <c r="E520" s="22"/>
      <c r="F520" s="22"/>
      <c r="G520" s="22"/>
      <c r="H520" s="22"/>
      <c r="I520" s="22"/>
      <c r="J520" s="22"/>
      <c r="K520" s="22"/>
      <c r="L520" s="22"/>
      <c r="M520" s="22"/>
      <c r="N520" s="22"/>
      <c r="O520" s="22"/>
      <c r="P520" s="22"/>
      <c r="Q520" s="22"/>
      <c r="R520" s="22"/>
      <c r="S520" s="22"/>
      <c r="T520" s="22"/>
      <c r="U520" s="2"/>
      <c r="V520" s="2"/>
      <c r="W520" s="2"/>
      <c r="X520" s="2"/>
      <c r="Y520" s="2"/>
      <c r="Z520" s="2"/>
    </row>
    <row r="521" spans="1:26" ht="12.75">
      <c r="A521" s="22"/>
      <c r="B521" s="22"/>
      <c r="C521" s="22"/>
      <c r="D521" s="22"/>
      <c r="E521" s="22"/>
      <c r="F521" s="22"/>
      <c r="G521" s="22"/>
      <c r="H521" s="22"/>
      <c r="I521" s="22"/>
      <c r="J521" s="22"/>
      <c r="K521" s="22"/>
      <c r="L521" s="22"/>
      <c r="M521" s="22"/>
      <c r="N521" s="22"/>
      <c r="O521" s="22"/>
      <c r="P521" s="22"/>
      <c r="Q521" s="22"/>
      <c r="R521" s="22"/>
      <c r="S521" s="22"/>
      <c r="T521" s="22"/>
      <c r="U521" s="2"/>
      <c r="V521" s="2"/>
      <c r="W521" s="2"/>
      <c r="X521" s="2"/>
      <c r="Y521" s="2"/>
      <c r="Z521" s="2"/>
    </row>
    <row r="522" spans="1:26" ht="12.75">
      <c r="A522" s="22"/>
      <c r="B522" s="22"/>
      <c r="C522" s="22"/>
      <c r="D522" s="22"/>
      <c r="E522" s="22"/>
      <c r="F522" s="22"/>
      <c r="G522" s="22"/>
      <c r="H522" s="22"/>
      <c r="I522" s="22"/>
      <c r="J522" s="22"/>
      <c r="K522" s="22"/>
      <c r="L522" s="22"/>
      <c r="M522" s="22"/>
      <c r="N522" s="22"/>
      <c r="O522" s="22"/>
      <c r="P522" s="22"/>
      <c r="Q522" s="22"/>
      <c r="R522" s="22"/>
      <c r="S522" s="22"/>
      <c r="T522" s="22"/>
      <c r="U522" s="2"/>
      <c r="V522" s="2"/>
      <c r="W522" s="2"/>
      <c r="X522" s="2"/>
      <c r="Y522" s="2"/>
      <c r="Z522" s="2"/>
    </row>
    <row r="523" spans="1:26" ht="12.75">
      <c r="A523" s="22"/>
      <c r="B523" s="22"/>
      <c r="C523" s="22"/>
      <c r="D523" s="22"/>
      <c r="E523" s="22"/>
      <c r="F523" s="22"/>
      <c r="G523" s="22"/>
      <c r="H523" s="22"/>
      <c r="I523" s="22"/>
      <c r="J523" s="22"/>
      <c r="K523" s="22"/>
      <c r="L523" s="22"/>
      <c r="M523" s="22"/>
      <c r="N523" s="22"/>
      <c r="O523" s="22"/>
      <c r="P523" s="22"/>
      <c r="Q523" s="22"/>
      <c r="R523" s="22"/>
      <c r="S523" s="22"/>
      <c r="T523" s="22"/>
      <c r="U523" s="2"/>
      <c r="V523" s="2"/>
      <c r="W523" s="2"/>
      <c r="X523" s="2"/>
      <c r="Y523" s="2"/>
      <c r="Z523" s="2"/>
    </row>
    <row r="524" spans="1:26" ht="12.75">
      <c r="A524" s="22"/>
      <c r="B524" s="22"/>
      <c r="C524" s="22"/>
      <c r="D524" s="22"/>
      <c r="E524" s="22"/>
      <c r="F524" s="22"/>
      <c r="G524" s="22"/>
      <c r="H524" s="22"/>
      <c r="I524" s="22"/>
      <c r="J524" s="22"/>
      <c r="K524" s="22"/>
      <c r="L524" s="22"/>
      <c r="M524" s="22"/>
      <c r="N524" s="22"/>
      <c r="O524" s="22"/>
      <c r="P524" s="22"/>
      <c r="Q524" s="22"/>
      <c r="R524" s="22"/>
      <c r="S524" s="22"/>
      <c r="T524" s="22"/>
      <c r="U524" s="2"/>
      <c r="V524" s="2"/>
      <c r="W524" s="2"/>
      <c r="X524" s="2"/>
      <c r="Y524" s="2"/>
      <c r="Z524" s="2"/>
    </row>
    <row r="525" spans="1:26" ht="12.75">
      <c r="A525" s="22"/>
      <c r="B525" s="22"/>
      <c r="C525" s="22"/>
      <c r="D525" s="22"/>
      <c r="E525" s="22"/>
      <c r="F525" s="22"/>
      <c r="G525" s="22"/>
      <c r="H525" s="22"/>
      <c r="I525" s="22"/>
      <c r="J525" s="22"/>
      <c r="K525" s="22"/>
      <c r="L525" s="22"/>
      <c r="M525" s="22"/>
      <c r="N525" s="22"/>
      <c r="O525" s="22"/>
      <c r="P525" s="22"/>
      <c r="Q525" s="22"/>
      <c r="R525" s="22"/>
      <c r="S525" s="22"/>
      <c r="T525" s="22"/>
      <c r="U525" s="2"/>
      <c r="V525" s="2"/>
      <c r="W525" s="2"/>
      <c r="X525" s="2"/>
      <c r="Y525" s="2"/>
      <c r="Z525" s="2"/>
    </row>
    <row r="526" spans="1:26" ht="12.75">
      <c r="A526" s="22"/>
      <c r="B526" s="22"/>
      <c r="C526" s="22"/>
      <c r="D526" s="22"/>
      <c r="E526" s="22"/>
      <c r="F526" s="22"/>
      <c r="G526" s="22"/>
      <c r="H526" s="22"/>
      <c r="I526" s="22"/>
      <c r="J526" s="22"/>
      <c r="K526" s="22"/>
      <c r="L526" s="22"/>
      <c r="M526" s="22"/>
      <c r="N526" s="22"/>
      <c r="O526" s="22"/>
      <c r="P526" s="22"/>
      <c r="Q526" s="22"/>
      <c r="R526" s="22"/>
      <c r="S526" s="22"/>
      <c r="T526" s="22"/>
      <c r="U526" s="2"/>
      <c r="V526" s="2"/>
      <c r="W526" s="2"/>
      <c r="X526" s="2"/>
      <c r="Y526" s="2"/>
      <c r="Z526" s="2"/>
    </row>
    <row r="527" spans="1:26" ht="12.75">
      <c r="A527" s="22"/>
      <c r="B527" s="22"/>
      <c r="C527" s="22"/>
      <c r="D527" s="22"/>
      <c r="E527" s="22"/>
      <c r="F527" s="22"/>
      <c r="G527" s="22"/>
      <c r="H527" s="22"/>
      <c r="I527" s="22"/>
      <c r="J527" s="22"/>
      <c r="K527" s="22"/>
      <c r="L527" s="22"/>
      <c r="M527" s="22"/>
      <c r="N527" s="22"/>
      <c r="O527" s="22"/>
      <c r="P527" s="22"/>
      <c r="Q527" s="22"/>
      <c r="R527" s="22"/>
      <c r="S527" s="22"/>
      <c r="T527" s="22"/>
      <c r="U527" s="2"/>
      <c r="V527" s="2"/>
      <c r="W527" s="2"/>
      <c r="X527" s="2"/>
      <c r="Y527" s="2"/>
      <c r="Z527" s="2"/>
    </row>
    <row r="528" spans="1:26" ht="12.75">
      <c r="A528" s="22"/>
      <c r="B528" s="22"/>
      <c r="C528" s="22"/>
      <c r="D528" s="22"/>
      <c r="E528" s="22"/>
      <c r="F528" s="22"/>
      <c r="G528" s="22"/>
      <c r="H528" s="22"/>
      <c r="I528" s="22"/>
      <c r="J528" s="22"/>
      <c r="K528" s="22"/>
      <c r="L528" s="22"/>
      <c r="M528" s="22"/>
      <c r="N528" s="22"/>
      <c r="O528" s="22"/>
      <c r="P528" s="22"/>
      <c r="Q528" s="22"/>
      <c r="R528" s="22"/>
      <c r="S528" s="22"/>
      <c r="T528" s="22"/>
      <c r="U528" s="2"/>
      <c r="V528" s="2"/>
      <c r="W528" s="2"/>
      <c r="X528" s="2"/>
      <c r="Y528" s="2"/>
      <c r="Z528" s="2"/>
    </row>
    <row r="529" spans="1:26" ht="12.75">
      <c r="A529" s="22"/>
      <c r="B529" s="22"/>
      <c r="C529" s="22"/>
      <c r="D529" s="22"/>
      <c r="E529" s="22"/>
      <c r="F529" s="22"/>
      <c r="G529" s="22"/>
      <c r="H529" s="22"/>
      <c r="I529" s="22"/>
      <c r="J529" s="22"/>
      <c r="K529" s="22"/>
      <c r="L529" s="22"/>
      <c r="M529" s="22"/>
      <c r="N529" s="22"/>
      <c r="O529" s="22"/>
      <c r="P529" s="22"/>
      <c r="Q529" s="22"/>
      <c r="R529" s="22"/>
      <c r="S529" s="22"/>
      <c r="T529" s="22"/>
      <c r="U529" s="2"/>
      <c r="V529" s="2"/>
      <c r="W529" s="2"/>
      <c r="X529" s="2"/>
      <c r="Y529" s="2"/>
      <c r="Z529" s="2"/>
    </row>
    <row r="530" spans="1:26" ht="12.75">
      <c r="A530" s="22"/>
      <c r="B530" s="22"/>
      <c r="C530" s="22"/>
      <c r="D530" s="22"/>
      <c r="E530" s="22"/>
      <c r="F530" s="22"/>
      <c r="G530" s="22"/>
      <c r="H530" s="22"/>
      <c r="I530" s="22"/>
      <c r="J530" s="22"/>
      <c r="K530" s="22"/>
      <c r="L530" s="22"/>
      <c r="M530" s="22"/>
      <c r="N530" s="22"/>
      <c r="O530" s="22"/>
      <c r="P530" s="22"/>
      <c r="Q530" s="22"/>
      <c r="R530" s="22"/>
      <c r="S530" s="22"/>
      <c r="T530" s="22"/>
      <c r="U530" s="2"/>
      <c r="V530" s="2"/>
      <c r="W530" s="2"/>
      <c r="X530" s="2"/>
      <c r="Y530" s="2"/>
      <c r="Z530" s="2"/>
    </row>
    <row r="531" spans="1:26" ht="12.75">
      <c r="A531" s="22"/>
      <c r="B531" s="22"/>
      <c r="C531" s="22"/>
      <c r="D531" s="22"/>
      <c r="E531" s="22"/>
      <c r="F531" s="22"/>
      <c r="G531" s="22"/>
      <c r="H531" s="22"/>
      <c r="I531" s="22"/>
      <c r="J531" s="22"/>
      <c r="K531" s="22"/>
      <c r="L531" s="22"/>
      <c r="M531" s="22"/>
      <c r="N531" s="22"/>
      <c r="O531" s="22"/>
      <c r="P531" s="22"/>
      <c r="Q531" s="22"/>
      <c r="R531" s="22"/>
      <c r="S531" s="22"/>
      <c r="T531" s="22"/>
      <c r="U531" s="2"/>
      <c r="V531" s="2"/>
      <c r="W531" s="2"/>
      <c r="X531" s="2"/>
      <c r="Y531" s="2"/>
      <c r="Z531" s="2"/>
    </row>
    <row r="532" spans="1:26" ht="12.75">
      <c r="A532" s="22"/>
      <c r="B532" s="22"/>
      <c r="C532" s="22"/>
      <c r="D532" s="22"/>
      <c r="E532" s="22"/>
      <c r="F532" s="22"/>
      <c r="G532" s="22"/>
      <c r="H532" s="22"/>
      <c r="I532" s="22"/>
      <c r="J532" s="22"/>
      <c r="K532" s="22"/>
      <c r="L532" s="22"/>
      <c r="M532" s="22"/>
      <c r="N532" s="22"/>
      <c r="O532" s="22"/>
      <c r="P532" s="22"/>
      <c r="Q532" s="22"/>
      <c r="R532" s="22"/>
      <c r="S532" s="22"/>
      <c r="T532" s="22"/>
      <c r="U532" s="2"/>
      <c r="V532" s="2"/>
      <c r="W532" s="2"/>
      <c r="X532" s="2"/>
      <c r="Y532" s="2"/>
      <c r="Z532" s="2"/>
    </row>
    <row r="533" spans="1:26" ht="12.75">
      <c r="A533" s="22"/>
      <c r="B533" s="22"/>
      <c r="C533" s="22"/>
      <c r="D533" s="22"/>
      <c r="E533" s="22"/>
      <c r="F533" s="22"/>
      <c r="G533" s="22"/>
      <c r="H533" s="22"/>
      <c r="I533" s="22"/>
      <c r="J533" s="22"/>
      <c r="K533" s="22"/>
      <c r="L533" s="22"/>
      <c r="M533" s="22"/>
      <c r="N533" s="22"/>
      <c r="O533" s="22"/>
      <c r="P533" s="22"/>
      <c r="Q533" s="22"/>
      <c r="R533" s="22"/>
      <c r="S533" s="22"/>
      <c r="T533" s="22"/>
      <c r="U533" s="2"/>
      <c r="V533" s="2"/>
      <c r="W533" s="2"/>
      <c r="X533" s="2"/>
      <c r="Y533" s="2"/>
      <c r="Z533" s="2"/>
    </row>
    <row r="534" spans="1:26" ht="12.75">
      <c r="A534" s="22"/>
      <c r="B534" s="22"/>
      <c r="C534" s="22"/>
      <c r="D534" s="22"/>
      <c r="E534" s="22"/>
      <c r="F534" s="22"/>
      <c r="G534" s="22"/>
      <c r="H534" s="22"/>
      <c r="I534" s="22"/>
      <c r="J534" s="22"/>
      <c r="K534" s="22"/>
      <c r="L534" s="22"/>
      <c r="M534" s="22"/>
      <c r="N534" s="22"/>
      <c r="O534" s="22"/>
      <c r="P534" s="22"/>
      <c r="Q534" s="22"/>
      <c r="R534" s="22"/>
      <c r="S534" s="22"/>
      <c r="T534" s="22"/>
      <c r="U534" s="2"/>
      <c r="V534" s="2"/>
      <c r="W534" s="2"/>
      <c r="X534" s="2"/>
      <c r="Y534" s="2"/>
      <c r="Z534" s="2"/>
    </row>
    <row r="535" spans="1:26" ht="12.75">
      <c r="A535" s="22"/>
      <c r="B535" s="22"/>
      <c r="C535" s="22"/>
      <c r="D535" s="22"/>
      <c r="E535" s="22"/>
      <c r="F535" s="22"/>
      <c r="G535" s="22"/>
      <c r="H535" s="22"/>
      <c r="I535" s="22"/>
      <c r="J535" s="22"/>
      <c r="K535" s="22"/>
      <c r="L535" s="22"/>
      <c r="M535" s="22"/>
      <c r="N535" s="22"/>
      <c r="O535" s="22"/>
      <c r="P535" s="22"/>
      <c r="Q535" s="22"/>
      <c r="R535" s="22"/>
      <c r="S535" s="22"/>
      <c r="T535" s="22"/>
      <c r="U535" s="2"/>
      <c r="V535" s="2"/>
      <c r="W535" s="2"/>
      <c r="X535" s="2"/>
      <c r="Y535" s="2"/>
      <c r="Z535" s="2"/>
    </row>
    <row r="536" spans="1:26" ht="12.75">
      <c r="A536" s="22"/>
      <c r="B536" s="22"/>
      <c r="C536" s="22"/>
      <c r="D536" s="22"/>
      <c r="E536" s="22"/>
      <c r="F536" s="22"/>
      <c r="G536" s="22"/>
      <c r="H536" s="22"/>
      <c r="I536" s="22"/>
      <c r="J536" s="22"/>
      <c r="K536" s="22"/>
      <c r="L536" s="22"/>
      <c r="M536" s="22"/>
      <c r="N536" s="22"/>
      <c r="O536" s="22"/>
      <c r="P536" s="22"/>
      <c r="Q536" s="22"/>
      <c r="R536" s="22"/>
      <c r="S536" s="22"/>
      <c r="T536" s="22"/>
      <c r="U536" s="2"/>
      <c r="V536" s="2"/>
      <c r="W536" s="2"/>
      <c r="X536" s="2"/>
      <c r="Y536" s="2"/>
      <c r="Z536" s="2"/>
    </row>
    <row r="537" spans="1:26" ht="12.75">
      <c r="A537" s="22"/>
      <c r="B537" s="22"/>
      <c r="C537" s="22"/>
      <c r="D537" s="22"/>
      <c r="E537" s="22"/>
      <c r="F537" s="22"/>
      <c r="G537" s="22"/>
      <c r="H537" s="22"/>
      <c r="I537" s="22"/>
      <c r="J537" s="22"/>
      <c r="K537" s="22"/>
      <c r="L537" s="22"/>
      <c r="M537" s="22"/>
      <c r="N537" s="22"/>
      <c r="O537" s="22"/>
      <c r="P537" s="22"/>
      <c r="Q537" s="22"/>
      <c r="R537" s="22"/>
      <c r="S537" s="22"/>
      <c r="T537" s="22"/>
      <c r="U537" s="2"/>
      <c r="V537" s="2"/>
      <c r="W537" s="2"/>
      <c r="X537" s="2"/>
      <c r="Y537" s="2"/>
      <c r="Z537" s="2"/>
    </row>
    <row r="538" spans="1:26" ht="12.75">
      <c r="A538" s="22"/>
      <c r="B538" s="22"/>
      <c r="C538" s="22"/>
      <c r="D538" s="22"/>
      <c r="E538" s="22"/>
      <c r="F538" s="22"/>
      <c r="G538" s="22"/>
      <c r="H538" s="22"/>
      <c r="I538" s="22"/>
      <c r="J538" s="22"/>
      <c r="K538" s="22"/>
      <c r="L538" s="22"/>
      <c r="M538" s="22"/>
      <c r="N538" s="22"/>
      <c r="O538" s="22"/>
      <c r="P538" s="22"/>
      <c r="Q538" s="22"/>
      <c r="R538" s="22"/>
      <c r="S538" s="22"/>
      <c r="T538" s="22"/>
      <c r="U538" s="2"/>
      <c r="V538" s="2"/>
      <c r="W538" s="2"/>
      <c r="X538" s="2"/>
      <c r="Y538" s="2"/>
      <c r="Z538" s="2"/>
    </row>
    <row r="539" spans="1:26" ht="12.75">
      <c r="A539" s="22"/>
      <c r="B539" s="22"/>
      <c r="C539" s="22"/>
      <c r="D539" s="22"/>
      <c r="E539" s="22"/>
      <c r="F539" s="22"/>
      <c r="G539" s="22"/>
      <c r="H539" s="22"/>
      <c r="I539" s="22"/>
      <c r="J539" s="22"/>
      <c r="K539" s="22"/>
      <c r="L539" s="22"/>
      <c r="M539" s="22"/>
      <c r="N539" s="22"/>
      <c r="O539" s="22"/>
      <c r="P539" s="22"/>
      <c r="Q539" s="22"/>
      <c r="R539" s="22"/>
      <c r="S539" s="22"/>
      <c r="T539" s="22"/>
      <c r="U539" s="2"/>
      <c r="V539" s="2"/>
      <c r="W539" s="2"/>
      <c r="X539" s="2"/>
      <c r="Y539" s="2"/>
      <c r="Z539" s="2"/>
    </row>
    <row r="540" spans="1:26" ht="12.75">
      <c r="A540" s="22"/>
      <c r="B540" s="22"/>
      <c r="C540" s="22"/>
      <c r="D540" s="22"/>
      <c r="E540" s="22"/>
      <c r="F540" s="22"/>
      <c r="G540" s="22"/>
      <c r="H540" s="22"/>
      <c r="I540" s="22"/>
      <c r="J540" s="22"/>
      <c r="K540" s="22"/>
      <c r="L540" s="22"/>
      <c r="M540" s="22"/>
      <c r="N540" s="22"/>
      <c r="O540" s="22"/>
      <c r="P540" s="22"/>
      <c r="Q540" s="22"/>
      <c r="R540" s="22"/>
      <c r="S540" s="22"/>
      <c r="T540" s="22"/>
      <c r="U540" s="2"/>
      <c r="V540" s="2"/>
      <c r="W540" s="2"/>
      <c r="X540" s="2"/>
      <c r="Y540" s="2"/>
      <c r="Z540" s="2"/>
    </row>
    <row r="541" spans="1:26" ht="12.75">
      <c r="A541" s="22"/>
      <c r="B541" s="22"/>
      <c r="C541" s="22"/>
      <c r="D541" s="22"/>
      <c r="E541" s="22"/>
      <c r="F541" s="22"/>
      <c r="G541" s="22"/>
      <c r="H541" s="22"/>
      <c r="I541" s="22"/>
      <c r="J541" s="22"/>
      <c r="K541" s="22"/>
      <c r="L541" s="22"/>
      <c r="M541" s="22"/>
      <c r="N541" s="22"/>
      <c r="O541" s="22"/>
      <c r="P541" s="22"/>
      <c r="Q541" s="22"/>
      <c r="R541" s="22"/>
      <c r="S541" s="22"/>
      <c r="T541" s="22"/>
      <c r="U541" s="2"/>
      <c r="V541" s="2"/>
      <c r="W541" s="2"/>
      <c r="X541" s="2"/>
      <c r="Y541" s="2"/>
      <c r="Z541" s="2"/>
    </row>
    <row r="542" spans="1:26" ht="12.75">
      <c r="A542" s="22"/>
      <c r="B542" s="22"/>
      <c r="C542" s="22"/>
      <c r="D542" s="22"/>
      <c r="E542" s="22"/>
      <c r="F542" s="22"/>
      <c r="G542" s="22"/>
      <c r="H542" s="22"/>
      <c r="I542" s="22"/>
      <c r="J542" s="22"/>
      <c r="K542" s="22"/>
      <c r="L542" s="22"/>
      <c r="M542" s="22"/>
      <c r="N542" s="22"/>
      <c r="O542" s="22"/>
      <c r="P542" s="22"/>
      <c r="Q542" s="22"/>
      <c r="R542" s="22"/>
      <c r="S542" s="22"/>
      <c r="T542" s="22"/>
      <c r="U542" s="2"/>
      <c r="V542" s="2"/>
      <c r="W542" s="2"/>
      <c r="X542" s="2"/>
      <c r="Y542" s="2"/>
      <c r="Z542" s="2"/>
    </row>
    <row r="543" spans="1:26" ht="12.75">
      <c r="A543" s="22"/>
      <c r="B543" s="22"/>
      <c r="C543" s="22"/>
      <c r="D543" s="22"/>
      <c r="E543" s="22"/>
      <c r="F543" s="22"/>
      <c r="G543" s="22"/>
      <c r="H543" s="22"/>
      <c r="I543" s="22"/>
      <c r="J543" s="22"/>
      <c r="K543" s="22"/>
      <c r="L543" s="22"/>
      <c r="M543" s="22"/>
      <c r="N543" s="22"/>
      <c r="O543" s="22"/>
      <c r="P543" s="22"/>
      <c r="Q543" s="22"/>
      <c r="R543" s="22"/>
      <c r="S543" s="22"/>
      <c r="T543" s="22"/>
      <c r="U543" s="2"/>
      <c r="V543" s="2"/>
      <c r="W543" s="2"/>
      <c r="X543" s="2"/>
      <c r="Y543" s="2"/>
      <c r="Z543" s="2"/>
    </row>
    <row r="544" spans="1:26" ht="12.75">
      <c r="A544" s="22"/>
      <c r="B544" s="22"/>
      <c r="C544" s="22"/>
      <c r="D544" s="22"/>
      <c r="E544" s="22"/>
      <c r="F544" s="22"/>
      <c r="G544" s="22"/>
      <c r="H544" s="22"/>
      <c r="I544" s="22"/>
      <c r="J544" s="22"/>
      <c r="K544" s="22"/>
      <c r="L544" s="22"/>
      <c r="M544" s="22"/>
      <c r="N544" s="22"/>
      <c r="O544" s="22"/>
      <c r="P544" s="22"/>
      <c r="Q544" s="22"/>
      <c r="R544" s="22"/>
      <c r="S544" s="22"/>
      <c r="T544" s="22"/>
      <c r="U544" s="2"/>
      <c r="V544" s="2"/>
      <c r="W544" s="2"/>
      <c r="X544" s="2"/>
      <c r="Y544" s="2"/>
      <c r="Z544" s="2"/>
    </row>
    <row r="545" spans="1:26" ht="12.75">
      <c r="A545" s="22"/>
      <c r="B545" s="22"/>
      <c r="C545" s="22"/>
      <c r="D545" s="22"/>
      <c r="E545" s="22"/>
      <c r="F545" s="22"/>
      <c r="G545" s="22"/>
      <c r="H545" s="22"/>
      <c r="I545" s="22"/>
      <c r="J545" s="22"/>
      <c r="K545" s="22"/>
      <c r="L545" s="22"/>
      <c r="M545" s="22"/>
      <c r="N545" s="22"/>
      <c r="O545" s="22"/>
      <c r="P545" s="22"/>
      <c r="Q545" s="22"/>
      <c r="R545" s="22"/>
      <c r="S545" s="22"/>
      <c r="T545" s="22"/>
      <c r="U545" s="2"/>
      <c r="V545" s="2"/>
      <c r="W545" s="2"/>
      <c r="X545" s="2"/>
      <c r="Y545" s="2"/>
      <c r="Z545" s="2"/>
    </row>
    <row r="546" spans="1:26" ht="12.75">
      <c r="A546" s="22"/>
      <c r="B546" s="22"/>
      <c r="C546" s="22"/>
      <c r="D546" s="22"/>
      <c r="E546" s="22"/>
      <c r="F546" s="22"/>
      <c r="G546" s="22"/>
      <c r="H546" s="22"/>
      <c r="I546" s="22"/>
      <c r="J546" s="22"/>
      <c r="K546" s="22"/>
      <c r="L546" s="22"/>
      <c r="M546" s="22"/>
      <c r="N546" s="22"/>
      <c r="O546" s="22"/>
      <c r="P546" s="22"/>
      <c r="Q546" s="22"/>
      <c r="R546" s="22"/>
      <c r="S546" s="22"/>
      <c r="T546" s="22"/>
      <c r="U546" s="2"/>
      <c r="V546" s="2"/>
      <c r="W546" s="2"/>
      <c r="X546" s="2"/>
      <c r="Y546" s="2"/>
      <c r="Z546" s="2"/>
    </row>
    <row r="547" spans="1:26" ht="12.75">
      <c r="A547" s="22"/>
      <c r="B547" s="22"/>
      <c r="C547" s="22"/>
      <c r="D547" s="22"/>
      <c r="E547" s="22"/>
      <c r="F547" s="22"/>
      <c r="G547" s="22"/>
      <c r="H547" s="22"/>
      <c r="I547" s="22"/>
      <c r="J547" s="22"/>
      <c r="K547" s="22"/>
      <c r="L547" s="22"/>
      <c r="M547" s="22"/>
      <c r="N547" s="22"/>
      <c r="O547" s="22"/>
      <c r="P547" s="22"/>
      <c r="Q547" s="22"/>
      <c r="R547" s="22"/>
      <c r="S547" s="22"/>
      <c r="T547" s="22"/>
      <c r="U547" s="2"/>
      <c r="V547" s="2"/>
      <c r="W547" s="2"/>
      <c r="X547" s="2"/>
      <c r="Y547" s="2"/>
      <c r="Z547" s="2"/>
    </row>
    <row r="548" spans="1:26" ht="12.75">
      <c r="A548" s="22"/>
      <c r="B548" s="22"/>
      <c r="C548" s="22"/>
      <c r="D548" s="22"/>
      <c r="E548" s="22"/>
      <c r="F548" s="22"/>
      <c r="G548" s="22"/>
      <c r="H548" s="22"/>
      <c r="I548" s="22"/>
      <c r="J548" s="22"/>
      <c r="K548" s="22"/>
      <c r="L548" s="22"/>
      <c r="M548" s="22"/>
      <c r="N548" s="22"/>
      <c r="O548" s="22"/>
      <c r="P548" s="22"/>
      <c r="Q548" s="22"/>
      <c r="R548" s="22"/>
      <c r="S548" s="22"/>
      <c r="T548" s="22"/>
      <c r="U548" s="2"/>
      <c r="V548" s="2"/>
      <c r="W548" s="2"/>
      <c r="X548" s="2"/>
      <c r="Y548" s="2"/>
      <c r="Z548" s="2"/>
    </row>
    <row r="549" spans="1:26" ht="12.75">
      <c r="A549" s="22"/>
      <c r="B549" s="22"/>
      <c r="C549" s="22"/>
      <c r="D549" s="22"/>
      <c r="E549" s="22"/>
      <c r="F549" s="22"/>
      <c r="G549" s="22"/>
      <c r="H549" s="22"/>
      <c r="I549" s="22"/>
      <c r="J549" s="22"/>
      <c r="K549" s="22"/>
      <c r="L549" s="22"/>
      <c r="M549" s="22"/>
      <c r="N549" s="22"/>
      <c r="O549" s="22"/>
      <c r="P549" s="22"/>
      <c r="Q549" s="22"/>
      <c r="R549" s="22"/>
      <c r="S549" s="22"/>
      <c r="T549" s="22"/>
      <c r="U549" s="2"/>
      <c r="V549" s="2"/>
      <c r="W549" s="2"/>
      <c r="X549" s="2"/>
      <c r="Y549" s="2"/>
      <c r="Z549" s="2"/>
    </row>
    <row r="550" spans="1:26" ht="12.75">
      <c r="A550" s="22"/>
      <c r="B550" s="22"/>
      <c r="C550" s="22"/>
      <c r="D550" s="22"/>
      <c r="E550" s="22"/>
      <c r="F550" s="22"/>
      <c r="G550" s="22"/>
      <c r="H550" s="22"/>
      <c r="I550" s="22"/>
      <c r="J550" s="22"/>
      <c r="K550" s="22"/>
      <c r="L550" s="22"/>
      <c r="M550" s="22"/>
      <c r="N550" s="22"/>
      <c r="O550" s="22"/>
      <c r="P550" s="22"/>
      <c r="Q550" s="22"/>
      <c r="R550" s="22"/>
      <c r="S550" s="22"/>
      <c r="T550" s="22"/>
      <c r="U550" s="2"/>
      <c r="V550" s="2"/>
      <c r="W550" s="2"/>
      <c r="X550" s="2"/>
      <c r="Y550" s="2"/>
      <c r="Z550" s="2"/>
    </row>
    <row r="551" spans="1:26" ht="12.75">
      <c r="A551" s="22"/>
      <c r="B551" s="22"/>
      <c r="C551" s="22"/>
      <c r="D551" s="22"/>
      <c r="E551" s="22"/>
      <c r="F551" s="22"/>
      <c r="G551" s="22"/>
      <c r="H551" s="22"/>
      <c r="I551" s="22"/>
      <c r="J551" s="22"/>
      <c r="K551" s="22"/>
      <c r="L551" s="22"/>
      <c r="M551" s="22"/>
      <c r="N551" s="22"/>
      <c r="O551" s="22"/>
      <c r="P551" s="22"/>
      <c r="Q551" s="22"/>
      <c r="R551" s="22"/>
      <c r="S551" s="22"/>
      <c r="T551" s="22"/>
      <c r="U551" s="2"/>
      <c r="V551" s="2"/>
      <c r="W551" s="2"/>
      <c r="X551" s="2"/>
      <c r="Y551" s="2"/>
      <c r="Z551" s="2"/>
    </row>
    <row r="552" spans="1:26" ht="12.75">
      <c r="A552" s="22"/>
      <c r="B552" s="22"/>
      <c r="C552" s="22"/>
      <c r="D552" s="22"/>
      <c r="E552" s="22"/>
      <c r="F552" s="22"/>
      <c r="G552" s="22"/>
      <c r="H552" s="22"/>
      <c r="I552" s="22"/>
      <c r="J552" s="22"/>
      <c r="K552" s="22"/>
      <c r="L552" s="22"/>
      <c r="M552" s="22"/>
      <c r="N552" s="22"/>
      <c r="O552" s="22"/>
      <c r="P552" s="22"/>
      <c r="Q552" s="22"/>
      <c r="R552" s="22"/>
      <c r="S552" s="22"/>
      <c r="T552" s="22"/>
      <c r="U552" s="2"/>
      <c r="V552" s="2"/>
      <c r="W552" s="2"/>
      <c r="X552" s="2"/>
      <c r="Y552" s="2"/>
      <c r="Z552" s="2"/>
    </row>
    <row r="553" spans="1:26" ht="12.75">
      <c r="A553" s="22"/>
      <c r="B553" s="22"/>
      <c r="C553" s="22"/>
      <c r="D553" s="22"/>
      <c r="E553" s="22"/>
      <c r="F553" s="22"/>
      <c r="G553" s="22"/>
      <c r="H553" s="22"/>
      <c r="I553" s="22"/>
      <c r="J553" s="22"/>
      <c r="K553" s="22"/>
      <c r="L553" s="22"/>
      <c r="M553" s="22"/>
      <c r="N553" s="22"/>
      <c r="O553" s="22"/>
      <c r="P553" s="22"/>
      <c r="Q553" s="22"/>
      <c r="R553" s="22"/>
      <c r="S553" s="22"/>
      <c r="T553" s="22"/>
      <c r="U553" s="2"/>
      <c r="V553" s="2"/>
      <c r="W553" s="2"/>
      <c r="X553" s="2"/>
      <c r="Y553" s="2"/>
      <c r="Z553" s="2"/>
    </row>
    <row r="554" spans="1:26" ht="12.75">
      <c r="A554" s="22"/>
      <c r="B554" s="22"/>
      <c r="C554" s="22"/>
      <c r="D554" s="22"/>
      <c r="E554" s="22"/>
      <c r="F554" s="22"/>
      <c r="G554" s="22"/>
      <c r="H554" s="22"/>
      <c r="I554" s="22"/>
      <c r="J554" s="22"/>
      <c r="K554" s="22"/>
      <c r="L554" s="22"/>
      <c r="M554" s="22"/>
      <c r="N554" s="22"/>
      <c r="O554" s="22"/>
      <c r="P554" s="22"/>
      <c r="Q554" s="22"/>
      <c r="R554" s="22"/>
      <c r="S554" s="22"/>
      <c r="T554" s="22"/>
      <c r="U554" s="2"/>
      <c r="V554" s="2"/>
      <c r="W554" s="2"/>
      <c r="X554" s="2"/>
      <c r="Y554" s="2"/>
      <c r="Z554" s="2"/>
    </row>
    <row r="555" spans="1:26" ht="12.75">
      <c r="A555" s="22"/>
      <c r="B555" s="22"/>
      <c r="C555" s="22"/>
      <c r="D555" s="22"/>
      <c r="E555" s="22"/>
      <c r="F555" s="22"/>
      <c r="G555" s="22"/>
      <c r="H555" s="22"/>
      <c r="I555" s="22"/>
      <c r="J555" s="22"/>
      <c r="K555" s="22"/>
      <c r="L555" s="22"/>
      <c r="M555" s="22"/>
      <c r="N555" s="22"/>
      <c r="O555" s="22"/>
      <c r="P555" s="22"/>
      <c r="Q555" s="22"/>
      <c r="R555" s="22"/>
      <c r="S555" s="22"/>
      <c r="T555" s="22"/>
      <c r="U555" s="2"/>
      <c r="V555" s="2"/>
      <c r="W555" s="2"/>
      <c r="X555" s="2"/>
      <c r="Y555" s="2"/>
      <c r="Z555" s="2"/>
    </row>
    <row r="556" spans="1:26" ht="12.75">
      <c r="A556" s="22"/>
      <c r="B556" s="22"/>
      <c r="C556" s="22"/>
      <c r="D556" s="22"/>
      <c r="E556" s="22"/>
      <c r="F556" s="22"/>
      <c r="G556" s="22"/>
      <c r="H556" s="22"/>
      <c r="I556" s="22"/>
      <c r="J556" s="22"/>
      <c r="K556" s="22"/>
      <c r="L556" s="22"/>
      <c r="M556" s="22"/>
      <c r="N556" s="22"/>
      <c r="O556" s="22"/>
      <c r="P556" s="22"/>
      <c r="Q556" s="22"/>
      <c r="R556" s="22"/>
      <c r="S556" s="22"/>
      <c r="T556" s="22"/>
      <c r="U556" s="2"/>
      <c r="V556" s="2"/>
      <c r="W556" s="2"/>
      <c r="X556" s="2"/>
      <c r="Y556" s="2"/>
      <c r="Z556" s="2"/>
    </row>
    <row r="557" spans="1:26" ht="12.75">
      <c r="A557" s="22"/>
      <c r="B557" s="22"/>
      <c r="C557" s="22"/>
      <c r="D557" s="22"/>
      <c r="E557" s="22"/>
      <c r="F557" s="22"/>
      <c r="G557" s="22"/>
      <c r="H557" s="22"/>
      <c r="I557" s="22"/>
      <c r="J557" s="22"/>
      <c r="K557" s="22"/>
      <c r="L557" s="22"/>
      <c r="M557" s="22"/>
      <c r="N557" s="22"/>
      <c r="O557" s="22"/>
      <c r="P557" s="22"/>
      <c r="Q557" s="22"/>
      <c r="R557" s="22"/>
      <c r="S557" s="22"/>
      <c r="T557" s="22"/>
      <c r="U557" s="2"/>
      <c r="V557" s="2"/>
      <c r="W557" s="2"/>
      <c r="X557" s="2"/>
      <c r="Y557" s="2"/>
      <c r="Z557" s="2"/>
    </row>
    <row r="558" spans="1:26" ht="12.75">
      <c r="A558" s="22"/>
      <c r="B558" s="22"/>
      <c r="C558" s="22"/>
      <c r="D558" s="22"/>
      <c r="E558" s="22"/>
      <c r="F558" s="22"/>
      <c r="G558" s="22"/>
      <c r="H558" s="22"/>
      <c r="I558" s="22"/>
      <c r="J558" s="22"/>
      <c r="K558" s="22"/>
      <c r="L558" s="22"/>
      <c r="M558" s="22"/>
      <c r="N558" s="22"/>
      <c r="O558" s="22"/>
      <c r="P558" s="22"/>
      <c r="Q558" s="22"/>
      <c r="R558" s="22"/>
      <c r="S558" s="22"/>
      <c r="T558" s="22"/>
      <c r="U558" s="2"/>
      <c r="V558" s="2"/>
      <c r="W558" s="2"/>
      <c r="X558" s="2"/>
      <c r="Y558" s="2"/>
      <c r="Z558" s="2"/>
    </row>
    <row r="559" spans="1:26" ht="12.75">
      <c r="A559" s="22"/>
      <c r="B559" s="22"/>
      <c r="C559" s="22"/>
      <c r="D559" s="22"/>
      <c r="E559" s="22"/>
      <c r="F559" s="22"/>
      <c r="G559" s="22"/>
      <c r="H559" s="22"/>
      <c r="I559" s="22"/>
      <c r="J559" s="22"/>
      <c r="K559" s="22"/>
      <c r="L559" s="22"/>
      <c r="M559" s="22"/>
      <c r="N559" s="22"/>
      <c r="O559" s="22"/>
      <c r="P559" s="22"/>
      <c r="Q559" s="22"/>
      <c r="R559" s="22"/>
      <c r="S559" s="22"/>
      <c r="T559" s="22"/>
      <c r="U559" s="2"/>
      <c r="V559" s="2"/>
      <c r="W559" s="2"/>
      <c r="X559" s="2"/>
      <c r="Y559" s="2"/>
      <c r="Z559" s="2"/>
    </row>
    <row r="560" spans="1:26" ht="12.75">
      <c r="A560" s="22"/>
      <c r="B560" s="22"/>
      <c r="C560" s="22"/>
      <c r="D560" s="22"/>
      <c r="E560" s="22"/>
      <c r="F560" s="22"/>
      <c r="G560" s="22"/>
      <c r="H560" s="22"/>
      <c r="I560" s="22"/>
      <c r="J560" s="22"/>
      <c r="K560" s="22"/>
      <c r="L560" s="22"/>
      <c r="M560" s="22"/>
      <c r="N560" s="22"/>
      <c r="O560" s="22"/>
      <c r="P560" s="22"/>
      <c r="Q560" s="22"/>
      <c r="R560" s="22"/>
      <c r="S560" s="22"/>
      <c r="T560" s="22"/>
      <c r="U560" s="2"/>
      <c r="V560" s="2"/>
      <c r="W560" s="2"/>
      <c r="X560" s="2"/>
      <c r="Y560" s="2"/>
      <c r="Z560" s="2"/>
    </row>
    <row r="561" spans="1:26" ht="12.75">
      <c r="A561" s="22"/>
      <c r="B561" s="22"/>
      <c r="C561" s="22"/>
      <c r="D561" s="22"/>
      <c r="E561" s="22"/>
      <c r="F561" s="22"/>
      <c r="G561" s="22"/>
      <c r="H561" s="22"/>
      <c r="I561" s="22"/>
      <c r="J561" s="22"/>
      <c r="K561" s="22"/>
      <c r="L561" s="22"/>
      <c r="M561" s="22"/>
      <c r="N561" s="22"/>
      <c r="O561" s="22"/>
      <c r="P561" s="22"/>
      <c r="Q561" s="22"/>
      <c r="R561" s="22"/>
      <c r="S561" s="22"/>
      <c r="T561" s="22"/>
      <c r="U561" s="2"/>
      <c r="V561" s="2"/>
      <c r="W561" s="2"/>
      <c r="X561" s="2"/>
      <c r="Y561" s="2"/>
      <c r="Z561" s="2"/>
    </row>
    <row r="562" spans="1:26" ht="12.75">
      <c r="A562" s="22"/>
      <c r="B562" s="22"/>
      <c r="C562" s="22"/>
      <c r="D562" s="22"/>
      <c r="E562" s="22"/>
      <c r="F562" s="22"/>
      <c r="G562" s="22"/>
      <c r="H562" s="22"/>
      <c r="I562" s="22"/>
      <c r="J562" s="22"/>
      <c r="K562" s="22"/>
      <c r="L562" s="22"/>
      <c r="M562" s="22"/>
      <c r="N562" s="22"/>
      <c r="O562" s="22"/>
      <c r="P562" s="22"/>
      <c r="Q562" s="22"/>
      <c r="R562" s="22"/>
      <c r="S562" s="22"/>
      <c r="T562" s="22"/>
      <c r="U562" s="2"/>
      <c r="V562" s="2"/>
      <c r="W562" s="2"/>
      <c r="X562" s="2"/>
      <c r="Y562" s="2"/>
      <c r="Z562" s="2"/>
    </row>
    <row r="563" spans="1:26" ht="12.75">
      <c r="A563" s="22"/>
      <c r="B563" s="22"/>
      <c r="C563" s="22"/>
      <c r="D563" s="22"/>
      <c r="E563" s="22"/>
      <c r="F563" s="22"/>
      <c r="G563" s="22"/>
      <c r="H563" s="22"/>
      <c r="I563" s="22"/>
      <c r="J563" s="22"/>
      <c r="K563" s="22"/>
      <c r="L563" s="22"/>
      <c r="M563" s="22"/>
      <c r="N563" s="22"/>
      <c r="O563" s="22"/>
      <c r="P563" s="22"/>
      <c r="Q563" s="22"/>
      <c r="R563" s="22"/>
      <c r="S563" s="22"/>
      <c r="T563" s="22"/>
      <c r="U563" s="2"/>
      <c r="V563" s="2"/>
      <c r="W563" s="2"/>
      <c r="X563" s="2"/>
      <c r="Y563" s="2"/>
      <c r="Z563" s="2"/>
    </row>
    <row r="564" spans="1:26" ht="12.75">
      <c r="A564" s="22"/>
      <c r="B564" s="22"/>
      <c r="C564" s="22"/>
      <c r="D564" s="22"/>
      <c r="E564" s="22"/>
      <c r="F564" s="22"/>
      <c r="G564" s="22"/>
      <c r="H564" s="22"/>
      <c r="I564" s="22"/>
      <c r="J564" s="22"/>
      <c r="K564" s="22"/>
      <c r="L564" s="22"/>
      <c r="M564" s="22"/>
      <c r="N564" s="22"/>
      <c r="O564" s="22"/>
      <c r="P564" s="22"/>
      <c r="Q564" s="22"/>
      <c r="R564" s="22"/>
      <c r="S564" s="22"/>
      <c r="T564" s="22"/>
      <c r="U564" s="2"/>
      <c r="V564" s="2"/>
      <c r="W564" s="2"/>
      <c r="X564" s="2"/>
      <c r="Y564" s="2"/>
      <c r="Z564" s="2"/>
    </row>
    <row r="565" spans="1:26" ht="12.75">
      <c r="A565" s="22"/>
      <c r="B565" s="22"/>
      <c r="C565" s="22"/>
      <c r="D565" s="22"/>
      <c r="E565" s="22"/>
      <c r="F565" s="22"/>
      <c r="G565" s="22"/>
      <c r="H565" s="22"/>
      <c r="I565" s="22"/>
      <c r="J565" s="22"/>
      <c r="K565" s="22"/>
      <c r="L565" s="22"/>
      <c r="M565" s="22"/>
      <c r="N565" s="22"/>
      <c r="O565" s="22"/>
      <c r="P565" s="22"/>
      <c r="Q565" s="22"/>
      <c r="R565" s="22"/>
      <c r="S565" s="22"/>
      <c r="T565" s="22"/>
      <c r="U565" s="2"/>
      <c r="V565" s="2"/>
      <c r="W565" s="2"/>
      <c r="X565" s="2"/>
      <c r="Y565" s="2"/>
      <c r="Z565" s="2"/>
    </row>
    <row r="566" spans="1:26" ht="12.75">
      <c r="A566" s="22"/>
      <c r="B566" s="22"/>
      <c r="C566" s="22"/>
      <c r="D566" s="22"/>
      <c r="E566" s="22"/>
      <c r="F566" s="22"/>
      <c r="G566" s="22"/>
      <c r="H566" s="22"/>
      <c r="I566" s="22"/>
      <c r="J566" s="22"/>
      <c r="K566" s="22"/>
      <c r="L566" s="22"/>
      <c r="M566" s="22"/>
      <c r="N566" s="22"/>
      <c r="O566" s="22"/>
      <c r="P566" s="22"/>
      <c r="Q566" s="22"/>
      <c r="R566" s="22"/>
      <c r="S566" s="22"/>
      <c r="T566" s="22"/>
      <c r="U566" s="2"/>
      <c r="V566" s="2"/>
      <c r="W566" s="2"/>
      <c r="X566" s="2"/>
      <c r="Y566" s="2"/>
      <c r="Z566" s="2"/>
    </row>
    <row r="567" spans="1:26" ht="12.75">
      <c r="A567" s="22"/>
      <c r="B567" s="22"/>
      <c r="C567" s="22"/>
      <c r="D567" s="22"/>
      <c r="E567" s="22"/>
      <c r="F567" s="22"/>
      <c r="G567" s="22"/>
      <c r="H567" s="22"/>
      <c r="I567" s="22"/>
      <c r="J567" s="22"/>
      <c r="K567" s="22"/>
      <c r="L567" s="22"/>
      <c r="M567" s="22"/>
      <c r="N567" s="22"/>
      <c r="O567" s="22"/>
      <c r="P567" s="22"/>
      <c r="Q567" s="22"/>
      <c r="R567" s="22"/>
      <c r="S567" s="22"/>
      <c r="T567" s="22"/>
      <c r="U567" s="2"/>
      <c r="V567" s="2"/>
      <c r="W567" s="2"/>
      <c r="X567" s="2"/>
      <c r="Y567" s="2"/>
      <c r="Z567" s="2"/>
    </row>
    <row r="568" spans="1:26" ht="12.75">
      <c r="A568" s="22"/>
      <c r="B568" s="22"/>
      <c r="C568" s="22"/>
      <c r="D568" s="22"/>
      <c r="E568" s="22"/>
      <c r="F568" s="22"/>
      <c r="G568" s="22"/>
      <c r="H568" s="22"/>
      <c r="I568" s="22"/>
      <c r="J568" s="22"/>
      <c r="K568" s="22"/>
      <c r="L568" s="22"/>
      <c r="M568" s="22"/>
      <c r="N568" s="22"/>
      <c r="O568" s="22"/>
      <c r="P568" s="22"/>
      <c r="Q568" s="22"/>
      <c r="R568" s="22"/>
      <c r="S568" s="22"/>
      <c r="T568" s="22"/>
      <c r="U568" s="2"/>
      <c r="V568" s="2"/>
      <c r="W568" s="2"/>
      <c r="X568" s="2"/>
      <c r="Y568" s="2"/>
      <c r="Z568" s="2"/>
    </row>
    <row r="569" spans="1:26" ht="12.75">
      <c r="A569" s="22"/>
      <c r="B569" s="22"/>
      <c r="C569" s="22"/>
      <c r="D569" s="22"/>
      <c r="E569" s="22"/>
      <c r="F569" s="22"/>
      <c r="G569" s="22"/>
      <c r="H569" s="22"/>
      <c r="I569" s="22"/>
      <c r="J569" s="22"/>
      <c r="K569" s="22"/>
      <c r="L569" s="22"/>
      <c r="M569" s="22"/>
      <c r="N569" s="22"/>
      <c r="O569" s="22"/>
      <c r="P569" s="22"/>
      <c r="Q569" s="22"/>
      <c r="R569" s="22"/>
      <c r="S569" s="22"/>
      <c r="T569" s="22"/>
      <c r="U569" s="2"/>
      <c r="V569" s="2"/>
      <c r="W569" s="2"/>
      <c r="X569" s="2"/>
      <c r="Y569" s="2"/>
      <c r="Z569" s="2"/>
    </row>
    <row r="570" spans="1:26" ht="12.75">
      <c r="A570" s="22"/>
      <c r="B570" s="22"/>
      <c r="C570" s="22"/>
      <c r="D570" s="22"/>
      <c r="E570" s="22"/>
      <c r="F570" s="22"/>
      <c r="G570" s="22"/>
      <c r="H570" s="22"/>
      <c r="I570" s="22"/>
      <c r="J570" s="22"/>
      <c r="K570" s="22"/>
      <c r="L570" s="22"/>
      <c r="M570" s="22"/>
      <c r="N570" s="22"/>
      <c r="O570" s="22"/>
      <c r="P570" s="22"/>
      <c r="Q570" s="22"/>
      <c r="R570" s="22"/>
      <c r="S570" s="22"/>
      <c r="T570" s="22"/>
      <c r="U570" s="2"/>
      <c r="V570" s="2"/>
      <c r="W570" s="2"/>
      <c r="X570" s="2"/>
      <c r="Y570" s="2"/>
      <c r="Z570" s="2"/>
    </row>
    <row r="571" spans="1:26" ht="12.75">
      <c r="A571" s="22"/>
      <c r="B571" s="22"/>
      <c r="C571" s="22"/>
      <c r="D571" s="22"/>
      <c r="E571" s="22"/>
      <c r="F571" s="22"/>
      <c r="G571" s="22"/>
      <c r="H571" s="22"/>
      <c r="I571" s="22"/>
      <c r="J571" s="22"/>
      <c r="K571" s="22"/>
      <c r="L571" s="22"/>
      <c r="M571" s="22"/>
      <c r="N571" s="22"/>
      <c r="O571" s="22"/>
      <c r="P571" s="22"/>
      <c r="Q571" s="22"/>
      <c r="R571" s="22"/>
      <c r="S571" s="22"/>
      <c r="T571" s="22"/>
      <c r="U571" s="2"/>
      <c r="V571" s="2"/>
      <c r="W571" s="2"/>
      <c r="X571" s="2"/>
      <c r="Y571" s="2"/>
      <c r="Z571" s="2"/>
    </row>
    <row r="572" spans="1:26" ht="12.75">
      <c r="A572" s="22"/>
      <c r="B572" s="22"/>
      <c r="C572" s="22"/>
      <c r="D572" s="22"/>
      <c r="E572" s="22"/>
      <c r="F572" s="22"/>
      <c r="G572" s="22"/>
      <c r="H572" s="22"/>
      <c r="I572" s="22"/>
      <c r="J572" s="22"/>
      <c r="K572" s="22"/>
      <c r="L572" s="22"/>
      <c r="M572" s="22"/>
      <c r="N572" s="22"/>
      <c r="O572" s="22"/>
      <c r="P572" s="22"/>
      <c r="Q572" s="22"/>
      <c r="R572" s="22"/>
      <c r="S572" s="22"/>
      <c r="T572" s="22"/>
      <c r="U572" s="2"/>
      <c r="V572" s="2"/>
      <c r="W572" s="2"/>
      <c r="X572" s="2"/>
      <c r="Y572" s="2"/>
      <c r="Z572" s="2"/>
    </row>
    <row r="573" spans="1:26" ht="12.75">
      <c r="A573" s="22"/>
      <c r="B573" s="22"/>
      <c r="C573" s="22"/>
      <c r="D573" s="22"/>
      <c r="E573" s="22"/>
      <c r="F573" s="22"/>
      <c r="G573" s="22"/>
      <c r="H573" s="22"/>
      <c r="I573" s="22"/>
      <c r="J573" s="22"/>
      <c r="K573" s="22"/>
      <c r="L573" s="22"/>
      <c r="M573" s="22"/>
      <c r="N573" s="22"/>
      <c r="O573" s="22"/>
      <c r="P573" s="22"/>
      <c r="Q573" s="22"/>
      <c r="R573" s="22"/>
      <c r="S573" s="22"/>
      <c r="T573" s="22"/>
      <c r="U573" s="2"/>
      <c r="V573" s="2"/>
      <c r="W573" s="2"/>
      <c r="X573" s="2"/>
      <c r="Y573" s="2"/>
      <c r="Z573" s="2"/>
    </row>
    <row r="574" spans="1:26" ht="12.75">
      <c r="A574" s="22"/>
      <c r="B574" s="22"/>
      <c r="C574" s="22"/>
      <c r="D574" s="22"/>
      <c r="E574" s="22"/>
      <c r="F574" s="22"/>
      <c r="G574" s="22"/>
      <c r="H574" s="22"/>
      <c r="I574" s="22"/>
      <c r="J574" s="22"/>
      <c r="K574" s="22"/>
      <c r="L574" s="22"/>
      <c r="M574" s="22"/>
      <c r="N574" s="22"/>
      <c r="O574" s="22"/>
      <c r="P574" s="22"/>
      <c r="Q574" s="22"/>
      <c r="R574" s="22"/>
      <c r="S574" s="22"/>
      <c r="T574" s="22"/>
      <c r="U574" s="2"/>
      <c r="V574" s="2"/>
      <c r="W574" s="2"/>
      <c r="X574" s="2"/>
      <c r="Y574" s="2"/>
      <c r="Z574" s="2"/>
    </row>
    <row r="575" spans="1:26" ht="12.75">
      <c r="A575" s="22"/>
      <c r="B575" s="22"/>
      <c r="C575" s="22"/>
      <c r="D575" s="22"/>
      <c r="E575" s="22"/>
      <c r="F575" s="22"/>
      <c r="G575" s="22"/>
      <c r="H575" s="22"/>
      <c r="I575" s="22"/>
      <c r="J575" s="22"/>
      <c r="K575" s="22"/>
      <c r="L575" s="22"/>
      <c r="M575" s="22"/>
      <c r="N575" s="22"/>
      <c r="O575" s="22"/>
      <c r="P575" s="22"/>
      <c r="Q575" s="22"/>
      <c r="R575" s="22"/>
      <c r="S575" s="22"/>
      <c r="T575" s="22"/>
      <c r="U575" s="2"/>
      <c r="V575" s="2"/>
      <c r="W575" s="2"/>
      <c r="X575" s="2"/>
      <c r="Y575" s="2"/>
      <c r="Z575" s="2"/>
    </row>
    <row r="576" spans="1:26" ht="12.75">
      <c r="A576" s="22"/>
      <c r="B576" s="22"/>
      <c r="C576" s="22"/>
      <c r="D576" s="22"/>
      <c r="E576" s="22"/>
      <c r="F576" s="22"/>
      <c r="G576" s="22"/>
      <c r="H576" s="22"/>
      <c r="I576" s="22"/>
      <c r="J576" s="22"/>
      <c r="K576" s="22"/>
      <c r="L576" s="22"/>
      <c r="M576" s="22"/>
      <c r="N576" s="22"/>
      <c r="O576" s="22"/>
      <c r="P576" s="22"/>
      <c r="Q576" s="22"/>
      <c r="R576" s="22"/>
      <c r="S576" s="22"/>
      <c r="T576" s="22"/>
      <c r="U576" s="2"/>
      <c r="V576" s="2"/>
      <c r="W576" s="2"/>
      <c r="X576" s="2"/>
      <c r="Y576" s="2"/>
      <c r="Z576" s="2"/>
    </row>
    <row r="577" spans="1:26" ht="12.75">
      <c r="A577" s="22"/>
      <c r="B577" s="22"/>
      <c r="C577" s="22"/>
      <c r="D577" s="22"/>
      <c r="E577" s="22"/>
      <c r="F577" s="22"/>
      <c r="G577" s="22"/>
      <c r="H577" s="22"/>
      <c r="I577" s="22"/>
      <c r="J577" s="22"/>
      <c r="K577" s="22"/>
      <c r="L577" s="22"/>
      <c r="M577" s="22"/>
      <c r="N577" s="22"/>
      <c r="O577" s="22"/>
      <c r="P577" s="22"/>
      <c r="Q577" s="22"/>
      <c r="R577" s="22"/>
      <c r="S577" s="22"/>
      <c r="T577" s="22"/>
      <c r="U577" s="2"/>
      <c r="V577" s="2"/>
      <c r="W577" s="2"/>
      <c r="X577" s="2"/>
      <c r="Y577" s="2"/>
      <c r="Z577" s="2"/>
    </row>
    <row r="578" spans="1:26" ht="12.75">
      <c r="A578" s="22"/>
      <c r="B578" s="22"/>
      <c r="C578" s="22"/>
      <c r="D578" s="22"/>
      <c r="E578" s="22"/>
      <c r="F578" s="22"/>
      <c r="G578" s="22"/>
      <c r="H578" s="22"/>
      <c r="I578" s="22"/>
      <c r="J578" s="22"/>
      <c r="K578" s="22"/>
      <c r="L578" s="22"/>
      <c r="M578" s="22"/>
      <c r="N578" s="22"/>
      <c r="O578" s="22"/>
      <c r="P578" s="22"/>
      <c r="Q578" s="22"/>
      <c r="R578" s="22"/>
      <c r="S578" s="22"/>
      <c r="T578" s="22"/>
      <c r="U578" s="2"/>
      <c r="V578" s="2"/>
      <c r="W578" s="2"/>
      <c r="X578" s="2"/>
      <c r="Y578" s="2"/>
      <c r="Z578" s="2"/>
    </row>
    <row r="579" spans="1:26" ht="12.75">
      <c r="A579" s="22"/>
      <c r="B579" s="22"/>
      <c r="C579" s="22"/>
      <c r="D579" s="22"/>
      <c r="E579" s="22"/>
      <c r="F579" s="22"/>
      <c r="G579" s="22"/>
      <c r="H579" s="22"/>
      <c r="I579" s="22"/>
      <c r="J579" s="22"/>
      <c r="K579" s="22"/>
      <c r="L579" s="22"/>
      <c r="M579" s="22"/>
      <c r="N579" s="22"/>
      <c r="O579" s="22"/>
      <c r="P579" s="22"/>
      <c r="Q579" s="22"/>
      <c r="R579" s="22"/>
      <c r="S579" s="22"/>
      <c r="T579" s="22"/>
      <c r="U579" s="2"/>
      <c r="V579" s="2"/>
      <c r="W579" s="2"/>
      <c r="X579" s="2"/>
      <c r="Y579" s="2"/>
      <c r="Z579" s="2"/>
    </row>
    <row r="580" spans="1:26" ht="12.75">
      <c r="A580" s="22"/>
      <c r="B580" s="22"/>
      <c r="C580" s="22"/>
      <c r="D580" s="22"/>
      <c r="E580" s="22"/>
      <c r="F580" s="22"/>
      <c r="G580" s="22"/>
      <c r="H580" s="22"/>
      <c r="I580" s="22"/>
      <c r="J580" s="22"/>
      <c r="K580" s="22"/>
      <c r="L580" s="22"/>
      <c r="M580" s="22"/>
      <c r="N580" s="22"/>
      <c r="O580" s="22"/>
      <c r="P580" s="22"/>
      <c r="Q580" s="22"/>
      <c r="R580" s="22"/>
      <c r="S580" s="22"/>
      <c r="T580" s="22"/>
      <c r="U580" s="2"/>
      <c r="V580" s="2"/>
      <c r="W580" s="2"/>
      <c r="X580" s="2"/>
      <c r="Y580" s="2"/>
      <c r="Z580" s="2"/>
    </row>
    <row r="581" spans="1:26" ht="12.75">
      <c r="A581" s="22"/>
      <c r="B581" s="22"/>
      <c r="C581" s="22"/>
      <c r="D581" s="22"/>
      <c r="E581" s="22"/>
      <c r="F581" s="22"/>
      <c r="G581" s="22"/>
      <c r="H581" s="22"/>
      <c r="I581" s="22"/>
      <c r="J581" s="22"/>
      <c r="K581" s="22"/>
      <c r="L581" s="22"/>
      <c r="M581" s="22"/>
      <c r="N581" s="22"/>
      <c r="O581" s="22"/>
      <c r="P581" s="22"/>
      <c r="Q581" s="22"/>
      <c r="R581" s="22"/>
      <c r="S581" s="22"/>
      <c r="T581" s="22"/>
      <c r="U581" s="2"/>
      <c r="V581" s="2"/>
      <c r="W581" s="2"/>
      <c r="X581" s="2"/>
      <c r="Y581" s="2"/>
      <c r="Z581" s="2"/>
    </row>
    <row r="582" spans="1:26" ht="12.75">
      <c r="A582" s="22"/>
      <c r="B582" s="22"/>
      <c r="C582" s="22"/>
      <c r="D582" s="22"/>
      <c r="E582" s="22"/>
      <c r="F582" s="22"/>
      <c r="G582" s="22"/>
      <c r="H582" s="22"/>
      <c r="I582" s="22"/>
      <c r="J582" s="22"/>
      <c r="K582" s="22"/>
      <c r="L582" s="22"/>
      <c r="M582" s="22"/>
      <c r="N582" s="22"/>
      <c r="O582" s="22"/>
      <c r="P582" s="22"/>
      <c r="Q582" s="22"/>
      <c r="R582" s="22"/>
      <c r="S582" s="22"/>
      <c r="T582" s="22"/>
      <c r="U582" s="2"/>
      <c r="V582" s="2"/>
      <c r="W582" s="2"/>
      <c r="X582" s="2"/>
      <c r="Y582" s="2"/>
      <c r="Z582" s="2"/>
    </row>
    <row r="583" spans="1:26" ht="12.75">
      <c r="A583" s="22"/>
      <c r="B583" s="22"/>
      <c r="C583" s="22"/>
      <c r="D583" s="22"/>
      <c r="E583" s="22"/>
      <c r="F583" s="22"/>
      <c r="G583" s="22"/>
      <c r="H583" s="22"/>
      <c r="I583" s="22"/>
      <c r="J583" s="22"/>
      <c r="K583" s="22"/>
      <c r="L583" s="22"/>
      <c r="M583" s="22"/>
      <c r="N583" s="22"/>
      <c r="O583" s="22"/>
      <c r="P583" s="22"/>
      <c r="Q583" s="22"/>
      <c r="R583" s="22"/>
      <c r="S583" s="22"/>
      <c r="T583" s="22"/>
      <c r="U583" s="2"/>
      <c r="V583" s="2"/>
      <c r="W583" s="2"/>
      <c r="X583" s="2"/>
      <c r="Y583" s="2"/>
      <c r="Z583" s="2"/>
    </row>
    <row r="584" spans="1:26" ht="12.75">
      <c r="A584" s="22"/>
      <c r="B584" s="22"/>
      <c r="C584" s="22"/>
      <c r="D584" s="22"/>
      <c r="E584" s="22"/>
      <c r="F584" s="22"/>
      <c r="G584" s="22"/>
      <c r="H584" s="22"/>
      <c r="I584" s="22"/>
      <c r="J584" s="22"/>
      <c r="K584" s="22"/>
      <c r="L584" s="22"/>
      <c r="M584" s="22"/>
      <c r="N584" s="22"/>
      <c r="O584" s="22"/>
      <c r="P584" s="22"/>
      <c r="Q584" s="22"/>
      <c r="R584" s="22"/>
      <c r="S584" s="22"/>
      <c r="T584" s="22"/>
      <c r="U584" s="2"/>
      <c r="V584" s="2"/>
      <c r="W584" s="2"/>
      <c r="X584" s="2"/>
      <c r="Y584" s="2"/>
      <c r="Z584" s="2"/>
    </row>
    <row r="585" spans="1:26" ht="12.75">
      <c r="A585" s="22"/>
      <c r="B585" s="22"/>
      <c r="C585" s="22"/>
      <c r="D585" s="22"/>
      <c r="E585" s="22"/>
      <c r="F585" s="22"/>
      <c r="G585" s="22"/>
      <c r="H585" s="22"/>
      <c r="I585" s="22"/>
      <c r="J585" s="22"/>
      <c r="K585" s="22"/>
      <c r="L585" s="22"/>
      <c r="M585" s="22"/>
      <c r="N585" s="22"/>
      <c r="O585" s="22"/>
      <c r="P585" s="22"/>
      <c r="Q585" s="22"/>
      <c r="R585" s="22"/>
      <c r="S585" s="22"/>
      <c r="T585" s="22"/>
      <c r="U585" s="2"/>
      <c r="V585" s="2"/>
      <c r="W585" s="2"/>
      <c r="X585" s="2"/>
      <c r="Y585" s="2"/>
      <c r="Z585" s="2"/>
    </row>
    <row r="586" spans="1:26" ht="12.75">
      <c r="A586" s="22"/>
      <c r="B586" s="22"/>
      <c r="C586" s="22"/>
      <c r="D586" s="22"/>
      <c r="E586" s="22"/>
      <c r="F586" s="22"/>
      <c r="G586" s="22"/>
      <c r="H586" s="22"/>
      <c r="I586" s="22"/>
      <c r="J586" s="22"/>
      <c r="K586" s="22"/>
      <c r="L586" s="22"/>
      <c r="M586" s="22"/>
      <c r="N586" s="22"/>
      <c r="O586" s="22"/>
      <c r="P586" s="22"/>
      <c r="Q586" s="22"/>
      <c r="R586" s="22"/>
      <c r="S586" s="22"/>
      <c r="T586" s="22"/>
      <c r="U586" s="2"/>
      <c r="V586" s="2"/>
      <c r="W586" s="2"/>
      <c r="X586" s="2"/>
      <c r="Y586" s="2"/>
      <c r="Z586" s="2"/>
    </row>
    <row r="587" spans="1:26" ht="12.75">
      <c r="A587" s="22"/>
      <c r="B587" s="22"/>
      <c r="C587" s="22"/>
      <c r="D587" s="22"/>
      <c r="E587" s="22"/>
      <c r="F587" s="22"/>
      <c r="G587" s="22"/>
      <c r="H587" s="22"/>
      <c r="I587" s="22"/>
      <c r="J587" s="22"/>
      <c r="K587" s="22"/>
      <c r="L587" s="22"/>
      <c r="M587" s="22"/>
      <c r="N587" s="22"/>
      <c r="O587" s="22"/>
      <c r="P587" s="22"/>
      <c r="Q587" s="22"/>
      <c r="R587" s="22"/>
      <c r="S587" s="22"/>
      <c r="T587" s="22"/>
      <c r="U587" s="2"/>
      <c r="V587" s="2"/>
      <c r="W587" s="2"/>
      <c r="X587" s="2"/>
      <c r="Y587" s="2"/>
      <c r="Z587" s="2"/>
    </row>
    <row r="588" spans="1:26" ht="12.75">
      <c r="A588" s="22"/>
      <c r="B588" s="22"/>
      <c r="C588" s="22"/>
      <c r="D588" s="22"/>
      <c r="E588" s="22"/>
      <c r="F588" s="22"/>
      <c r="G588" s="22"/>
      <c r="H588" s="22"/>
      <c r="I588" s="22"/>
      <c r="J588" s="22"/>
      <c r="K588" s="22"/>
      <c r="L588" s="22"/>
      <c r="M588" s="22"/>
      <c r="N588" s="22"/>
      <c r="O588" s="22"/>
      <c r="P588" s="22"/>
      <c r="Q588" s="22"/>
      <c r="R588" s="22"/>
      <c r="S588" s="22"/>
      <c r="T588" s="22"/>
      <c r="U588" s="2"/>
      <c r="V588" s="2"/>
      <c r="W588" s="2"/>
      <c r="X588" s="2"/>
      <c r="Y588" s="2"/>
      <c r="Z588" s="2"/>
    </row>
    <row r="589" spans="1:26" ht="12.75">
      <c r="A589" s="22"/>
      <c r="B589" s="22"/>
      <c r="C589" s="22"/>
      <c r="D589" s="22"/>
      <c r="E589" s="22"/>
      <c r="F589" s="22"/>
      <c r="G589" s="22"/>
      <c r="H589" s="22"/>
      <c r="I589" s="22"/>
      <c r="J589" s="22"/>
      <c r="K589" s="22"/>
      <c r="L589" s="22"/>
      <c r="M589" s="22"/>
      <c r="N589" s="22"/>
      <c r="O589" s="22"/>
      <c r="P589" s="22"/>
      <c r="Q589" s="22"/>
      <c r="R589" s="22"/>
      <c r="S589" s="22"/>
      <c r="T589" s="22"/>
      <c r="U589" s="2"/>
      <c r="V589" s="2"/>
      <c r="W589" s="2"/>
      <c r="X589" s="2"/>
      <c r="Y589" s="2"/>
      <c r="Z589" s="2"/>
    </row>
    <row r="590" spans="1:26" ht="12.75">
      <c r="A590" s="22"/>
      <c r="B590" s="22"/>
      <c r="C590" s="22"/>
      <c r="D590" s="22"/>
      <c r="E590" s="22"/>
      <c r="F590" s="22"/>
      <c r="G590" s="22"/>
      <c r="H590" s="22"/>
      <c r="I590" s="22"/>
      <c r="J590" s="22"/>
      <c r="K590" s="22"/>
      <c r="L590" s="22"/>
      <c r="M590" s="22"/>
      <c r="N590" s="22"/>
      <c r="O590" s="22"/>
      <c r="P590" s="22"/>
      <c r="Q590" s="22"/>
      <c r="R590" s="22"/>
      <c r="S590" s="22"/>
      <c r="T590" s="22"/>
      <c r="U590" s="2"/>
      <c r="V590" s="2"/>
      <c r="W590" s="2"/>
      <c r="X590" s="2"/>
      <c r="Y590" s="2"/>
      <c r="Z590" s="2"/>
    </row>
    <row r="591" spans="1:26" ht="12.75">
      <c r="A591" s="22"/>
      <c r="B591" s="22"/>
      <c r="C591" s="22"/>
      <c r="D591" s="22"/>
      <c r="E591" s="22"/>
      <c r="F591" s="22"/>
      <c r="G591" s="22"/>
      <c r="H591" s="22"/>
      <c r="I591" s="22"/>
      <c r="J591" s="22"/>
      <c r="K591" s="22"/>
      <c r="L591" s="22"/>
      <c r="M591" s="22"/>
      <c r="N591" s="22"/>
      <c r="O591" s="22"/>
      <c r="P591" s="22"/>
      <c r="Q591" s="22"/>
      <c r="R591" s="22"/>
      <c r="S591" s="22"/>
      <c r="T591" s="22"/>
      <c r="U591" s="2"/>
      <c r="V591" s="2"/>
      <c r="W591" s="2"/>
      <c r="X591" s="2"/>
      <c r="Y591" s="2"/>
      <c r="Z591" s="2"/>
    </row>
    <row r="592" spans="1:26" ht="12.75">
      <c r="A592" s="22"/>
      <c r="B592" s="22"/>
      <c r="C592" s="22"/>
      <c r="D592" s="22"/>
      <c r="E592" s="22"/>
      <c r="F592" s="22"/>
      <c r="G592" s="22"/>
      <c r="H592" s="22"/>
      <c r="I592" s="22"/>
      <c r="J592" s="22"/>
      <c r="K592" s="22"/>
      <c r="L592" s="22"/>
      <c r="M592" s="22"/>
      <c r="N592" s="22"/>
      <c r="O592" s="22"/>
      <c r="P592" s="22"/>
      <c r="Q592" s="22"/>
      <c r="R592" s="22"/>
      <c r="S592" s="22"/>
      <c r="T592" s="22"/>
      <c r="U592" s="2"/>
      <c r="V592" s="2"/>
      <c r="W592" s="2"/>
      <c r="X592" s="2"/>
      <c r="Y592" s="2"/>
      <c r="Z592" s="2"/>
    </row>
    <row r="593" spans="1:26" ht="12.75">
      <c r="A593" s="22"/>
      <c r="B593" s="22"/>
      <c r="C593" s="22"/>
      <c r="D593" s="22"/>
      <c r="E593" s="22"/>
      <c r="F593" s="22"/>
      <c r="G593" s="22"/>
      <c r="H593" s="22"/>
      <c r="I593" s="22"/>
      <c r="J593" s="22"/>
      <c r="K593" s="22"/>
      <c r="L593" s="22"/>
      <c r="M593" s="22"/>
      <c r="N593" s="22"/>
      <c r="O593" s="22"/>
      <c r="P593" s="22"/>
      <c r="Q593" s="22"/>
      <c r="R593" s="22"/>
      <c r="S593" s="22"/>
      <c r="T593" s="22"/>
      <c r="U593" s="2"/>
      <c r="V593" s="2"/>
      <c r="W593" s="2"/>
      <c r="X593" s="2"/>
      <c r="Y593" s="2"/>
      <c r="Z593" s="2"/>
    </row>
    <row r="594" spans="1:26" ht="12.75">
      <c r="A594" s="22"/>
      <c r="B594" s="22"/>
      <c r="C594" s="22"/>
      <c r="D594" s="22"/>
      <c r="E594" s="22"/>
      <c r="F594" s="22"/>
      <c r="G594" s="22"/>
      <c r="H594" s="22"/>
      <c r="I594" s="22"/>
      <c r="J594" s="22"/>
      <c r="K594" s="22"/>
      <c r="L594" s="22"/>
      <c r="M594" s="22"/>
      <c r="N594" s="22"/>
      <c r="O594" s="22"/>
      <c r="P594" s="22"/>
      <c r="Q594" s="22"/>
      <c r="R594" s="22"/>
      <c r="S594" s="22"/>
      <c r="T594" s="22"/>
      <c r="U594" s="2"/>
      <c r="V594" s="2"/>
      <c r="W594" s="2"/>
      <c r="X594" s="2"/>
      <c r="Y594" s="2"/>
      <c r="Z594" s="2"/>
    </row>
    <row r="595" spans="1:26" ht="12.75">
      <c r="A595" s="22"/>
      <c r="B595" s="22"/>
      <c r="C595" s="22"/>
      <c r="D595" s="22"/>
      <c r="E595" s="22"/>
      <c r="F595" s="22"/>
      <c r="G595" s="22"/>
      <c r="H595" s="22"/>
      <c r="I595" s="22"/>
      <c r="J595" s="22"/>
      <c r="K595" s="22"/>
      <c r="L595" s="22"/>
      <c r="M595" s="22"/>
      <c r="N595" s="22"/>
      <c r="O595" s="22"/>
      <c r="P595" s="22"/>
      <c r="Q595" s="22"/>
      <c r="R595" s="22"/>
      <c r="S595" s="22"/>
      <c r="T595" s="22"/>
      <c r="U595" s="2"/>
      <c r="V595" s="2"/>
      <c r="W595" s="2"/>
      <c r="X595" s="2"/>
      <c r="Y595" s="2"/>
      <c r="Z595" s="2"/>
    </row>
    <row r="596" spans="1:26" ht="12.75">
      <c r="A596" s="22"/>
      <c r="B596" s="22"/>
      <c r="C596" s="22"/>
      <c r="D596" s="22"/>
      <c r="E596" s="22"/>
      <c r="F596" s="22"/>
      <c r="G596" s="22"/>
      <c r="H596" s="22"/>
      <c r="I596" s="22"/>
      <c r="J596" s="22"/>
      <c r="K596" s="22"/>
      <c r="L596" s="22"/>
      <c r="M596" s="22"/>
      <c r="N596" s="22"/>
      <c r="O596" s="22"/>
      <c r="P596" s="22"/>
      <c r="Q596" s="22"/>
      <c r="R596" s="22"/>
      <c r="S596" s="22"/>
      <c r="T596" s="22"/>
      <c r="U596" s="2"/>
      <c r="V596" s="2"/>
      <c r="W596" s="2"/>
      <c r="X596" s="2"/>
      <c r="Y596" s="2"/>
      <c r="Z596" s="2"/>
    </row>
    <row r="597" spans="1:26" ht="12.75">
      <c r="A597" s="22"/>
      <c r="B597" s="22"/>
      <c r="C597" s="22"/>
      <c r="D597" s="22"/>
      <c r="E597" s="22"/>
      <c r="F597" s="22"/>
      <c r="G597" s="22"/>
      <c r="H597" s="22"/>
      <c r="I597" s="22"/>
      <c r="J597" s="22"/>
      <c r="K597" s="22"/>
      <c r="L597" s="22"/>
      <c r="M597" s="22"/>
      <c r="N597" s="22"/>
      <c r="O597" s="22"/>
      <c r="P597" s="22"/>
      <c r="Q597" s="22"/>
      <c r="R597" s="22"/>
      <c r="S597" s="22"/>
      <c r="T597" s="22"/>
      <c r="U597" s="2"/>
      <c r="V597" s="2"/>
      <c r="W597" s="2"/>
      <c r="X597" s="2"/>
      <c r="Y597" s="2"/>
      <c r="Z597" s="2"/>
    </row>
    <row r="598" spans="1:26" ht="12.75">
      <c r="A598" s="22"/>
      <c r="B598" s="22"/>
      <c r="C598" s="22"/>
      <c r="D598" s="22"/>
      <c r="E598" s="22"/>
      <c r="F598" s="22"/>
      <c r="G598" s="22"/>
      <c r="H598" s="22"/>
      <c r="I598" s="22"/>
      <c r="J598" s="22"/>
      <c r="K598" s="22"/>
      <c r="L598" s="22"/>
      <c r="M598" s="22"/>
      <c r="N598" s="22"/>
      <c r="O598" s="22"/>
      <c r="P598" s="22"/>
      <c r="Q598" s="22"/>
      <c r="R598" s="22"/>
      <c r="S598" s="22"/>
      <c r="T598" s="22"/>
      <c r="U598" s="2"/>
      <c r="V598" s="2"/>
      <c r="W598" s="2"/>
      <c r="X598" s="2"/>
      <c r="Y598" s="2"/>
      <c r="Z598" s="2"/>
    </row>
    <row r="599" spans="1:26" ht="12.75">
      <c r="A599" s="22"/>
      <c r="B599" s="22"/>
      <c r="C599" s="22"/>
      <c r="D599" s="22"/>
      <c r="E599" s="22"/>
      <c r="F599" s="22"/>
      <c r="G599" s="22"/>
      <c r="H599" s="22"/>
      <c r="I599" s="22"/>
      <c r="J599" s="22"/>
      <c r="K599" s="22"/>
      <c r="L599" s="22"/>
      <c r="M599" s="22"/>
      <c r="N599" s="22"/>
      <c r="O599" s="22"/>
      <c r="P599" s="22"/>
      <c r="Q599" s="22"/>
      <c r="R599" s="22"/>
      <c r="S599" s="22"/>
      <c r="T599" s="22"/>
      <c r="U599" s="2"/>
      <c r="V599" s="2"/>
      <c r="W599" s="2"/>
      <c r="X599" s="2"/>
      <c r="Y599" s="2"/>
      <c r="Z599" s="2"/>
    </row>
    <row r="600" spans="1:26" ht="12.75">
      <c r="A600" s="22"/>
      <c r="B600" s="22"/>
      <c r="C600" s="22"/>
      <c r="D600" s="22"/>
      <c r="E600" s="22"/>
      <c r="F600" s="22"/>
      <c r="G600" s="22"/>
      <c r="H600" s="22"/>
      <c r="I600" s="22"/>
      <c r="J600" s="22"/>
      <c r="K600" s="22"/>
      <c r="L600" s="22"/>
      <c r="M600" s="22"/>
      <c r="N600" s="22"/>
      <c r="O600" s="22"/>
      <c r="P600" s="22"/>
      <c r="Q600" s="22"/>
      <c r="R600" s="22"/>
      <c r="S600" s="22"/>
      <c r="T600" s="22"/>
      <c r="U600" s="2"/>
      <c r="V600" s="2"/>
      <c r="W600" s="2"/>
      <c r="X600" s="2"/>
      <c r="Y600" s="2"/>
      <c r="Z600" s="2"/>
    </row>
    <row r="601" spans="1:26" ht="12.75">
      <c r="A601" s="22"/>
      <c r="B601" s="22"/>
      <c r="C601" s="22"/>
      <c r="D601" s="22"/>
      <c r="E601" s="22"/>
      <c r="F601" s="22"/>
      <c r="G601" s="22"/>
      <c r="H601" s="22"/>
      <c r="I601" s="22"/>
      <c r="J601" s="22"/>
      <c r="K601" s="22"/>
      <c r="L601" s="22"/>
      <c r="M601" s="22"/>
      <c r="N601" s="22"/>
      <c r="O601" s="22"/>
      <c r="P601" s="22"/>
      <c r="Q601" s="22"/>
      <c r="R601" s="22"/>
      <c r="S601" s="22"/>
      <c r="T601" s="22"/>
      <c r="U601" s="2"/>
      <c r="V601" s="2"/>
      <c r="W601" s="2"/>
      <c r="X601" s="2"/>
      <c r="Y601" s="2"/>
      <c r="Z601" s="2"/>
    </row>
    <row r="602" spans="1:26" ht="12.75">
      <c r="A602" s="22"/>
      <c r="B602" s="22"/>
      <c r="C602" s="22"/>
      <c r="D602" s="22"/>
      <c r="E602" s="22"/>
      <c r="F602" s="22"/>
      <c r="G602" s="22"/>
      <c r="H602" s="22"/>
      <c r="I602" s="22"/>
      <c r="J602" s="22"/>
      <c r="K602" s="22"/>
      <c r="L602" s="22"/>
      <c r="M602" s="22"/>
      <c r="N602" s="22"/>
      <c r="O602" s="22"/>
      <c r="P602" s="22"/>
      <c r="Q602" s="22"/>
      <c r="R602" s="22"/>
      <c r="S602" s="22"/>
      <c r="T602" s="22"/>
      <c r="U602" s="2"/>
      <c r="V602" s="2"/>
      <c r="W602" s="2"/>
      <c r="X602" s="2"/>
      <c r="Y602" s="2"/>
      <c r="Z602" s="2"/>
    </row>
    <row r="603" spans="1:26" ht="12.75">
      <c r="A603" s="22"/>
      <c r="B603" s="22"/>
      <c r="C603" s="22"/>
      <c r="D603" s="22"/>
      <c r="E603" s="22"/>
      <c r="F603" s="22"/>
      <c r="G603" s="22"/>
      <c r="H603" s="22"/>
      <c r="I603" s="22"/>
      <c r="J603" s="22"/>
      <c r="K603" s="22"/>
      <c r="L603" s="22"/>
      <c r="M603" s="22"/>
      <c r="N603" s="22"/>
      <c r="O603" s="22"/>
      <c r="P603" s="22"/>
      <c r="Q603" s="22"/>
      <c r="R603" s="22"/>
      <c r="S603" s="22"/>
      <c r="T603" s="22"/>
      <c r="U603" s="2"/>
      <c r="V603" s="2"/>
      <c r="W603" s="2"/>
      <c r="X603" s="2"/>
      <c r="Y603" s="2"/>
      <c r="Z603" s="2"/>
    </row>
    <row r="604" spans="1:26" ht="12.75">
      <c r="A604" s="22"/>
      <c r="B604" s="22"/>
      <c r="C604" s="22"/>
      <c r="D604" s="22"/>
      <c r="E604" s="22"/>
      <c r="F604" s="22"/>
      <c r="G604" s="22"/>
      <c r="H604" s="22"/>
      <c r="I604" s="22"/>
      <c r="J604" s="22"/>
      <c r="K604" s="22"/>
      <c r="L604" s="22"/>
      <c r="M604" s="22"/>
      <c r="N604" s="22"/>
      <c r="O604" s="22"/>
      <c r="P604" s="22"/>
      <c r="Q604" s="22"/>
      <c r="R604" s="22"/>
      <c r="S604" s="22"/>
      <c r="T604" s="22"/>
      <c r="U604" s="2"/>
      <c r="V604" s="2"/>
      <c r="W604" s="2"/>
      <c r="X604" s="2"/>
      <c r="Y604" s="2"/>
      <c r="Z604" s="2"/>
    </row>
    <row r="605" spans="1:26" ht="12.75">
      <c r="A605" s="22"/>
      <c r="B605" s="22"/>
      <c r="C605" s="22"/>
      <c r="D605" s="22"/>
      <c r="E605" s="22"/>
      <c r="F605" s="22"/>
      <c r="G605" s="22"/>
      <c r="H605" s="22"/>
      <c r="I605" s="22"/>
      <c r="J605" s="22"/>
      <c r="K605" s="22"/>
      <c r="L605" s="22"/>
      <c r="M605" s="22"/>
      <c r="N605" s="22"/>
      <c r="O605" s="22"/>
      <c r="P605" s="22"/>
      <c r="Q605" s="22"/>
      <c r="R605" s="22"/>
      <c r="S605" s="22"/>
      <c r="T605" s="22"/>
      <c r="U605" s="2"/>
      <c r="V605" s="2"/>
      <c r="W605" s="2"/>
      <c r="X605" s="2"/>
      <c r="Y605" s="2"/>
      <c r="Z605" s="2"/>
    </row>
    <row r="606" spans="1:26" ht="12.75">
      <c r="A606" s="22"/>
      <c r="B606" s="22"/>
      <c r="C606" s="22"/>
      <c r="D606" s="22"/>
      <c r="E606" s="22"/>
      <c r="F606" s="22"/>
      <c r="G606" s="22"/>
      <c r="H606" s="22"/>
      <c r="I606" s="22"/>
      <c r="J606" s="22"/>
      <c r="K606" s="22"/>
      <c r="L606" s="22"/>
      <c r="M606" s="22"/>
      <c r="N606" s="22"/>
      <c r="O606" s="22"/>
      <c r="P606" s="22"/>
      <c r="Q606" s="22"/>
      <c r="R606" s="22"/>
      <c r="S606" s="22"/>
      <c r="T606" s="22"/>
      <c r="U606" s="2"/>
      <c r="V606" s="2"/>
      <c r="W606" s="2"/>
      <c r="X606" s="2"/>
      <c r="Y606" s="2"/>
      <c r="Z606" s="2"/>
    </row>
    <row r="607" spans="1:26" ht="12.75">
      <c r="A607" s="22"/>
      <c r="B607" s="22"/>
      <c r="C607" s="22"/>
      <c r="D607" s="22"/>
      <c r="E607" s="22"/>
      <c r="F607" s="22"/>
      <c r="G607" s="22"/>
      <c r="H607" s="22"/>
      <c r="I607" s="22"/>
      <c r="J607" s="22"/>
      <c r="K607" s="22"/>
      <c r="L607" s="22"/>
      <c r="M607" s="22"/>
      <c r="N607" s="22"/>
      <c r="O607" s="22"/>
      <c r="P607" s="22"/>
      <c r="Q607" s="22"/>
      <c r="R607" s="22"/>
      <c r="S607" s="22"/>
      <c r="T607" s="22"/>
      <c r="U607" s="2"/>
      <c r="V607" s="2"/>
      <c r="W607" s="2"/>
      <c r="X607" s="2"/>
      <c r="Y607" s="2"/>
      <c r="Z607" s="2"/>
    </row>
    <row r="608" spans="1:26" ht="12.75">
      <c r="A608" s="22"/>
      <c r="B608" s="22"/>
      <c r="C608" s="22"/>
      <c r="D608" s="22"/>
      <c r="E608" s="22"/>
      <c r="F608" s="22"/>
      <c r="G608" s="22"/>
      <c r="H608" s="22"/>
      <c r="I608" s="22"/>
      <c r="J608" s="22"/>
      <c r="K608" s="22"/>
      <c r="L608" s="22"/>
      <c r="M608" s="22"/>
      <c r="N608" s="22"/>
      <c r="O608" s="22"/>
      <c r="P608" s="22"/>
      <c r="Q608" s="22"/>
      <c r="R608" s="22"/>
      <c r="S608" s="22"/>
      <c r="T608" s="22"/>
      <c r="U608" s="2"/>
      <c r="V608" s="2"/>
      <c r="W608" s="2"/>
      <c r="X608" s="2"/>
      <c r="Y608" s="2"/>
      <c r="Z608" s="2"/>
    </row>
    <row r="609" spans="1:26" ht="12.75">
      <c r="A609" s="22"/>
      <c r="B609" s="22"/>
      <c r="C609" s="22"/>
      <c r="D609" s="22"/>
      <c r="E609" s="22"/>
      <c r="F609" s="22"/>
      <c r="G609" s="22"/>
      <c r="H609" s="22"/>
      <c r="I609" s="22"/>
      <c r="J609" s="22"/>
      <c r="K609" s="22"/>
      <c r="L609" s="22"/>
      <c r="M609" s="22"/>
      <c r="N609" s="22"/>
      <c r="O609" s="22"/>
      <c r="P609" s="22"/>
      <c r="Q609" s="22"/>
      <c r="R609" s="22"/>
      <c r="S609" s="22"/>
      <c r="T609" s="22"/>
      <c r="U609" s="2"/>
      <c r="V609" s="2"/>
      <c r="W609" s="2"/>
      <c r="X609" s="2"/>
      <c r="Y609" s="2"/>
      <c r="Z609" s="2"/>
    </row>
    <row r="610" spans="1:26" ht="12.75">
      <c r="A610" s="22"/>
      <c r="B610" s="22"/>
      <c r="C610" s="22"/>
      <c r="D610" s="22"/>
      <c r="E610" s="22"/>
      <c r="F610" s="22"/>
      <c r="G610" s="22"/>
      <c r="H610" s="22"/>
      <c r="I610" s="22"/>
      <c r="J610" s="22"/>
      <c r="K610" s="22"/>
      <c r="L610" s="22"/>
      <c r="M610" s="22"/>
      <c r="N610" s="22"/>
      <c r="O610" s="22"/>
      <c r="P610" s="22"/>
      <c r="Q610" s="22"/>
      <c r="R610" s="22"/>
      <c r="S610" s="22"/>
      <c r="T610" s="22"/>
      <c r="U610" s="2"/>
      <c r="V610" s="2"/>
      <c r="W610" s="2"/>
      <c r="X610" s="2"/>
      <c r="Y610" s="2"/>
      <c r="Z610" s="2"/>
    </row>
    <row r="611" spans="1:26" ht="12.75">
      <c r="A611" s="22"/>
      <c r="B611" s="22"/>
      <c r="C611" s="22"/>
      <c r="D611" s="22"/>
      <c r="E611" s="22"/>
      <c r="F611" s="22"/>
      <c r="G611" s="22"/>
      <c r="H611" s="22"/>
      <c r="I611" s="22"/>
      <c r="J611" s="22"/>
      <c r="K611" s="22"/>
      <c r="L611" s="22"/>
      <c r="M611" s="22"/>
      <c r="N611" s="22"/>
      <c r="O611" s="22"/>
      <c r="P611" s="22"/>
      <c r="Q611" s="22"/>
      <c r="R611" s="22"/>
      <c r="S611" s="22"/>
      <c r="T611" s="22"/>
      <c r="U611" s="2"/>
      <c r="V611" s="2"/>
      <c r="W611" s="2"/>
      <c r="X611" s="2"/>
      <c r="Y611" s="2"/>
      <c r="Z611" s="2"/>
    </row>
    <row r="612" spans="1:26" ht="12.75">
      <c r="A612" s="22"/>
      <c r="B612" s="22"/>
      <c r="C612" s="22"/>
      <c r="D612" s="22"/>
      <c r="E612" s="22"/>
      <c r="F612" s="22"/>
      <c r="G612" s="22"/>
      <c r="H612" s="22"/>
      <c r="I612" s="22"/>
      <c r="J612" s="22"/>
      <c r="K612" s="22"/>
      <c r="L612" s="22"/>
      <c r="M612" s="22"/>
      <c r="N612" s="22"/>
      <c r="O612" s="22"/>
      <c r="P612" s="22"/>
      <c r="Q612" s="22"/>
      <c r="R612" s="22"/>
      <c r="S612" s="22"/>
      <c r="T612" s="22"/>
      <c r="U612" s="2"/>
      <c r="V612" s="2"/>
      <c r="W612" s="2"/>
      <c r="X612" s="2"/>
      <c r="Y612" s="2"/>
      <c r="Z612" s="2"/>
    </row>
    <row r="613" spans="1:26" ht="12.75">
      <c r="A613" s="22"/>
      <c r="B613" s="22"/>
      <c r="C613" s="22"/>
      <c r="D613" s="22"/>
      <c r="E613" s="22"/>
      <c r="F613" s="22"/>
      <c r="G613" s="22"/>
      <c r="H613" s="22"/>
      <c r="I613" s="22"/>
      <c r="J613" s="22"/>
      <c r="K613" s="22"/>
      <c r="L613" s="22"/>
      <c r="M613" s="22"/>
      <c r="N613" s="22"/>
      <c r="O613" s="22"/>
      <c r="P613" s="22"/>
      <c r="Q613" s="22"/>
      <c r="R613" s="22"/>
      <c r="S613" s="22"/>
      <c r="T613" s="22"/>
      <c r="U613" s="2"/>
      <c r="V613" s="2"/>
      <c r="W613" s="2"/>
      <c r="X613" s="2"/>
      <c r="Y613" s="2"/>
      <c r="Z613" s="2"/>
    </row>
    <row r="614" spans="1:26" ht="12.75">
      <c r="A614" s="22"/>
      <c r="B614" s="22"/>
      <c r="C614" s="22"/>
      <c r="D614" s="22"/>
      <c r="E614" s="22"/>
      <c r="F614" s="22"/>
      <c r="G614" s="22"/>
      <c r="H614" s="22"/>
      <c r="I614" s="22"/>
      <c r="J614" s="22"/>
      <c r="K614" s="22"/>
      <c r="L614" s="22"/>
      <c r="M614" s="22"/>
      <c r="N614" s="22"/>
      <c r="O614" s="22"/>
      <c r="P614" s="22"/>
      <c r="Q614" s="22"/>
      <c r="R614" s="22"/>
      <c r="S614" s="22"/>
      <c r="T614" s="22"/>
      <c r="U614" s="2"/>
      <c r="V614" s="2"/>
      <c r="W614" s="2"/>
      <c r="X614" s="2"/>
      <c r="Y614" s="2"/>
      <c r="Z614" s="2"/>
    </row>
    <row r="615" spans="1:26" ht="12.75">
      <c r="A615" s="22"/>
      <c r="B615" s="22"/>
      <c r="C615" s="22"/>
      <c r="D615" s="22"/>
      <c r="E615" s="22"/>
      <c r="F615" s="22"/>
      <c r="G615" s="22"/>
      <c r="H615" s="22"/>
      <c r="I615" s="22"/>
      <c r="J615" s="22"/>
      <c r="K615" s="22"/>
      <c r="L615" s="22"/>
      <c r="M615" s="22"/>
      <c r="N615" s="22"/>
      <c r="O615" s="22"/>
      <c r="P615" s="22"/>
      <c r="Q615" s="22"/>
      <c r="R615" s="22"/>
      <c r="S615" s="22"/>
      <c r="T615" s="22"/>
      <c r="U615" s="2"/>
      <c r="V615" s="2"/>
      <c r="W615" s="2"/>
      <c r="X615" s="2"/>
      <c r="Y615" s="2"/>
      <c r="Z615" s="2"/>
    </row>
    <row r="616" spans="1:26" ht="12.75">
      <c r="A616" s="22"/>
      <c r="B616" s="22"/>
      <c r="C616" s="22"/>
      <c r="D616" s="22"/>
      <c r="E616" s="22"/>
      <c r="F616" s="22"/>
      <c r="G616" s="22"/>
      <c r="H616" s="22"/>
      <c r="I616" s="22"/>
      <c r="J616" s="22"/>
      <c r="K616" s="22"/>
      <c r="L616" s="22"/>
      <c r="M616" s="22"/>
      <c r="N616" s="22"/>
      <c r="O616" s="22"/>
      <c r="P616" s="22"/>
      <c r="Q616" s="22"/>
      <c r="R616" s="22"/>
      <c r="S616" s="22"/>
      <c r="T616" s="22"/>
      <c r="U616" s="2"/>
      <c r="V616" s="2"/>
      <c r="W616" s="2"/>
      <c r="X616" s="2"/>
      <c r="Y616" s="2"/>
      <c r="Z616" s="2"/>
    </row>
    <row r="617" spans="1:26" ht="12.75">
      <c r="A617" s="22"/>
      <c r="B617" s="22"/>
      <c r="C617" s="22"/>
      <c r="D617" s="22"/>
      <c r="E617" s="22"/>
      <c r="F617" s="22"/>
      <c r="G617" s="22"/>
      <c r="H617" s="22"/>
      <c r="I617" s="22"/>
      <c r="J617" s="22"/>
      <c r="K617" s="22"/>
      <c r="L617" s="22"/>
      <c r="M617" s="22"/>
      <c r="N617" s="22"/>
      <c r="O617" s="22"/>
      <c r="P617" s="22"/>
      <c r="Q617" s="22"/>
      <c r="R617" s="22"/>
      <c r="S617" s="22"/>
      <c r="T617" s="22"/>
      <c r="U617" s="2"/>
      <c r="V617" s="2"/>
      <c r="W617" s="2"/>
      <c r="X617" s="2"/>
      <c r="Y617" s="2"/>
      <c r="Z617" s="2"/>
    </row>
    <row r="618" spans="1:26" ht="12.75">
      <c r="A618" s="22"/>
      <c r="B618" s="22"/>
      <c r="C618" s="22"/>
      <c r="D618" s="22"/>
      <c r="E618" s="22"/>
      <c r="F618" s="22"/>
      <c r="G618" s="22"/>
      <c r="H618" s="22"/>
      <c r="I618" s="22"/>
      <c r="J618" s="22"/>
      <c r="K618" s="22"/>
      <c r="L618" s="22"/>
      <c r="M618" s="22"/>
      <c r="N618" s="22"/>
      <c r="O618" s="22"/>
      <c r="P618" s="22"/>
      <c r="Q618" s="22"/>
      <c r="R618" s="22"/>
      <c r="S618" s="22"/>
      <c r="T618" s="22"/>
      <c r="U618" s="2"/>
      <c r="V618" s="2"/>
      <c r="W618" s="2"/>
      <c r="X618" s="2"/>
      <c r="Y618" s="2"/>
      <c r="Z618" s="2"/>
    </row>
    <row r="619" spans="1:26" ht="12.75">
      <c r="A619" s="22"/>
      <c r="B619" s="22"/>
      <c r="C619" s="22"/>
      <c r="D619" s="22"/>
      <c r="E619" s="22"/>
      <c r="F619" s="22"/>
      <c r="G619" s="22"/>
      <c r="H619" s="22"/>
      <c r="I619" s="22"/>
      <c r="J619" s="22"/>
      <c r="K619" s="22"/>
      <c r="L619" s="22"/>
      <c r="M619" s="22"/>
      <c r="N619" s="22"/>
      <c r="O619" s="22"/>
      <c r="P619" s="22"/>
      <c r="Q619" s="22"/>
      <c r="R619" s="22"/>
      <c r="S619" s="22"/>
      <c r="T619" s="22"/>
      <c r="U619" s="2"/>
      <c r="V619" s="2"/>
      <c r="W619" s="2"/>
      <c r="X619" s="2"/>
      <c r="Y619" s="2"/>
      <c r="Z619" s="2"/>
    </row>
    <row r="620" spans="1:26" ht="12.75">
      <c r="A620" s="22"/>
      <c r="B620" s="22"/>
      <c r="C620" s="22"/>
      <c r="D620" s="22"/>
      <c r="E620" s="22"/>
      <c r="F620" s="22"/>
      <c r="G620" s="22"/>
      <c r="H620" s="22"/>
      <c r="I620" s="22"/>
      <c r="J620" s="22"/>
      <c r="K620" s="22"/>
      <c r="L620" s="22"/>
      <c r="M620" s="22"/>
      <c r="N620" s="22"/>
      <c r="O620" s="22"/>
      <c r="P620" s="22"/>
      <c r="Q620" s="22"/>
      <c r="R620" s="22"/>
      <c r="S620" s="22"/>
      <c r="T620" s="22"/>
      <c r="U620" s="2"/>
      <c r="V620" s="2"/>
      <c r="W620" s="2"/>
      <c r="X620" s="2"/>
      <c r="Y620" s="2"/>
      <c r="Z620" s="2"/>
    </row>
    <row r="621" spans="1:26" ht="12.75">
      <c r="A621" s="22"/>
      <c r="B621" s="22"/>
      <c r="C621" s="22"/>
      <c r="D621" s="22"/>
      <c r="E621" s="22"/>
      <c r="F621" s="22"/>
      <c r="G621" s="22"/>
      <c r="H621" s="22"/>
      <c r="I621" s="22"/>
      <c r="J621" s="22"/>
      <c r="K621" s="22"/>
      <c r="L621" s="22"/>
      <c r="M621" s="22"/>
      <c r="N621" s="22"/>
      <c r="O621" s="22"/>
      <c r="P621" s="22"/>
      <c r="Q621" s="22"/>
      <c r="R621" s="22"/>
      <c r="S621" s="22"/>
      <c r="T621" s="22"/>
      <c r="U621" s="2"/>
      <c r="V621" s="2"/>
      <c r="W621" s="2"/>
      <c r="X621" s="2"/>
      <c r="Y621" s="2"/>
      <c r="Z621" s="2"/>
    </row>
    <row r="622" spans="1:26" ht="12.75">
      <c r="A622" s="22"/>
      <c r="B622" s="22"/>
      <c r="C622" s="22"/>
      <c r="D622" s="22"/>
      <c r="E622" s="22"/>
      <c r="F622" s="22"/>
      <c r="G622" s="22"/>
      <c r="H622" s="22"/>
      <c r="I622" s="22"/>
      <c r="J622" s="22"/>
      <c r="K622" s="22"/>
      <c r="L622" s="22"/>
      <c r="M622" s="22"/>
      <c r="N622" s="22"/>
      <c r="O622" s="22"/>
      <c r="P622" s="22"/>
      <c r="Q622" s="22"/>
      <c r="R622" s="22"/>
      <c r="S622" s="22"/>
      <c r="T622" s="22"/>
      <c r="U622" s="2"/>
      <c r="V622" s="2"/>
      <c r="W622" s="2"/>
      <c r="X622" s="2"/>
      <c r="Y622" s="2"/>
      <c r="Z622" s="2"/>
    </row>
    <row r="623" spans="1:26" ht="12.75">
      <c r="A623" s="22"/>
      <c r="B623" s="22"/>
      <c r="C623" s="22"/>
      <c r="D623" s="22"/>
      <c r="E623" s="22"/>
      <c r="F623" s="22"/>
      <c r="G623" s="22"/>
      <c r="H623" s="22"/>
      <c r="I623" s="22"/>
      <c r="J623" s="22"/>
      <c r="K623" s="22"/>
      <c r="L623" s="22"/>
      <c r="M623" s="22"/>
      <c r="N623" s="22"/>
      <c r="O623" s="22"/>
      <c r="P623" s="22"/>
      <c r="Q623" s="22"/>
      <c r="R623" s="22"/>
      <c r="S623" s="22"/>
      <c r="T623" s="22"/>
      <c r="U623" s="2"/>
      <c r="V623" s="2"/>
      <c r="W623" s="2"/>
      <c r="X623" s="2"/>
      <c r="Y623" s="2"/>
      <c r="Z623" s="2"/>
    </row>
    <row r="624" spans="1:26" ht="12.75">
      <c r="A624" s="22"/>
      <c r="B624" s="22"/>
      <c r="C624" s="22"/>
      <c r="D624" s="22"/>
      <c r="E624" s="22"/>
      <c r="F624" s="22"/>
      <c r="G624" s="22"/>
      <c r="H624" s="22"/>
      <c r="I624" s="22"/>
      <c r="J624" s="22"/>
      <c r="K624" s="22"/>
      <c r="L624" s="22"/>
      <c r="M624" s="22"/>
      <c r="N624" s="22"/>
      <c r="O624" s="22"/>
      <c r="P624" s="22"/>
      <c r="Q624" s="22"/>
      <c r="R624" s="22"/>
      <c r="S624" s="22"/>
      <c r="T624" s="22"/>
      <c r="U624" s="2"/>
      <c r="V624" s="2"/>
      <c r="W624" s="2"/>
      <c r="X624" s="2"/>
      <c r="Y624" s="2"/>
      <c r="Z624" s="2"/>
    </row>
    <row r="625" spans="1:26" ht="12.75">
      <c r="A625" s="22"/>
      <c r="B625" s="22"/>
      <c r="C625" s="22"/>
      <c r="D625" s="22"/>
      <c r="E625" s="22"/>
      <c r="F625" s="22"/>
      <c r="G625" s="22"/>
      <c r="H625" s="22"/>
      <c r="I625" s="22"/>
      <c r="J625" s="22"/>
      <c r="K625" s="22"/>
      <c r="L625" s="22"/>
      <c r="M625" s="22"/>
      <c r="N625" s="22"/>
      <c r="O625" s="22"/>
      <c r="P625" s="22"/>
      <c r="Q625" s="22"/>
      <c r="R625" s="22"/>
      <c r="S625" s="22"/>
      <c r="T625" s="22"/>
      <c r="U625" s="2"/>
      <c r="V625" s="2"/>
      <c r="W625" s="2"/>
      <c r="X625" s="2"/>
      <c r="Y625" s="2"/>
      <c r="Z625" s="2"/>
    </row>
    <row r="626" spans="1:26" ht="12.75">
      <c r="A626" s="22"/>
      <c r="B626" s="22"/>
      <c r="C626" s="22"/>
      <c r="D626" s="22"/>
      <c r="E626" s="22"/>
      <c r="F626" s="22"/>
      <c r="G626" s="22"/>
      <c r="H626" s="22"/>
      <c r="I626" s="22"/>
      <c r="J626" s="22"/>
      <c r="K626" s="22"/>
      <c r="L626" s="22"/>
      <c r="M626" s="22"/>
      <c r="N626" s="22"/>
      <c r="O626" s="22"/>
      <c r="P626" s="22"/>
      <c r="Q626" s="22"/>
      <c r="R626" s="22"/>
      <c r="S626" s="22"/>
      <c r="T626" s="22"/>
      <c r="U626" s="2"/>
      <c r="V626" s="2"/>
      <c r="W626" s="2"/>
      <c r="X626" s="2"/>
      <c r="Y626" s="2"/>
      <c r="Z626" s="2"/>
    </row>
    <row r="627" spans="1:26" ht="12.75">
      <c r="A627" s="22"/>
      <c r="B627" s="22"/>
      <c r="C627" s="22"/>
      <c r="D627" s="22"/>
      <c r="E627" s="22"/>
      <c r="F627" s="22"/>
      <c r="G627" s="22"/>
      <c r="H627" s="22"/>
      <c r="I627" s="22"/>
      <c r="J627" s="22"/>
      <c r="K627" s="22"/>
      <c r="L627" s="22"/>
      <c r="M627" s="22"/>
      <c r="N627" s="22"/>
      <c r="O627" s="22"/>
      <c r="P627" s="22"/>
      <c r="Q627" s="22"/>
      <c r="R627" s="22"/>
      <c r="S627" s="22"/>
      <c r="T627" s="22"/>
      <c r="U627" s="2"/>
      <c r="V627" s="2"/>
      <c r="W627" s="2"/>
      <c r="X627" s="2"/>
      <c r="Y627" s="2"/>
      <c r="Z627" s="2"/>
    </row>
    <row r="628" spans="1:26" ht="12.75">
      <c r="A628" s="22"/>
      <c r="B628" s="22"/>
      <c r="C628" s="22"/>
      <c r="D628" s="22"/>
      <c r="E628" s="22"/>
      <c r="F628" s="22"/>
      <c r="G628" s="22"/>
      <c r="H628" s="22"/>
      <c r="I628" s="22"/>
      <c r="J628" s="22"/>
      <c r="K628" s="22"/>
      <c r="L628" s="22"/>
      <c r="M628" s="22"/>
      <c r="N628" s="22"/>
      <c r="O628" s="22"/>
      <c r="P628" s="22"/>
      <c r="Q628" s="22"/>
      <c r="R628" s="22"/>
      <c r="S628" s="22"/>
      <c r="T628" s="22"/>
      <c r="U628" s="2"/>
      <c r="V628" s="2"/>
      <c r="W628" s="2"/>
      <c r="X628" s="2"/>
      <c r="Y628" s="2"/>
      <c r="Z628" s="2"/>
    </row>
    <row r="629" spans="1:26" ht="12.75">
      <c r="A629" s="22"/>
      <c r="B629" s="22"/>
      <c r="C629" s="22"/>
      <c r="D629" s="22"/>
      <c r="E629" s="22"/>
      <c r="F629" s="22"/>
      <c r="G629" s="22"/>
      <c r="H629" s="22"/>
      <c r="I629" s="22"/>
      <c r="J629" s="22"/>
      <c r="K629" s="22"/>
      <c r="L629" s="22"/>
      <c r="M629" s="22"/>
      <c r="N629" s="22"/>
      <c r="O629" s="22"/>
      <c r="P629" s="22"/>
      <c r="Q629" s="22"/>
      <c r="R629" s="22"/>
      <c r="S629" s="22"/>
      <c r="T629" s="22"/>
      <c r="U629" s="2"/>
      <c r="V629" s="2"/>
      <c r="W629" s="2"/>
      <c r="X629" s="2"/>
      <c r="Y629" s="2"/>
      <c r="Z629" s="2"/>
    </row>
    <row r="630" spans="1:26" ht="12.75">
      <c r="A630" s="22"/>
      <c r="B630" s="22"/>
      <c r="C630" s="22"/>
      <c r="D630" s="22"/>
      <c r="E630" s="22"/>
      <c r="F630" s="22"/>
      <c r="G630" s="22"/>
      <c r="H630" s="22"/>
      <c r="I630" s="22"/>
      <c r="J630" s="22"/>
      <c r="K630" s="22"/>
      <c r="L630" s="22"/>
      <c r="M630" s="22"/>
      <c r="N630" s="22"/>
      <c r="O630" s="22"/>
      <c r="P630" s="22"/>
      <c r="Q630" s="22"/>
      <c r="R630" s="22"/>
      <c r="S630" s="22"/>
      <c r="T630" s="22"/>
      <c r="U630" s="2"/>
      <c r="V630" s="2"/>
      <c r="W630" s="2"/>
      <c r="X630" s="2"/>
      <c r="Y630" s="2"/>
      <c r="Z630" s="2"/>
    </row>
    <row r="631" spans="1:26" ht="12.75">
      <c r="A631" s="22"/>
      <c r="B631" s="22"/>
      <c r="C631" s="22"/>
      <c r="D631" s="22"/>
      <c r="E631" s="22"/>
      <c r="F631" s="22"/>
      <c r="G631" s="22"/>
      <c r="H631" s="22"/>
      <c r="I631" s="22"/>
      <c r="J631" s="22"/>
      <c r="K631" s="22"/>
      <c r="L631" s="22"/>
      <c r="M631" s="22"/>
      <c r="N631" s="22"/>
      <c r="O631" s="22"/>
      <c r="P631" s="22"/>
      <c r="Q631" s="22"/>
      <c r="R631" s="22"/>
      <c r="S631" s="22"/>
      <c r="T631" s="22"/>
      <c r="U631" s="2"/>
      <c r="V631" s="2"/>
      <c r="W631" s="2"/>
      <c r="X631" s="2"/>
      <c r="Y631" s="2"/>
      <c r="Z631" s="2"/>
    </row>
    <row r="632" spans="1:26" ht="12.75">
      <c r="A632" s="22"/>
      <c r="B632" s="22"/>
      <c r="C632" s="22"/>
      <c r="D632" s="22"/>
      <c r="E632" s="22"/>
      <c r="F632" s="22"/>
      <c r="G632" s="22"/>
      <c r="H632" s="22"/>
      <c r="I632" s="22"/>
      <c r="J632" s="22"/>
      <c r="K632" s="22"/>
      <c r="L632" s="22"/>
      <c r="M632" s="22"/>
      <c r="N632" s="22"/>
      <c r="O632" s="22"/>
      <c r="P632" s="22"/>
      <c r="Q632" s="22"/>
      <c r="R632" s="22"/>
      <c r="S632" s="22"/>
      <c r="T632" s="22"/>
      <c r="U632" s="2"/>
      <c r="V632" s="2"/>
      <c r="W632" s="2"/>
      <c r="X632" s="2"/>
      <c r="Y632" s="2"/>
      <c r="Z632" s="2"/>
    </row>
    <row r="633" spans="1:26" ht="12.75">
      <c r="A633" s="22"/>
      <c r="B633" s="22"/>
      <c r="C633" s="22"/>
      <c r="D633" s="22"/>
      <c r="E633" s="22"/>
      <c r="F633" s="22"/>
      <c r="G633" s="22"/>
      <c r="H633" s="22"/>
      <c r="I633" s="22"/>
      <c r="J633" s="22"/>
      <c r="K633" s="22"/>
      <c r="L633" s="22"/>
      <c r="M633" s="22"/>
      <c r="N633" s="22"/>
      <c r="O633" s="22"/>
      <c r="P633" s="22"/>
      <c r="Q633" s="22"/>
      <c r="R633" s="22"/>
      <c r="S633" s="22"/>
      <c r="T633" s="22"/>
      <c r="U633" s="2"/>
      <c r="V633" s="2"/>
      <c r="W633" s="2"/>
      <c r="X633" s="2"/>
      <c r="Y633" s="2"/>
      <c r="Z633" s="2"/>
    </row>
    <row r="634" spans="1:26" ht="12.75">
      <c r="A634" s="22"/>
      <c r="B634" s="22"/>
      <c r="C634" s="22"/>
      <c r="D634" s="22"/>
      <c r="E634" s="22"/>
      <c r="F634" s="22"/>
      <c r="G634" s="22"/>
      <c r="H634" s="22"/>
      <c r="I634" s="22"/>
      <c r="J634" s="22"/>
      <c r="K634" s="22"/>
      <c r="L634" s="22"/>
      <c r="M634" s="22"/>
      <c r="N634" s="22"/>
      <c r="O634" s="22"/>
      <c r="P634" s="22"/>
      <c r="Q634" s="22"/>
      <c r="R634" s="22"/>
      <c r="S634" s="22"/>
      <c r="T634" s="22"/>
      <c r="U634" s="2"/>
      <c r="V634" s="2"/>
      <c r="W634" s="2"/>
      <c r="X634" s="2"/>
      <c r="Y634" s="2"/>
      <c r="Z634" s="2"/>
    </row>
    <row r="635" spans="1:26" ht="12.75">
      <c r="A635" s="22"/>
      <c r="B635" s="22"/>
      <c r="C635" s="22"/>
      <c r="D635" s="22"/>
      <c r="E635" s="22"/>
      <c r="F635" s="22"/>
      <c r="G635" s="22"/>
      <c r="H635" s="22"/>
      <c r="I635" s="22"/>
      <c r="J635" s="22"/>
      <c r="K635" s="22"/>
      <c r="L635" s="22"/>
      <c r="M635" s="22"/>
      <c r="N635" s="22"/>
      <c r="O635" s="22"/>
      <c r="P635" s="22"/>
      <c r="Q635" s="22"/>
      <c r="R635" s="22"/>
      <c r="S635" s="22"/>
      <c r="T635" s="22"/>
      <c r="U635" s="2"/>
      <c r="V635" s="2"/>
      <c r="W635" s="2"/>
      <c r="X635" s="2"/>
      <c r="Y635" s="2"/>
      <c r="Z635" s="2"/>
    </row>
    <row r="636" spans="1:26" ht="12.75">
      <c r="A636" s="22"/>
      <c r="B636" s="22"/>
      <c r="C636" s="22"/>
      <c r="D636" s="22"/>
      <c r="E636" s="22"/>
      <c r="F636" s="22"/>
      <c r="G636" s="22"/>
      <c r="H636" s="22"/>
      <c r="I636" s="22"/>
      <c r="J636" s="22"/>
      <c r="K636" s="22"/>
      <c r="L636" s="22"/>
      <c r="M636" s="22"/>
      <c r="N636" s="22"/>
      <c r="O636" s="22"/>
      <c r="P636" s="22"/>
      <c r="Q636" s="22"/>
      <c r="R636" s="22"/>
      <c r="S636" s="22"/>
      <c r="T636" s="22"/>
      <c r="U636" s="2"/>
      <c r="V636" s="2"/>
      <c r="W636" s="2"/>
      <c r="X636" s="2"/>
      <c r="Y636" s="2"/>
      <c r="Z636" s="2"/>
    </row>
    <row r="637" spans="1:26" ht="12.75">
      <c r="A637" s="22"/>
      <c r="B637" s="22"/>
      <c r="C637" s="22"/>
      <c r="D637" s="22"/>
      <c r="E637" s="22"/>
      <c r="F637" s="22"/>
      <c r="G637" s="22"/>
      <c r="H637" s="22"/>
      <c r="I637" s="22"/>
      <c r="J637" s="22"/>
      <c r="K637" s="22"/>
      <c r="L637" s="22"/>
      <c r="M637" s="22"/>
      <c r="N637" s="22"/>
      <c r="O637" s="22"/>
      <c r="P637" s="22"/>
      <c r="Q637" s="22"/>
      <c r="R637" s="22"/>
      <c r="S637" s="22"/>
      <c r="T637" s="22"/>
      <c r="U637" s="2"/>
      <c r="V637" s="2"/>
      <c r="W637" s="2"/>
      <c r="X637" s="2"/>
      <c r="Y637" s="2"/>
      <c r="Z637" s="2"/>
    </row>
    <row r="638" spans="1:26" ht="12.75">
      <c r="A638" s="22"/>
      <c r="B638" s="22"/>
      <c r="C638" s="22"/>
      <c r="D638" s="22"/>
      <c r="E638" s="22"/>
      <c r="F638" s="22"/>
      <c r="G638" s="22"/>
      <c r="H638" s="22"/>
      <c r="I638" s="22"/>
      <c r="J638" s="22"/>
      <c r="K638" s="22"/>
      <c r="L638" s="22"/>
      <c r="M638" s="22"/>
      <c r="N638" s="22"/>
      <c r="O638" s="22"/>
      <c r="P638" s="22"/>
      <c r="Q638" s="22"/>
      <c r="R638" s="22"/>
      <c r="S638" s="22"/>
      <c r="T638" s="22"/>
      <c r="U638" s="2"/>
      <c r="V638" s="2"/>
      <c r="W638" s="2"/>
      <c r="X638" s="2"/>
      <c r="Y638" s="2"/>
      <c r="Z638" s="2"/>
    </row>
    <row r="639" spans="1:26" ht="12.75">
      <c r="A639" s="22"/>
      <c r="B639" s="22"/>
      <c r="C639" s="22"/>
      <c r="D639" s="22"/>
      <c r="E639" s="22"/>
      <c r="F639" s="22"/>
      <c r="G639" s="22"/>
      <c r="H639" s="22"/>
      <c r="I639" s="22"/>
      <c r="J639" s="22"/>
      <c r="K639" s="22"/>
      <c r="L639" s="22"/>
      <c r="M639" s="22"/>
      <c r="N639" s="22"/>
      <c r="O639" s="22"/>
      <c r="P639" s="22"/>
      <c r="Q639" s="22"/>
      <c r="R639" s="22"/>
      <c r="S639" s="22"/>
      <c r="T639" s="22"/>
      <c r="U639" s="2"/>
      <c r="V639" s="2"/>
      <c r="W639" s="2"/>
      <c r="X639" s="2"/>
      <c r="Y639" s="2"/>
      <c r="Z639" s="2"/>
    </row>
    <row r="640" spans="1:26" ht="12.75">
      <c r="A640" s="22"/>
      <c r="B640" s="22"/>
      <c r="C640" s="22"/>
      <c r="D640" s="22"/>
      <c r="E640" s="22"/>
      <c r="F640" s="22"/>
      <c r="G640" s="22"/>
      <c r="H640" s="22"/>
      <c r="I640" s="22"/>
      <c r="J640" s="22"/>
      <c r="K640" s="22"/>
      <c r="L640" s="22"/>
      <c r="M640" s="22"/>
      <c r="N640" s="22"/>
      <c r="O640" s="22"/>
      <c r="P640" s="22"/>
      <c r="Q640" s="22"/>
      <c r="R640" s="22"/>
      <c r="S640" s="22"/>
      <c r="T640" s="22"/>
      <c r="U640" s="2"/>
      <c r="V640" s="2"/>
      <c r="W640" s="2"/>
      <c r="X640" s="2"/>
      <c r="Y640" s="2"/>
      <c r="Z640" s="2"/>
    </row>
    <row r="641" spans="1:26" ht="12.75">
      <c r="A641" s="22"/>
      <c r="B641" s="22"/>
      <c r="C641" s="22"/>
      <c r="D641" s="22"/>
      <c r="E641" s="22"/>
      <c r="F641" s="22"/>
      <c r="G641" s="22"/>
      <c r="H641" s="22"/>
      <c r="I641" s="22"/>
      <c r="J641" s="22"/>
      <c r="K641" s="22"/>
      <c r="L641" s="22"/>
      <c r="M641" s="22"/>
      <c r="N641" s="22"/>
      <c r="O641" s="22"/>
      <c r="P641" s="22"/>
      <c r="Q641" s="22"/>
      <c r="R641" s="22"/>
      <c r="S641" s="22"/>
      <c r="T641" s="22"/>
      <c r="U641" s="2"/>
      <c r="V641" s="2"/>
      <c r="W641" s="2"/>
      <c r="X641" s="2"/>
      <c r="Y641" s="2"/>
      <c r="Z641" s="2"/>
    </row>
    <row r="642" spans="1:26" ht="12.75">
      <c r="A642" s="22"/>
      <c r="B642" s="22"/>
      <c r="C642" s="22"/>
      <c r="D642" s="22"/>
      <c r="E642" s="22"/>
      <c r="F642" s="22"/>
      <c r="G642" s="22"/>
      <c r="H642" s="22"/>
      <c r="I642" s="22"/>
      <c r="J642" s="22"/>
      <c r="K642" s="22"/>
      <c r="L642" s="22"/>
      <c r="M642" s="22"/>
      <c r="N642" s="22"/>
      <c r="O642" s="22"/>
      <c r="P642" s="22"/>
      <c r="Q642" s="22"/>
      <c r="R642" s="22"/>
      <c r="S642" s="22"/>
      <c r="T642" s="22"/>
      <c r="U642" s="2"/>
      <c r="V642" s="2"/>
      <c r="W642" s="2"/>
      <c r="X642" s="2"/>
      <c r="Y642" s="2"/>
      <c r="Z642" s="2"/>
    </row>
    <row r="643" spans="1:26" ht="12.75">
      <c r="A643" s="22"/>
      <c r="B643" s="22"/>
      <c r="C643" s="22"/>
      <c r="D643" s="22"/>
      <c r="E643" s="22"/>
      <c r="F643" s="22"/>
      <c r="G643" s="22"/>
      <c r="H643" s="22"/>
      <c r="I643" s="22"/>
      <c r="J643" s="22"/>
      <c r="K643" s="22"/>
      <c r="L643" s="22"/>
      <c r="M643" s="22"/>
      <c r="N643" s="22"/>
      <c r="O643" s="22"/>
      <c r="P643" s="22"/>
      <c r="Q643" s="22"/>
      <c r="R643" s="22"/>
      <c r="S643" s="22"/>
      <c r="T643" s="22"/>
      <c r="U643" s="2"/>
      <c r="V643" s="2"/>
      <c r="W643" s="2"/>
      <c r="X643" s="2"/>
      <c r="Y643" s="2"/>
      <c r="Z643" s="2"/>
    </row>
    <row r="644" spans="1:26" ht="12.75">
      <c r="A644" s="22"/>
      <c r="B644" s="22"/>
      <c r="C644" s="22"/>
      <c r="D644" s="22"/>
      <c r="E644" s="22"/>
      <c r="F644" s="22"/>
      <c r="G644" s="22"/>
      <c r="H644" s="22"/>
      <c r="I644" s="22"/>
      <c r="J644" s="22"/>
      <c r="K644" s="22"/>
      <c r="L644" s="22"/>
      <c r="M644" s="22"/>
      <c r="N644" s="22"/>
      <c r="O644" s="22"/>
      <c r="P644" s="22"/>
      <c r="Q644" s="22"/>
      <c r="R644" s="22"/>
      <c r="S644" s="22"/>
      <c r="T644" s="22"/>
      <c r="U644" s="2"/>
      <c r="V644" s="2"/>
      <c r="W644" s="2"/>
      <c r="X644" s="2"/>
      <c r="Y644" s="2"/>
      <c r="Z644" s="2"/>
    </row>
    <row r="645" spans="1:26" ht="12.75">
      <c r="A645" s="22"/>
      <c r="B645" s="22"/>
      <c r="C645" s="22"/>
      <c r="D645" s="22"/>
      <c r="E645" s="22"/>
      <c r="F645" s="22"/>
      <c r="G645" s="22"/>
      <c r="H645" s="22"/>
      <c r="I645" s="22"/>
      <c r="J645" s="22"/>
      <c r="K645" s="22"/>
      <c r="L645" s="22"/>
      <c r="M645" s="22"/>
      <c r="N645" s="22"/>
      <c r="O645" s="22"/>
      <c r="P645" s="22"/>
      <c r="Q645" s="22"/>
      <c r="R645" s="22"/>
      <c r="S645" s="22"/>
      <c r="T645" s="22"/>
      <c r="U645" s="2"/>
      <c r="V645" s="2"/>
      <c r="W645" s="2"/>
      <c r="X645" s="2"/>
      <c r="Y645" s="2"/>
      <c r="Z645" s="2"/>
    </row>
    <row r="646" spans="1:26" ht="12.75">
      <c r="A646" s="22"/>
      <c r="B646" s="22"/>
      <c r="C646" s="22"/>
      <c r="D646" s="22"/>
      <c r="E646" s="22"/>
      <c r="F646" s="22"/>
      <c r="G646" s="22"/>
      <c r="H646" s="22"/>
      <c r="I646" s="22"/>
      <c r="J646" s="22"/>
      <c r="K646" s="22"/>
      <c r="L646" s="22"/>
      <c r="M646" s="22"/>
      <c r="N646" s="22"/>
      <c r="O646" s="22"/>
      <c r="P646" s="22"/>
      <c r="Q646" s="22"/>
      <c r="R646" s="22"/>
      <c r="S646" s="22"/>
      <c r="T646" s="22"/>
      <c r="U646" s="2"/>
      <c r="V646" s="2"/>
      <c r="W646" s="2"/>
      <c r="X646" s="2"/>
      <c r="Y646" s="2"/>
      <c r="Z646" s="2"/>
    </row>
    <row r="647" spans="1:26" ht="12.75">
      <c r="A647" s="22"/>
      <c r="B647" s="22"/>
      <c r="C647" s="22"/>
      <c r="D647" s="22"/>
      <c r="E647" s="22"/>
      <c r="F647" s="22"/>
      <c r="G647" s="22"/>
      <c r="H647" s="22"/>
      <c r="I647" s="22"/>
      <c r="J647" s="22"/>
      <c r="K647" s="22"/>
      <c r="L647" s="22"/>
      <c r="M647" s="22"/>
      <c r="N647" s="22"/>
      <c r="O647" s="22"/>
      <c r="P647" s="22"/>
      <c r="Q647" s="22"/>
      <c r="R647" s="22"/>
      <c r="S647" s="22"/>
      <c r="T647" s="22"/>
      <c r="U647" s="2"/>
      <c r="V647" s="2"/>
      <c r="W647" s="2"/>
      <c r="X647" s="2"/>
      <c r="Y647" s="2"/>
      <c r="Z647" s="2"/>
    </row>
    <row r="648" spans="1:26" ht="12.75">
      <c r="A648" s="22"/>
      <c r="B648" s="22"/>
      <c r="C648" s="22"/>
      <c r="D648" s="22"/>
      <c r="E648" s="22"/>
      <c r="F648" s="22"/>
      <c r="G648" s="22"/>
      <c r="H648" s="22"/>
      <c r="I648" s="22"/>
      <c r="J648" s="22"/>
      <c r="K648" s="22"/>
      <c r="L648" s="22"/>
      <c r="M648" s="22"/>
      <c r="N648" s="22"/>
      <c r="O648" s="22"/>
      <c r="P648" s="22"/>
      <c r="Q648" s="22"/>
      <c r="R648" s="22"/>
      <c r="S648" s="22"/>
      <c r="T648" s="22"/>
      <c r="U648" s="2"/>
      <c r="V648" s="2"/>
      <c r="W648" s="2"/>
      <c r="X648" s="2"/>
      <c r="Y648" s="2"/>
      <c r="Z648" s="2"/>
    </row>
    <row r="649" spans="1:26" ht="12.75">
      <c r="A649" s="22"/>
      <c r="B649" s="22"/>
      <c r="C649" s="22"/>
      <c r="D649" s="22"/>
      <c r="E649" s="22"/>
      <c r="F649" s="22"/>
      <c r="G649" s="22"/>
      <c r="H649" s="22"/>
      <c r="I649" s="22"/>
      <c r="J649" s="22"/>
      <c r="K649" s="22"/>
      <c r="L649" s="22"/>
      <c r="M649" s="22"/>
      <c r="N649" s="22"/>
      <c r="O649" s="22"/>
      <c r="P649" s="22"/>
      <c r="Q649" s="22"/>
      <c r="R649" s="22"/>
      <c r="S649" s="22"/>
      <c r="T649" s="22"/>
      <c r="U649" s="2"/>
      <c r="V649" s="2"/>
      <c r="W649" s="2"/>
      <c r="X649" s="2"/>
      <c r="Y649" s="2"/>
      <c r="Z649" s="2"/>
    </row>
    <row r="650" spans="1:26" ht="12.75">
      <c r="A650" s="22"/>
      <c r="B650" s="22"/>
      <c r="C650" s="22"/>
      <c r="D650" s="22"/>
      <c r="E650" s="22"/>
      <c r="F650" s="22"/>
      <c r="G650" s="22"/>
      <c r="H650" s="22"/>
      <c r="I650" s="22"/>
      <c r="J650" s="22"/>
      <c r="K650" s="22"/>
      <c r="L650" s="22"/>
      <c r="M650" s="22"/>
      <c r="N650" s="22"/>
      <c r="O650" s="22"/>
      <c r="P650" s="22"/>
      <c r="Q650" s="22"/>
      <c r="R650" s="22"/>
      <c r="S650" s="22"/>
      <c r="T650" s="22"/>
      <c r="U650" s="2"/>
      <c r="V650" s="2"/>
      <c r="W650" s="2"/>
      <c r="X650" s="2"/>
      <c r="Y650" s="2"/>
      <c r="Z650" s="2"/>
    </row>
    <row r="651" spans="1:26" ht="12.75">
      <c r="A651" s="22"/>
      <c r="B651" s="22"/>
      <c r="C651" s="22"/>
      <c r="D651" s="22"/>
      <c r="E651" s="22"/>
      <c r="F651" s="22"/>
      <c r="G651" s="22"/>
      <c r="H651" s="22"/>
      <c r="I651" s="22"/>
      <c r="J651" s="22"/>
      <c r="K651" s="22"/>
      <c r="L651" s="22"/>
      <c r="M651" s="22"/>
      <c r="N651" s="22"/>
      <c r="O651" s="22"/>
      <c r="P651" s="22"/>
      <c r="Q651" s="22"/>
      <c r="R651" s="22"/>
      <c r="S651" s="22"/>
      <c r="T651" s="22"/>
      <c r="U651" s="2"/>
      <c r="V651" s="2"/>
      <c r="W651" s="2"/>
      <c r="X651" s="2"/>
      <c r="Y651" s="2"/>
      <c r="Z651" s="2"/>
    </row>
    <row r="652" spans="1:26" ht="12.75">
      <c r="A652" s="22"/>
      <c r="B652" s="22"/>
      <c r="C652" s="22"/>
      <c r="D652" s="22"/>
      <c r="E652" s="22"/>
      <c r="F652" s="22"/>
      <c r="G652" s="22"/>
      <c r="H652" s="22"/>
      <c r="I652" s="22"/>
      <c r="J652" s="22"/>
      <c r="K652" s="22"/>
      <c r="L652" s="22"/>
      <c r="M652" s="22"/>
      <c r="N652" s="22"/>
      <c r="O652" s="22"/>
      <c r="P652" s="22"/>
      <c r="Q652" s="22"/>
      <c r="R652" s="22"/>
      <c r="S652" s="22"/>
      <c r="T652" s="22"/>
      <c r="U652" s="2"/>
      <c r="V652" s="2"/>
      <c r="W652" s="2"/>
      <c r="X652" s="2"/>
      <c r="Y652" s="2"/>
      <c r="Z652" s="2"/>
    </row>
    <row r="653" spans="1:26" ht="12.75">
      <c r="A653" s="22"/>
      <c r="B653" s="22"/>
      <c r="C653" s="22"/>
      <c r="D653" s="22"/>
      <c r="E653" s="22"/>
      <c r="F653" s="22"/>
      <c r="G653" s="22"/>
      <c r="H653" s="22"/>
      <c r="I653" s="22"/>
      <c r="J653" s="22"/>
      <c r="K653" s="22"/>
      <c r="L653" s="22"/>
      <c r="M653" s="22"/>
      <c r="N653" s="22"/>
      <c r="O653" s="22"/>
      <c r="P653" s="22"/>
      <c r="Q653" s="22"/>
      <c r="R653" s="22"/>
      <c r="S653" s="22"/>
      <c r="T653" s="22"/>
      <c r="U653" s="2"/>
      <c r="V653" s="2"/>
      <c r="W653" s="2"/>
      <c r="X653" s="2"/>
      <c r="Y653" s="2"/>
      <c r="Z653" s="2"/>
    </row>
    <row r="654" spans="1:26" ht="12.75">
      <c r="A654" s="22"/>
      <c r="B654" s="22"/>
      <c r="C654" s="22"/>
      <c r="D654" s="22"/>
      <c r="E654" s="22"/>
      <c r="F654" s="22"/>
      <c r="G654" s="22"/>
      <c r="H654" s="22"/>
      <c r="I654" s="22"/>
      <c r="J654" s="22"/>
      <c r="K654" s="22"/>
      <c r="L654" s="22"/>
      <c r="M654" s="22"/>
      <c r="N654" s="22"/>
      <c r="O654" s="22"/>
      <c r="P654" s="22"/>
      <c r="Q654" s="22"/>
      <c r="R654" s="22"/>
      <c r="S654" s="22"/>
      <c r="T654" s="22"/>
      <c r="U654" s="2"/>
      <c r="V654" s="2"/>
      <c r="W654" s="2"/>
      <c r="X654" s="2"/>
      <c r="Y654" s="2"/>
      <c r="Z654" s="2"/>
    </row>
    <row r="655" spans="1:26" ht="12.75">
      <c r="A655" s="22"/>
      <c r="B655" s="22"/>
      <c r="C655" s="22"/>
      <c r="D655" s="22"/>
      <c r="E655" s="22"/>
      <c r="F655" s="22"/>
      <c r="G655" s="22"/>
      <c r="H655" s="22"/>
      <c r="I655" s="22"/>
      <c r="J655" s="22"/>
      <c r="K655" s="22"/>
      <c r="L655" s="22"/>
      <c r="M655" s="22"/>
      <c r="N655" s="22"/>
      <c r="O655" s="22"/>
      <c r="P655" s="22"/>
      <c r="Q655" s="22"/>
      <c r="R655" s="22"/>
      <c r="S655" s="22"/>
      <c r="T655" s="22"/>
      <c r="U655" s="2"/>
      <c r="V655" s="2"/>
      <c r="W655" s="2"/>
      <c r="X655" s="2"/>
      <c r="Y655" s="2"/>
      <c r="Z655" s="2"/>
    </row>
    <row r="656" spans="1:26" ht="12.75">
      <c r="A656" s="22"/>
      <c r="B656" s="22"/>
      <c r="C656" s="22"/>
      <c r="D656" s="22"/>
      <c r="E656" s="22"/>
      <c r="F656" s="22"/>
      <c r="G656" s="22"/>
      <c r="H656" s="22"/>
      <c r="I656" s="22"/>
      <c r="J656" s="22"/>
      <c r="K656" s="22"/>
      <c r="L656" s="22"/>
      <c r="M656" s="22"/>
      <c r="N656" s="22"/>
      <c r="O656" s="22"/>
      <c r="P656" s="22"/>
      <c r="Q656" s="22"/>
      <c r="R656" s="22"/>
      <c r="S656" s="22"/>
      <c r="T656" s="22"/>
      <c r="U656" s="2"/>
      <c r="V656" s="2"/>
      <c r="W656" s="2"/>
      <c r="X656" s="2"/>
      <c r="Y656" s="2"/>
      <c r="Z656" s="2"/>
    </row>
    <row r="657" spans="1:26" ht="12.75">
      <c r="A657" s="22"/>
      <c r="B657" s="22"/>
      <c r="C657" s="22"/>
      <c r="D657" s="22"/>
      <c r="E657" s="22"/>
      <c r="F657" s="22"/>
      <c r="G657" s="22"/>
      <c r="H657" s="22"/>
      <c r="I657" s="22"/>
      <c r="J657" s="22"/>
      <c r="K657" s="22"/>
      <c r="L657" s="22"/>
      <c r="M657" s="22"/>
      <c r="N657" s="22"/>
      <c r="O657" s="22"/>
      <c r="P657" s="22"/>
      <c r="Q657" s="22"/>
      <c r="R657" s="22"/>
      <c r="S657" s="22"/>
      <c r="T657" s="22"/>
      <c r="U657" s="2"/>
      <c r="V657" s="2"/>
      <c r="W657" s="2"/>
      <c r="X657" s="2"/>
      <c r="Y657" s="2"/>
      <c r="Z657" s="2"/>
    </row>
    <row r="658" spans="1:26" ht="12.75">
      <c r="A658" s="22"/>
      <c r="B658" s="22"/>
      <c r="C658" s="22"/>
      <c r="D658" s="22"/>
      <c r="E658" s="22"/>
      <c r="F658" s="22"/>
      <c r="G658" s="22"/>
      <c r="H658" s="22"/>
      <c r="I658" s="22"/>
      <c r="J658" s="22"/>
      <c r="K658" s="22"/>
      <c r="L658" s="22"/>
      <c r="M658" s="22"/>
      <c r="N658" s="22"/>
      <c r="O658" s="22"/>
      <c r="P658" s="22"/>
      <c r="Q658" s="22"/>
      <c r="R658" s="22"/>
      <c r="S658" s="22"/>
      <c r="T658" s="22"/>
      <c r="U658" s="2"/>
      <c r="V658" s="2"/>
      <c r="W658" s="2"/>
      <c r="X658" s="2"/>
      <c r="Y658" s="2"/>
      <c r="Z658" s="2"/>
    </row>
    <row r="659" spans="1:26" ht="12.75">
      <c r="A659" s="22"/>
      <c r="B659" s="22"/>
      <c r="C659" s="22"/>
      <c r="D659" s="22"/>
      <c r="E659" s="22"/>
      <c r="F659" s="22"/>
      <c r="G659" s="22"/>
      <c r="H659" s="22"/>
      <c r="I659" s="22"/>
      <c r="J659" s="22"/>
      <c r="K659" s="22"/>
      <c r="L659" s="22"/>
      <c r="M659" s="22"/>
      <c r="N659" s="22"/>
      <c r="O659" s="22"/>
      <c r="P659" s="22"/>
      <c r="Q659" s="22"/>
      <c r="R659" s="22"/>
      <c r="S659" s="22"/>
      <c r="T659" s="22"/>
      <c r="U659" s="2"/>
      <c r="V659" s="2"/>
      <c r="W659" s="2"/>
      <c r="X659" s="2"/>
      <c r="Y659" s="2"/>
      <c r="Z659" s="2"/>
    </row>
    <row r="660" spans="1:26" ht="12.75">
      <c r="A660" s="22"/>
      <c r="B660" s="22"/>
      <c r="C660" s="22"/>
      <c r="D660" s="22"/>
      <c r="E660" s="22"/>
      <c r="F660" s="22"/>
      <c r="G660" s="22"/>
      <c r="H660" s="22"/>
      <c r="I660" s="22"/>
      <c r="J660" s="22"/>
      <c r="K660" s="22"/>
      <c r="L660" s="22"/>
      <c r="M660" s="22"/>
      <c r="N660" s="22"/>
      <c r="O660" s="22"/>
      <c r="P660" s="22"/>
      <c r="Q660" s="22"/>
      <c r="R660" s="22"/>
      <c r="S660" s="22"/>
      <c r="T660" s="22"/>
      <c r="U660" s="2"/>
      <c r="V660" s="2"/>
      <c r="W660" s="2"/>
      <c r="X660" s="2"/>
      <c r="Y660" s="2"/>
      <c r="Z660" s="2"/>
    </row>
    <row r="661" spans="1:26" ht="12.75">
      <c r="A661" s="22"/>
      <c r="B661" s="22"/>
      <c r="C661" s="22"/>
      <c r="D661" s="22"/>
      <c r="E661" s="22"/>
      <c r="F661" s="22"/>
      <c r="G661" s="22"/>
      <c r="H661" s="22"/>
      <c r="I661" s="22"/>
      <c r="J661" s="22"/>
      <c r="K661" s="22"/>
      <c r="L661" s="22"/>
      <c r="M661" s="22"/>
      <c r="N661" s="22"/>
      <c r="O661" s="22"/>
      <c r="P661" s="22"/>
      <c r="Q661" s="22"/>
      <c r="R661" s="22"/>
      <c r="S661" s="22"/>
      <c r="T661" s="22"/>
      <c r="U661" s="2"/>
      <c r="V661" s="2"/>
      <c r="W661" s="2"/>
      <c r="X661" s="2"/>
      <c r="Y661" s="2"/>
      <c r="Z661" s="2"/>
    </row>
    <row r="662" spans="1:26" ht="12.75">
      <c r="A662" s="22"/>
      <c r="B662" s="22"/>
      <c r="C662" s="22"/>
      <c r="D662" s="22"/>
      <c r="E662" s="22"/>
      <c r="F662" s="22"/>
      <c r="G662" s="22"/>
      <c r="H662" s="22"/>
      <c r="I662" s="22"/>
      <c r="J662" s="22"/>
      <c r="K662" s="22"/>
      <c r="L662" s="22"/>
      <c r="M662" s="22"/>
      <c r="N662" s="22"/>
      <c r="O662" s="22"/>
      <c r="P662" s="22"/>
      <c r="Q662" s="22"/>
      <c r="R662" s="22"/>
      <c r="S662" s="22"/>
      <c r="T662" s="22"/>
      <c r="U662" s="2"/>
      <c r="V662" s="2"/>
      <c r="W662" s="2"/>
      <c r="X662" s="2"/>
      <c r="Y662" s="2"/>
      <c r="Z662" s="2"/>
    </row>
    <row r="663" spans="1:26" ht="12.75">
      <c r="A663" s="22"/>
      <c r="B663" s="22"/>
      <c r="C663" s="22"/>
      <c r="D663" s="22"/>
      <c r="E663" s="22"/>
      <c r="F663" s="22"/>
      <c r="G663" s="22"/>
      <c r="H663" s="22"/>
      <c r="I663" s="22"/>
      <c r="J663" s="22"/>
      <c r="K663" s="22"/>
      <c r="L663" s="22"/>
      <c r="M663" s="22"/>
      <c r="N663" s="22"/>
      <c r="O663" s="22"/>
      <c r="P663" s="22"/>
      <c r="Q663" s="22"/>
      <c r="R663" s="22"/>
      <c r="S663" s="22"/>
      <c r="T663" s="22"/>
      <c r="U663" s="2"/>
      <c r="V663" s="2"/>
      <c r="W663" s="2"/>
      <c r="X663" s="2"/>
      <c r="Y663" s="2"/>
      <c r="Z663" s="2"/>
    </row>
    <row r="664" spans="1:26" ht="12.75">
      <c r="A664" s="22"/>
      <c r="B664" s="22"/>
      <c r="C664" s="22"/>
      <c r="D664" s="22"/>
      <c r="E664" s="22"/>
      <c r="F664" s="22"/>
      <c r="G664" s="22"/>
      <c r="H664" s="22"/>
      <c r="I664" s="22"/>
      <c r="J664" s="22"/>
      <c r="K664" s="22"/>
      <c r="L664" s="22"/>
      <c r="M664" s="22"/>
      <c r="N664" s="22"/>
      <c r="O664" s="22"/>
      <c r="P664" s="22"/>
      <c r="Q664" s="22"/>
      <c r="R664" s="22"/>
      <c r="S664" s="22"/>
      <c r="T664" s="22"/>
      <c r="U664" s="2"/>
      <c r="V664" s="2"/>
      <c r="W664" s="2"/>
      <c r="X664" s="2"/>
      <c r="Y664" s="2"/>
      <c r="Z664" s="2"/>
    </row>
    <row r="665" spans="1:26" ht="12.75">
      <c r="A665" s="22"/>
      <c r="B665" s="22"/>
      <c r="C665" s="22"/>
      <c r="D665" s="22"/>
      <c r="E665" s="22"/>
      <c r="F665" s="22"/>
      <c r="G665" s="22"/>
      <c r="H665" s="22"/>
      <c r="I665" s="22"/>
      <c r="J665" s="22"/>
      <c r="K665" s="22"/>
      <c r="L665" s="22"/>
      <c r="M665" s="22"/>
      <c r="N665" s="22"/>
      <c r="O665" s="22"/>
      <c r="P665" s="22"/>
      <c r="Q665" s="22"/>
      <c r="R665" s="22"/>
      <c r="S665" s="22"/>
      <c r="T665" s="22"/>
      <c r="U665" s="2"/>
      <c r="V665" s="2"/>
      <c r="W665" s="2"/>
      <c r="X665" s="2"/>
      <c r="Y665" s="2"/>
      <c r="Z665" s="2"/>
    </row>
    <row r="666" spans="1:26" ht="12.75">
      <c r="A666" s="22"/>
      <c r="B666" s="22"/>
      <c r="C666" s="22"/>
      <c r="D666" s="22"/>
      <c r="E666" s="22"/>
      <c r="F666" s="22"/>
      <c r="G666" s="22"/>
      <c r="H666" s="22"/>
      <c r="I666" s="22"/>
      <c r="J666" s="22"/>
      <c r="K666" s="22"/>
      <c r="L666" s="22"/>
      <c r="M666" s="22"/>
      <c r="N666" s="22"/>
      <c r="O666" s="22"/>
      <c r="P666" s="22"/>
      <c r="Q666" s="22"/>
      <c r="R666" s="22"/>
      <c r="S666" s="22"/>
      <c r="T666" s="22"/>
      <c r="U666" s="2"/>
      <c r="V666" s="2"/>
      <c r="W666" s="2"/>
      <c r="X666" s="2"/>
      <c r="Y666" s="2"/>
      <c r="Z666" s="2"/>
    </row>
    <row r="667" spans="1:26" ht="12.75">
      <c r="A667" s="22"/>
      <c r="B667" s="22"/>
      <c r="C667" s="22"/>
      <c r="D667" s="22"/>
      <c r="E667" s="22"/>
      <c r="F667" s="22"/>
      <c r="G667" s="22"/>
      <c r="H667" s="22"/>
      <c r="I667" s="22"/>
      <c r="J667" s="22"/>
      <c r="K667" s="22"/>
      <c r="L667" s="22"/>
      <c r="M667" s="22"/>
      <c r="N667" s="22"/>
      <c r="O667" s="22"/>
      <c r="P667" s="22"/>
      <c r="Q667" s="22"/>
      <c r="R667" s="22"/>
      <c r="S667" s="22"/>
      <c r="T667" s="22"/>
      <c r="U667" s="2"/>
      <c r="V667" s="2"/>
      <c r="W667" s="2"/>
      <c r="X667" s="2"/>
      <c r="Y667" s="2"/>
      <c r="Z667" s="2"/>
    </row>
    <row r="668" spans="1:26" ht="12.75">
      <c r="A668" s="22"/>
      <c r="B668" s="22"/>
      <c r="C668" s="22"/>
      <c r="D668" s="22"/>
      <c r="E668" s="22"/>
      <c r="F668" s="22"/>
      <c r="G668" s="22"/>
      <c r="H668" s="22"/>
      <c r="I668" s="22"/>
      <c r="J668" s="22"/>
      <c r="K668" s="22"/>
      <c r="L668" s="22"/>
      <c r="M668" s="22"/>
      <c r="N668" s="22"/>
      <c r="O668" s="22"/>
      <c r="P668" s="22"/>
      <c r="Q668" s="22"/>
      <c r="R668" s="22"/>
      <c r="S668" s="22"/>
      <c r="T668" s="22"/>
      <c r="U668" s="2"/>
      <c r="V668" s="2"/>
      <c r="W668" s="2"/>
      <c r="X668" s="2"/>
      <c r="Y668" s="2"/>
      <c r="Z668" s="2"/>
    </row>
    <row r="669" spans="1:26" ht="12.75">
      <c r="A669" s="22"/>
      <c r="B669" s="22"/>
      <c r="C669" s="22"/>
      <c r="D669" s="22"/>
      <c r="E669" s="22"/>
      <c r="F669" s="22"/>
      <c r="G669" s="22"/>
      <c r="H669" s="22"/>
      <c r="I669" s="22"/>
      <c r="J669" s="22"/>
      <c r="K669" s="22"/>
      <c r="L669" s="22"/>
      <c r="M669" s="22"/>
      <c r="N669" s="22"/>
      <c r="O669" s="22"/>
      <c r="P669" s="22"/>
      <c r="Q669" s="22"/>
      <c r="R669" s="22"/>
      <c r="S669" s="22"/>
      <c r="T669" s="22"/>
      <c r="U669" s="2"/>
      <c r="V669" s="2"/>
      <c r="W669" s="2"/>
      <c r="X669" s="2"/>
      <c r="Y669" s="2"/>
      <c r="Z669" s="2"/>
    </row>
    <row r="670" spans="1:26" ht="12.75">
      <c r="A670" s="22"/>
      <c r="B670" s="22"/>
      <c r="C670" s="22"/>
      <c r="D670" s="22"/>
      <c r="E670" s="22"/>
      <c r="F670" s="22"/>
      <c r="G670" s="22"/>
      <c r="H670" s="22"/>
      <c r="I670" s="22"/>
      <c r="J670" s="22"/>
      <c r="K670" s="22"/>
      <c r="L670" s="22"/>
      <c r="M670" s="22"/>
      <c r="N670" s="22"/>
      <c r="O670" s="22"/>
      <c r="P670" s="22"/>
      <c r="Q670" s="22"/>
      <c r="R670" s="22"/>
      <c r="S670" s="22"/>
      <c r="T670" s="22"/>
      <c r="U670" s="2"/>
      <c r="V670" s="2"/>
      <c r="W670" s="2"/>
      <c r="X670" s="2"/>
      <c r="Y670" s="2"/>
      <c r="Z670" s="2"/>
    </row>
    <row r="671" spans="1:26" ht="12.75">
      <c r="A671" s="22"/>
      <c r="B671" s="22"/>
      <c r="C671" s="22"/>
      <c r="D671" s="22"/>
      <c r="E671" s="22"/>
      <c r="F671" s="22"/>
      <c r="G671" s="22"/>
      <c r="H671" s="22"/>
      <c r="I671" s="22"/>
      <c r="J671" s="22"/>
      <c r="K671" s="22"/>
      <c r="L671" s="22"/>
      <c r="M671" s="22"/>
      <c r="N671" s="22"/>
      <c r="O671" s="22"/>
      <c r="P671" s="22"/>
      <c r="Q671" s="22"/>
      <c r="R671" s="22"/>
      <c r="S671" s="22"/>
      <c r="T671" s="22"/>
      <c r="U671" s="2"/>
      <c r="V671" s="2"/>
      <c r="W671" s="2"/>
      <c r="X671" s="2"/>
      <c r="Y671" s="2"/>
      <c r="Z671" s="2"/>
    </row>
    <row r="672" spans="1:26" ht="12.75">
      <c r="A672" s="22"/>
      <c r="B672" s="22"/>
      <c r="C672" s="22"/>
      <c r="D672" s="22"/>
      <c r="E672" s="22"/>
      <c r="F672" s="22"/>
      <c r="G672" s="22"/>
      <c r="H672" s="22"/>
      <c r="I672" s="22"/>
      <c r="J672" s="22"/>
      <c r="K672" s="22"/>
      <c r="L672" s="22"/>
      <c r="M672" s="22"/>
      <c r="N672" s="22"/>
      <c r="O672" s="22"/>
      <c r="P672" s="22"/>
      <c r="Q672" s="22"/>
      <c r="R672" s="22"/>
      <c r="S672" s="22"/>
      <c r="T672" s="22"/>
      <c r="U672" s="2"/>
      <c r="V672" s="2"/>
      <c r="W672" s="2"/>
      <c r="X672" s="2"/>
      <c r="Y672" s="2"/>
      <c r="Z672" s="2"/>
    </row>
    <row r="673" spans="1:26" ht="12.75">
      <c r="A673" s="22"/>
      <c r="B673" s="22"/>
      <c r="C673" s="22"/>
      <c r="D673" s="22"/>
      <c r="E673" s="22"/>
      <c r="F673" s="22"/>
      <c r="G673" s="22"/>
      <c r="H673" s="22"/>
      <c r="I673" s="22"/>
      <c r="J673" s="22"/>
      <c r="K673" s="22"/>
      <c r="L673" s="22"/>
      <c r="M673" s="22"/>
      <c r="N673" s="22"/>
      <c r="O673" s="22"/>
      <c r="P673" s="22"/>
      <c r="Q673" s="22"/>
      <c r="R673" s="22"/>
      <c r="S673" s="22"/>
      <c r="T673" s="22"/>
      <c r="U673" s="2"/>
      <c r="V673" s="2"/>
      <c r="W673" s="2"/>
      <c r="X673" s="2"/>
      <c r="Y673" s="2"/>
      <c r="Z673" s="2"/>
    </row>
    <row r="674" spans="1:26" ht="12.75">
      <c r="A674" s="22"/>
      <c r="B674" s="22"/>
      <c r="C674" s="22"/>
      <c r="D674" s="22"/>
      <c r="E674" s="22"/>
      <c r="F674" s="22"/>
      <c r="G674" s="22"/>
      <c r="H674" s="22"/>
      <c r="I674" s="22"/>
      <c r="J674" s="22"/>
      <c r="K674" s="22"/>
      <c r="L674" s="22"/>
      <c r="M674" s="22"/>
      <c r="N674" s="22"/>
      <c r="O674" s="22"/>
      <c r="P674" s="22"/>
      <c r="Q674" s="22"/>
      <c r="R674" s="22"/>
      <c r="S674" s="22"/>
      <c r="T674" s="22"/>
      <c r="U674" s="2"/>
      <c r="V674" s="2"/>
      <c r="W674" s="2"/>
      <c r="X674" s="2"/>
      <c r="Y674" s="2"/>
      <c r="Z674" s="2"/>
    </row>
    <row r="675" spans="1:26" ht="12.75">
      <c r="A675" s="22"/>
      <c r="B675" s="22"/>
      <c r="C675" s="22"/>
      <c r="D675" s="22"/>
      <c r="E675" s="22"/>
      <c r="F675" s="22"/>
      <c r="G675" s="22"/>
      <c r="H675" s="22"/>
      <c r="I675" s="22"/>
      <c r="J675" s="22"/>
      <c r="K675" s="22"/>
      <c r="L675" s="22"/>
      <c r="M675" s="22"/>
      <c r="N675" s="22"/>
      <c r="O675" s="22"/>
      <c r="P675" s="22"/>
      <c r="Q675" s="22"/>
      <c r="R675" s="22"/>
      <c r="S675" s="22"/>
      <c r="T675" s="22"/>
      <c r="U675" s="2"/>
      <c r="V675" s="2"/>
      <c r="W675" s="2"/>
      <c r="X675" s="2"/>
      <c r="Y675" s="2"/>
      <c r="Z675" s="2"/>
    </row>
    <row r="676" spans="1:26" ht="12.75">
      <c r="A676" s="22"/>
      <c r="B676" s="22"/>
      <c r="C676" s="22"/>
      <c r="D676" s="22"/>
      <c r="E676" s="22"/>
      <c r="F676" s="22"/>
      <c r="G676" s="22"/>
      <c r="H676" s="22"/>
      <c r="I676" s="22"/>
      <c r="J676" s="22"/>
      <c r="K676" s="22"/>
      <c r="L676" s="22"/>
      <c r="M676" s="22"/>
      <c r="N676" s="22"/>
      <c r="O676" s="22"/>
      <c r="P676" s="22"/>
      <c r="Q676" s="22"/>
      <c r="R676" s="22"/>
      <c r="S676" s="22"/>
      <c r="T676" s="22"/>
      <c r="U676" s="2"/>
      <c r="V676" s="2"/>
      <c r="W676" s="2"/>
      <c r="X676" s="2"/>
      <c r="Y676" s="2"/>
      <c r="Z676" s="2"/>
    </row>
    <row r="677" spans="1:26" ht="12.75">
      <c r="A677" s="22"/>
      <c r="B677" s="22"/>
      <c r="C677" s="22"/>
      <c r="D677" s="22"/>
      <c r="E677" s="22"/>
      <c r="F677" s="22"/>
      <c r="G677" s="22"/>
      <c r="H677" s="22"/>
      <c r="I677" s="22"/>
      <c r="J677" s="22"/>
      <c r="K677" s="22"/>
      <c r="L677" s="22"/>
      <c r="M677" s="22"/>
      <c r="N677" s="22"/>
      <c r="O677" s="22"/>
      <c r="P677" s="22"/>
      <c r="Q677" s="22"/>
      <c r="R677" s="22"/>
      <c r="S677" s="22"/>
      <c r="T677" s="22"/>
      <c r="U677" s="2"/>
      <c r="V677" s="2"/>
      <c r="W677" s="2"/>
      <c r="X677" s="2"/>
      <c r="Y677" s="2"/>
      <c r="Z677" s="2"/>
    </row>
    <row r="678" spans="1:26" ht="12.75">
      <c r="A678" s="22"/>
      <c r="B678" s="22"/>
      <c r="C678" s="22"/>
      <c r="D678" s="22"/>
      <c r="E678" s="22"/>
      <c r="F678" s="22"/>
      <c r="G678" s="22"/>
      <c r="H678" s="22"/>
      <c r="I678" s="22"/>
      <c r="J678" s="22"/>
      <c r="K678" s="22"/>
      <c r="L678" s="22"/>
      <c r="M678" s="22"/>
      <c r="N678" s="22"/>
      <c r="O678" s="22"/>
      <c r="P678" s="22"/>
      <c r="Q678" s="22"/>
      <c r="R678" s="22"/>
      <c r="S678" s="22"/>
      <c r="T678" s="22"/>
      <c r="U678" s="2"/>
      <c r="V678" s="2"/>
      <c r="W678" s="2"/>
      <c r="X678" s="2"/>
      <c r="Y678" s="2"/>
      <c r="Z678" s="2"/>
    </row>
    <row r="679" spans="1:26" ht="12.75">
      <c r="A679" s="22"/>
      <c r="B679" s="22"/>
      <c r="C679" s="22"/>
      <c r="D679" s="22"/>
      <c r="E679" s="22"/>
      <c r="F679" s="22"/>
      <c r="G679" s="22"/>
      <c r="H679" s="22"/>
      <c r="I679" s="22"/>
      <c r="J679" s="22"/>
      <c r="K679" s="22"/>
      <c r="L679" s="22"/>
      <c r="M679" s="22"/>
      <c r="N679" s="22"/>
      <c r="O679" s="22"/>
      <c r="P679" s="22"/>
      <c r="Q679" s="22"/>
      <c r="R679" s="22"/>
      <c r="S679" s="22"/>
      <c r="T679" s="22"/>
      <c r="U679" s="2"/>
      <c r="V679" s="2"/>
      <c r="W679" s="2"/>
      <c r="X679" s="2"/>
      <c r="Y679" s="2"/>
      <c r="Z679" s="2"/>
    </row>
    <row r="680" spans="1:26" ht="12.75">
      <c r="A680" s="22"/>
      <c r="B680" s="22"/>
      <c r="C680" s="22"/>
      <c r="D680" s="22"/>
      <c r="E680" s="22"/>
      <c r="F680" s="22"/>
      <c r="G680" s="22"/>
      <c r="H680" s="22"/>
      <c r="I680" s="22"/>
      <c r="J680" s="22"/>
      <c r="K680" s="22"/>
      <c r="L680" s="22"/>
      <c r="M680" s="22"/>
      <c r="N680" s="22"/>
      <c r="O680" s="22"/>
      <c r="P680" s="22"/>
      <c r="Q680" s="22"/>
      <c r="R680" s="22"/>
      <c r="S680" s="22"/>
      <c r="T680" s="22"/>
      <c r="U680" s="2"/>
      <c r="V680" s="2"/>
      <c r="W680" s="2"/>
      <c r="X680" s="2"/>
      <c r="Y680" s="2"/>
      <c r="Z680" s="2"/>
    </row>
    <row r="681" spans="1:26" ht="12.75">
      <c r="A681" s="22"/>
      <c r="B681" s="22"/>
      <c r="C681" s="22"/>
      <c r="D681" s="22"/>
      <c r="E681" s="22"/>
      <c r="F681" s="22"/>
      <c r="G681" s="22"/>
      <c r="H681" s="22"/>
      <c r="I681" s="22"/>
      <c r="J681" s="22"/>
      <c r="K681" s="22"/>
      <c r="L681" s="22"/>
      <c r="M681" s="22"/>
      <c r="N681" s="22"/>
      <c r="O681" s="22"/>
      <c r="P681" s="22"/>
      <c r="Q681" s="22"/>
      <c r="R681" s="22"/>
      <c r="S681" s="22"/>
      <c r="T681" s="22"/>
      <c r="U681" s="2"/>
      <c r="V681" s="2"/>
      <c r="W681" s="2"/>
      <c r="X681" s="2"/>
      <c r="Y681" s="2"/>
      <c r="Z681" s="2"/>
    </row>
    <row r="682" spans="1:26" ht="12.75">
      <c r="A682" s="22"/>
      <c r="B682" s="22"/>
      <c r="C682" s="22"/>
      <c r="D682" s="22"/>
      <c r="E682" s="22"/>
      <c r="F682" s="22"/>
      <c r="G682" s="22"/>
      <c r="H682" s="22"/>
      <c r="I682" s="22"/>
      <c r="J682" s="22"/>
      <c r="K682" s="22"/>
      <c r="L682" s="22"/>
      <c r="M682" s="22"/>
      <c r="N682" s="22"/>
      <c r="O682" s="22"/>
      <c r="P682" s="22"/>
      <c r="Q682" s="22"/>
      <c r="R682" s="22"/>
      <c r="S682" s="22"/>
      <c r="T682" s="22"/>
      <c r="U682" s="2"/>
      <c r="V682" s="2"/>
      <c r="W682" s="2"/>
      <c r="X682" s="2"/>
      <c r="Y682" s="2"/>
      <c r="Z682" s="2"/>
    </row>
    <row r="683" spans="1:26" ht="12.75">
      <c r="A683" s="22"/>
      <c r="B683" s="22"/>
      <c r="C683" s="22"/>
      <c r="D683" s="22"/>
      <c r="E683" s="22"/>
      <c r="F683" s="22"/>
      <c r="G683" s="22"/>
      <c r="H683" s="22"/>
      <c r="I683" s="22"/>
      <c r="J683" s="22"/>
      <c r="K683" s="22"/>
      <c r="L683" s="22"/>
      <c r="M683" s="22"/>
      <c r="N683" s="22"/>
      <c r="O683" s="22"/>
      <c r="P683" s="22"/>
      <c r="Q683" s="22"/>
      <c r="R683" s="22"/>
      <c r="S683" s="22"/>
      <c r="T683" s="22"/>
      <c r="U683" s="2"/>
      <c r="V683" s="2"/>
      <c r="W683" s="2"/>
      <c r="X683" s="2"/>
      <c r="Y683" s="2"/>
      <c r="Z683" s="2"/>
    </row>
    <row r="684" spans="1:26" ht="12.75">
      <c r="A684" s="22"/>
      <c r="B684" s="22"/>
      <c r="C684" s="22"/>
      <c r="D684" s="22"/>
      <c r="E684" s="22"/>
      <c r="F684" s="22"/>
      <c r="G684" s="22"/>
      <c r="H684" s="22"/>
      <c r="I684" s="22"/>
      <c r="J684" s="22"/>
      <c r="K684" s="22"/>
      <c r="L684" s="22"/>
      <c r="M684" s="22"/>
      <c r="N684" s="22"/>
      <c r="O684" s="22"/>
      <c r="P684" s="22"/>
      <c r="Q684" s="22"/>
      <c r="R684" s="22"/>
      <c r="S684" s="22"/>
      <c r="T684" s="22"/>
      <c r="U684" s="2"/>
      <c r="V684" s="2"/>
      <c r="W684" s="2"/>
      <c r="X684" s="2"/>
      <c r="Y684" s="2"/>
      <c r="Z684" s="2"/>
    </row>
    <row r="685" spans="1:26" ht="12.75">
      <c r="A685" s="22"/>
      <c r="B685" s="22"/>
      <c r="C685" s="22"/>
      <c r="D685" s="22"/>
      <c r="E685" s="22"/>
      <c r="F685" s="22"/>
      <c r="G685" s="22"/>
      <c r="H685" s="22"/>
      <c r="I685" s="22"/>
      <c r="J685" s="22"/>
      <c r="K685" s="22"/>
      <c r="L685" s="22"/>
      <c r="M685" s="22"/>
      <c r="N685" s="22"/>
      <c r="O685" s="22"/>
      <c r="P685" s="22"/>
      <c r="Q685" s="22"/>
      <c r="R685" s="22"/>
      <c r="S685" s="22"/>
      <c r="T685" s="22"/>
      <c r="U685" s="2"/>
      <c r="V685" s="2"/>
      <c r="W685" s="2"/>
      <c r="X685" s="2"/>
      <c r="Y685" s="2"/>
      <c r="Z685" s="2"/>
    </row>
    <row r="686" spans="1:26" ht="12.75">
      <c r="A686" s="22"/>
      <c r="B686" s="22"/>
      <c r="C686" s="22"/>
      <c r="D686" s="22"/>
      <c r="E686" s="22"/>
      <c r="F686" s="22"/>
      <c r="G686" s="22"/>
      <c r="H686" s="22"/>
      <c r="I686" s="22"/>
      <c r="J686" s="22"/>
      <c r="K686" s="22"/>
      <c r="L686" s="22"/>
      <c r="M686" s="22"/>
      <c r="N686" s="22"/>
      <c r="O686" s="22"/>
      <c r="P686" s="22"/>
      <c r="Q686" s="22"/>
      <c r="R686" s="22"/>
      <c r="S686" s="22"/>
      <c r="T686" s="22"/>
      <c r="U686" s="2"/>
      <c r="V686" s="2"/>
      <c r="W686" s="2"/>
      <c r="X686" s="2"/>
      <c r="Y686" s="2"/>
      <c r="Z686" s="2"/>
    </row>
    <row r="687" spans="1:26" ht="12.75">
      <c r="A687" s="22"/>
      <c r="B687" s="22"/>
      <c r="C687" s="22"/>
      <c r="D687" s="22"/>
      <c r="E687" s="22"/>
      <c r="F687" s="22"/>
      <c r="G687" s="22"/>
      <c r="H687" s="22"/>
      <c r="I687" s="22"/>
      <c r="J687" s="22"/>
      <c r="K687" s="22"/>
      <c r="L687" s="22"/>
      <c r="M687" s="22"/>
      <c r="N687" s="22"/>
      <c r="O687" s="22"/>
      <c r="P687" s="22"/>
      <c r="Q687" s="22"/>
      <c r="R687" s="22"/>
      <c r="S687" s="22"/>
      <c r="T687" s="22"/>
      <c r="U687" s="2"/>
      <c r="V687" s="2"/>
      <c r="W687" s="2"/>
      <c r="X687" s="2"/>
      <c r="Y687" s="2"/>
      <c r="Z687" s="2"/>
    </row>
    <row r="688" spans="1:26" ht="12.75">
      <c r="A688" s="22"/>
      <c r="B688" s="22"/>
      <c r="C688" s="22"/>
      <c r="D688" s="22"/>
      <c r="E688" s="22"/>
      <c r="F688" s="22"/>
      <c r="G688" s="22"/>
      <c r="H688" s="22"/>
      <c r="I688" s="22"/>
      <c r="J688" s="22"/>
      <c r="K688" s="22"/>
      <c r="L688" s="22"/>
      <c r="M688" s="22"/>
      <c r="N688" s="22"/>
      <c r="O688" s="22"/>
      <c r="P688" s="22"/>
      <c r="Q688" s="22"/>
      <c r="R688" s="22"/>
      <c r="S688" s="22"/>
      <c r="T688" s="22"/>
      <c r="U688" s="2"/>
      <c r="V688" s="2"/>
      <c r="W688" s="2"/>
      <c r="X688" s="2"/>
      <c r="Y688" s="2"/>
      <c r="Z688" s="2"/>
    </row>
    <row r="689" spans="1:26" ht="12.75">
      <c r="A689" s="22"/>
      <c r="B689" s="22"/>
      <c r="C689" s="22"/>
      <c r="D689" s="22"/>
      <c r="E689" s="22"/>
      <c r="F689" s="22"/>
      <c r="G689" s="22"/>
      <c r="H689" s="22"/>
      <c r="I689" s="22"/>
      <c r="J689" s="22"/>
      <c r="K689" s="22"/>
      <c r="L689" s="22"/>
      <c r="M689" s="22"/>
      <c r="N689" s="22"/>
      <c r="O689" s="22"/>
      <c r="P689" s="22"/>
      <c r="Q689" s="22"/>
      <c r="R689" s="22"/>
      <c r="S689" s="22"/>
      <c r="T689" s="22"/>
      <c r="U689" s="2"/>
      <c r="V689" s="2"/>
      <c r="W689" s="2"/>
      <c r="X689" s="2"/>
      <c r="Y689" s="2"/>
      <c r="Z689" s="2"/>
    </row>
    <row r="690" spans="1:26" ht="12.75">
      <c r="A690" s="22"/>
      <c r="B690" s="22"/>
      <c r="C690" s="22"/>
      <c r="D690" s="22"/>
      <c r="E690" s="22"/>
      <c r="F690" s="22"/>
      <c r="G690" s="22"/>
      <c r="H690" s="22"/>
      <c r="I690" s="22"/>
      <c r="J690" s="22"/>
      <c r="K690" s="22"/>
      <c r="L690" s="22"/>
      <c r="M690" s="22"/>
      <c r="N690" s="22"/>
      <c r="O690" s="22"/>
      <c r="P690" s="22"/>
      <c r="Q690" s="22"/>
      <c r="R690" s="22"/>
      <c r="S690" s="22"/>
      <c r="T690" s="22"/>
      <c r="U690" s="2"/>
      <c r="V690" s="2"/>
      <c r="W690" s="2"/>
      <c r="X690" s="2"/>
      <c r="Y690" s="2"/>
      <c r="Z690" s="2"/>
    </row>
    <row r="691" spans="1:26" ht="12.75">
      <c r="A691" s="22"/>
      <c r="B691" s="22"/>
      <c r="C691" s="22"/>
      <c r="D691" s="22"/>
      <c r="E691" s="22"/>
      <c r="F691" s="22"/>
      <c r="G691" s="22"/>
      <c r="H691" s="22"/>
      <c r="I691" s="22"/>
      <c r="J691" s="22"/>
      <c r="K691" s="22"/>
      <c r="L691" s="22"/>
      <c r="M691" s="22"/>
      <c r="N691" s="22"/>
      <c r="O691" s="22"/>
      <c r="P691" s="22"/>
      <c r="Q691" s="22"/>
      <c r="R691" s="22"/>
      <c r="S691" s="22"/>
      <c r="T691" s="22"/>
      <c r="U691" s="2"/>
      <c r="V691" s="2"/>
      <c r="W691" s="2"/>
      <c r="X691" s="2"/>
      <c r="Y691" s="2"/>
      <c r="Z691" s="2"/>
    </row>
    <row r="692" spans="1:26" ht="12.75">
      <c r="A692" s="22"/>
      <c r="B692" s="22"/>
      <c r="C692" s="22"/>
      <c r="D692" s="22"/>
      <c r="E692" s="22"/>
      <c r="F692" s="22"/>
      <c r="G692" s="22"/>
      <c r="H692" s="22"/>
      <c r="I692" s="22"/>
      <c r="J692" s="22"/>
      <c r="K692" s="22"/>
      <c r="L692" s="22"/>
      <c r="M692" s="22"/>
      <c r="N692" s="22"/>
      <c r="O692" s="22"/>
      <c r="P692" s="22"/>
      <c r="Q692" s="22"/>
      <c r="R692" s="22"/>
      <c r="S692" s="22"/>
      <c r="T692" s="22"/>
      <c r="U692" s="2"/>
      <c r="V692" s="2"/>
      <c r="W692" s="2"/>
      <c r="X692" s="2"/>
      <c r="Y692" s="2"/>
      <c r="Z692" s="2"/>
    </row>
    <row r="693" spans="1:26" ht="12.75">
      <c r="A693" s="22"/>
      <c r="B693" s="22"/>
      <c r="C693" s="22"/>
      <c r="D693" s="22"/>
      <c r="E693" s="22"/>
      <c r="F693" s="22"/>
      <c r="G693" s="22"/>
      <c r="H693" s="22"/>
      <c r="I693" s="22"/>
      <c r="J693" s="22"/>
      <c r="K693" s="22"/>
      <c r="L693" s="22"/>
      <c r="M693" s="22"/>
      <c r="N693" s="22"/>
      <c r="O693" s="22"/>
      <c r="P693" s="22"/>
      <c r="Q693" s="22"/>
      <c r="R693" s="22"/>
      <c r="S693" s="22"/>
      <c r="T693" s="22"/>
      <c r="U693" s="2"/>
      <c r="V693" s="2"/>
      <c r="W693" s="2"/>
      <c r="X693" s="2"/>
      <c r="Y693" s="2"/>
      <c r="Z693" s="2"/>
    </row>
    <row r="694" spans="1:26" ht="12.75">
      <c r="A694" s="22"/>
      <c r="B694" s="22"/>
      <c r="C694" s="22"/>
      <c r="D694" s="22"/>
      <c r="E694" s="22"/>
      <c r="F694" s="22"/>
      <c r="G694" s="22"/>
      <c r="H694" s="22"/>
      <c r="I694" s="22"/>
      <c r="J694" s="22"/>
      <c r="K694" s="22"/>
      <c r="L694" s="22"/>
      <c r="M694" s="22"/>
      <c r="N694" s="22"/>
      <c r="O694" s="22"/>
      <c r="P694" s="22"/>
      <c r="Q694" s="22"/>
      <c r="R694" s="22"/>
      <c r="S694" s="22"/>
      <c r="T694" s="22"/>
      <c r="U694" s="2"/>
      <c r="V694" s="2"/>
      <c r="W694" s="2"/>
      <c r="X694" s="2"/>
      <c r="Y694" s="2"/>
      <c r="Z694" s="2"/>
    </row>
    <row r="695" spans="1:26" ht="12.75">
      <c r="A695" s="22"/>
      <c r="B695" s="22"/>
      <c r="C695" s="22"/>
      <c r="D695" s="22"/>
      <c r="E695" s="22"/>
      <c r="F695" s="22"/>
      <c r="G695" s="22"/>
      <c r="H695" s="22"/>
      <c r="I695" s="22"/>
      <c r="J695" s="22"/>
      <c r="K695" s="22"/>
      <c r="L695" s="22"/>
      <c r="M695" s="22"/>
      <c r="N695" s="22"/>
      <c r="O695" s="22"/>
      <c r="P695" s="22"/>
      <c r="Q695" s="22"/>
      <c r="R695" s="22"/>
      <c r="S695" s="22"/>
      <c r="T695" s="22"/>
      <c r="U695" s="2"/>
      <c r="V695" s="2"/>
      <c r="W695" s="2"/>
      <c r="X695" s="2"/>
      <c r="Y695" s="2"/>
      <c r="Z695" s="2"/>
    </row>
    <row r="696" spans="1:26" ht="12.75">
      <c r="A696" s="22"/>
      <c r="B696" s="22"/>
      <c r="C696" s="22"/>
      <c r="D696" s="22"/>
      <c r="E696" s="22"/>
      <c r="F696" s="22"/>
      <c r="G696" s="22"/>
      <c r="H696" s="22"/>
      <c r="I696" s="22"/>
      <c r="J696" s="22"/>
      <c r="K696" s="22"/>
      <c r="L696" s="22"/>
      <c r="M696" s="22"/>
      <c r="N696" s="22"/>
      <c r="O696" s="22"/>
      <c r="P696" s="22"/>
      <c r="Q696" s="22"/>
      <c r="R696" s="22"/>
      <c r="S696" s="22"/>
      <c r="T696" s="22"/>
      <c r="U696" s="2"/>
      <c r="V696" s="2"/>
      <c r="W696" s="2"/>
      <c r="X696" s="2"/>
      <c r="Y696" s="2"/>
      <c r="Z696" s="2"/>
    </row>
    <row r="697" spans="1:26" ht="12.75">
      <c r="A697" s="22"/>
      <c r="B697" s="22"/>
      <c r="C697" s="22"/>
      <c r="D697" s="22"/>
      <c r="E697" s="22"/>
      <c r="F697" s="22"/>
      <c r="G697" s="22"/>
      <c r="H697" s="22"/>
      <c r="I697" s="22"/>
      <c r="J697" s="22"/>
      <c r="K697" s="22"/>
      <c r="L697" s="22"/>
      <c r="M697" s="22"/>
      <c r="N697" s="22"/>
      <c r="O697" s="22"/>
      <c r="P697" s="22"/>
      <c r="Q697" s="22"/>
      <c r="R697" s="22"/>
      <c r="S697" s="22"/>
      <c r="T697" s="22"/>
      <c r="U697" s="2"/>
      <c r="V697" s="2"/>
      <c r="W697" s="2"/>
      <c r="X697" s="2"/>
      <c r="Y697" s="2"/>
      <c r="Z697" s="2"/>
    </row>
    <row r="698" spans="1:26" ht="12.75">
      <c r="A698" s="22"/>
      <c r="B698" s="22"/>
      <c r="C698" s="22"/>
      <c r="D698" s="22"/>
      <c r="E698" s="22"/>
      <c r="F698" s="22"/>
      <c r="G698" s="22"/>
      <c r="H698" s="22"/>
      <c r="I698" s="22"/>
      <c r="J698" s="22"/>
      <c r="K698" s="22"/>
      <c r="L698" s="22"/>
      <c r="M698" s="22"/>
      <c r="N698" s="22"/>
      <c r="O698" s="22"/>
      <c r="P698" s="22"/>
      <c r="Q698" s="22"/>
      <c r="R698" s="22"/>
      <c r="S698" s="22"/>
      <c r="T698" s="22"/>
      <c r="U698" s="2"/>
      <c r="V698" s="2"/>
      <c r="W698" s="2"/>
      <c r="X698" s="2"/>
      <c r="Y698" s="2"/>
      <c r="Z698" s="2"/>
    </row>
    <row r="699" spans="1:26" ht="12.75">
      <c r="A699" s="22"/>
      <c r="B699" s="22"/>
      <c r="C699" s="22"/>
      <c r="D699" s="22"/>
      <c r="E699" s="22"/>
      <c r="F699" s="22"/>
      <c r="G699" s="22"/>
      <c r="H699" s="22"/>
      <c r="I699" s="22"/>
      <c r="J699" s="22"/>
      <c r="K699" s="22"/>
      <c r="L699" s="22"/>
      <c r="M699" s="22"/>
      <c r="N699" s="22"/>
      <c r="O699" s="22"/>
      <c r="P699" s="22"/>
      <c r="Q699" s="22"/>
      <c r="R699" s="22"/>
      <c r="S699" s="22"/>
      <c r="T699" s="22"/>
      <c r="U699" s="2"/>
      <c r="V699" s="2"/>
      <c r="W699" s="2"/>
      <c r="X699" s="2"/>
      <c r="Y699" s="2"/>
      <c r="Z699" s="2"/>
    </row>
    <row r="700" spans="1:26" ht="12.75">
      <c r="A700" s="22"/>
      <c r="B700" s="22"/>
      <c r="C700" s="22"/>
      <c r="D700" s="22"/>
      <c r="E700" s="22"/>
      <c r="F700" s="22"/>
      <c r="G700" s="22"/>
      <c r="H700" s="22"/>
      <c r="I700" s="22"/>
      <c r="J700" s="22"/>
      <c r="K700" s="22"/>
      <c r="L700" s="22"/>
      <c r="M700" s="22"/>
      <c r="N700" s="22"/>
      <c r="O700" s="22"/>
      <c r="P700" s="22"/>
      <c r="Q700" s="22"/>
      <c r="R700" s="22"/>
      <c r="S700" s="22"/>
      <c r="T700" s="22"/>
      <c r="U700" s="2"/>
      <c r="V700" s="2"/>
      <c r="W700" s="2"/>
      <c r="X700" s="2"/>
      <c r="Y700" s="2"/>
      <c r="Z700" s="2"/>
    </row>
    <row r="701" spans="1:26" ht="12.75">
      <c r="A701" s="22"/>
      <c r="B701" s="22"/>
      <c r="C701" s="22"/>
      <c r="D701" s="22"/>
      <c r="E701" s="22"/>
      <c r="F701" s="22"/>
      <c r="G701" s="22"/>
      <c r="H701" s="22"/>
      <c r="I701" s="22"/>
      <c r="J701" s="22"/>
      <c r="K701" s="22"/>
      <c r="L701" s="22"/>
      <c r="M701" s="22"/>
      <c r="N701" s="22"/>
      <c r="O701" s="22"/>
      <c r="P701" s="22"/>
      <c r="Q701" s="22"/>
      <c r="R701" s="22"/>
      <c r="S701" s="22"/>
      <c r="T701" s="22"/>
      <c r="U701" s="2"/>
      <c r="V701" s="2"/>
      <c r="W701" s="2"/>
      <c r="X701" s="2"/>
      <c r="Y701" s="2"/>
      <c r="Z701" s="2"/>
    </row>
    <row r="702" spans="1:26" ht="12.75">
      <c r="A702" s="22"/>
      <c r="B702" s="22"/>
      <c r="C702" s="22"/>
      <c r="D702" s="22"/>
      <c r="E702" s="22"/>
      <c r="F702" s="22"/>
      <c r="G702" s="22"/>
      <c r="H702" s="22"/>
      <c r="I702" s="22"/>
      <c r="J702" s="22"/>
      <c r="K702" s="22"/>
      <c r="L702" s="22"/>
      <c r="M702" s="22"/>
      <c r="N702" s="22"/>
      <c r="O702" s="22"/>
      <c r="P702" s="22"/>
      <c r="Q702" s="22"/>
      <c r="R702" s="22"/>
      <c r="S702" s="22"/>
      <c r="T702" s="22"/>
      <c r="U702" s="2"/>
      <c r="V702" s="2"/>
      <c r="W702" s="2"/>
      <c r="X702" s="2"/>
      <c r="Y702" s="2"/>
      <c r="Z702" s="2"/>
    </row>
    <row r="703" spans="1:26" ht="12.75">
      <c r="A703" s="22"/>
      <c r="B703" s="22"/>
      <c r="C703" s="22"/>
      <c r="D703" s="22"/>
      <c r="E703" s="22"/>
      <c r="F703" s="22"/>
      <c r="G703" s="22"/>
      <c r="H703" s="22"/>
      <c r="I703" s="22"/>
      <c r="J703" s="22"/>
      <c r="K703" s="22"/>
      <c r="L703" s="22"/>
      <c r="M703" s="22"/>
      <c r="N703" s="22"/>
      <c r="O703" s="22"/>
      <c r="P703" s="22"/>
      <c r="Q703" s="22"/>
      <c r="R703" s="22"/>
      <c r="S703" s="22"/>
      <c r="T703" s="22"/>
      <c r="U703" s="2"/>
      <c r="V703" s="2"/>
      <c r="W703" s="2"/>
      <c r="X703" s="2"/>
      <c r="Y703" s="2"/>
      <c r="Z703" s="2"/>
    </row>
    <row r="704" spans="1:26" ht="12.75">
      <c r="A704" s="22"/>
      <c r="B704" s="22"/>
      <c r="C704" s="22"/>
      <c r="D704" s="22"/>
      <c r="E704" s="22"/>
      <c r="F704" s="22"/>
      <c r="G704" s="22"/>
      <c r="H704" s="22"/>
      <c r="I704" s="22"/>
      <c r="J704" s="22"/>
      <c r="K704" s="22"/>
      <c r="L704" s="22"/>
      <c r="M704" s="22"/>
      <c r="N704" s="22"/>
      <c r="O704" s="22"/>
      <c r="P704" s="22"/>
      <c r="Q704" s="22"/>
      <c r="R704" s="22"/>
      <c r="S704" s="22"/>
      <c r="T704" s="22"/>
      <c r="U704" s="2"/>
      <c r="V704" s="2"/>
      <c r="W704" s="2"/>
      <c r="X704" s="2"/>
      <c r="Y704" s="2"/>
      <c r="Z704" s="2"/>
    </row>
    <row r="705" spans="1:26" ht="12.75">
      <c r="A705" s="22"/>
      <c r="B705" s="22"/>
      <c r="C705" s="22"/>
      <c r="D705" s="22"/>
      <c r="E705" s="22"/>
      <c r="F705" s="22"/>
      <c r="G705" s="22"/>
      <c r="H705" s="22"/>
      <c r="I705" s="22"/>
      <c r="J705" s="22"/>
      <c r="K705" s="22"/>
      <c r="L705" s="22"/>
      <c r="M705" s="22"/>
      <c r="N705" s="22"/>
      <c r="O705" s="22"/>
      <c r="P705" s="22"/>
      <c r="Q705" s="22"/>
      <c r="R705" s="22"/>
      <c r="S705" s="22"/>
      <c r="T705" s="22"/>
      <c r="U705" s="2"/>
      <c r="V705" s="2"/>
      <c r="W705" s="2"/>
      <c r="X705" s="2"/>
      <c r="Y705" s="2"/>
      <c r="Z705" s="2"/>
    </row>
    <row r="706" spans="1:26" ht="12.75">
      <c r="A706" s="22"/>
      <c r="B706" s="22"/>
      <c r="C706" s="22"/>
      <c r="D706" s="22"/>
      <c r="E706" s="22"/>
      <c r="F706" s="22"/>
      <c r="G706" s="22"/>
      <c r="H706" s="22"/>
      <c r="I706" s="22"/>
      <c r="J706" s="22"/>
      <c r="K706" s="22"/>
      <c r="L706" s="22"/>
      <c r="M706" s="22"/>
      <c r="N706" s="22"/>
      <c r="O706" s="22"/>
      <c r="P706" s="22"/>
      <c r="Q706" s="22"/>
      <c r="R706" s="22"/>
      <c r="S706" s="22"/>
      <c r="T706" s="22"/>
      <c r="U706" s="2"/>
      <c r="V706" s="2"/>
      <c r="W706" s="2"/>
      <c r="X706" s="2"/>
      <c r="Y706" s="2"/>
      <c r="Z706" s="2"/>
    </row>
    <row r="707" spans="1:26" ht="12.75">
      <c r="A707" s="22"/>
      <c r="B707" s="22"/>
      <c r="C707" s="22"/>
      <c r="D707" s="22"/>
      <c r="E707" s="22"/>
      <c r="F707" s="22"/>
      <c r="G707" s="22"/>
      <c r="H707" s="22"/>
      <c r="I707" s="22"/>
      <c r="J707" s="22"/>
      <c r="K707" s="22"/>
      <c r="L707" s="22"/>
      <c r="M707" s="22"/>
      <c r="N707" s="22"/>
      <c r="O707" s="22"/>
      <c r="P707" s="22"/>
      <c r="Q707" s="22"/>
      <c r="R707" s="22"/>
      <c r="S707" s="22"/>
      <c r="T707" s="22"/>
      <c r="U707" s="2"/>
      <c r="V707" s="2"/>
      <c r="W707" s="2"/>
      <c r="X707" s="2"/>
      <c r="Y707" s="2"/>
      <c r="Z707" s="2"/>
    </row>
    <row r="708" spans="1:26" ht="12.75">
      <c r="A708" s="22"/>
      <c r="B708" s="22"/>
      <c r="C708" s="22"/>
      <c r="D708" s="22"/>
      <c r="E708" s="22"/>
      <c r="F708" s="22"/>
      <c r="G708" s="22"/>
      <c r="H708" s="22"/>
      <c r="I708" s="22"/>
      <c r="J708" s="22"/>
      <c r="K708" s="22"/>
      <c r="L708" s="22"/>
      <c r="M708" s="22"/>
      <c r="N708" s="22"/>
      <c r="O708" s="22"/>
      <c r="P708" s="22"/>
      <c r="Q708" s="22"/>
      <c r="R708" s="22"/>
      <c r="S708" s="22"/>
      <c r="T708" s="22"/>
      <c r="U708" s="2"/>
      <c r="V708" s="2"/>
      <c r="W708" s="2"/>
      <c r="X708" s="2"/>
      <c r="Y708" s="2"/>
      <c r="Z708" s="2"/>
    </row>
    <row r="709" spans="1:26" ht="12.75">
      <c r="A709" s="22"/>
      <c r="B709" s="22"/>
      <c r="C709" s="22"/>
      <c r="D709" s="22"/>
      <c r="E709" s="22"/>
      <c r="F709" s="22"/>
      <c r="G709" s="22"/>
      <c r="H709" s="22"/>
      <c r="I709" s="22"/>
      <c r="J709" s="22"/>
      <c r="K709" s="22"/>
      <c r="L709" s="22"/>
      <c r="M709" s="22"/>
      <c r="N709" s="22"/>
      <c r="O709" s="22"/>
      <c r="P709" s="22"/>
      <c r="Q709" s="22"/>
      <c r="R709" s="22"/>
      <c r="S709" s="22"/>
      <c r="T709" s="22"/>
      <c r="U709" s="2"/>
      <c r="V709" s="2"/>
      <c r="W709" s="2"/>
      <c r="X709" s="2"/>
      <c r="Y709" s="2"/>
      <c r="Z709" s="2"/>
    </row>
    <row r="710" spans="1:26" ht="12.75">
      <c r="A710" s="22"/>
      <c r="B710" s="22"/>
      <c r="C710" s="22"/>
      <c r="D710" s="22"/>
      <c r="E710" s="22"/>
      <c r="F710" s="22"/>
      <c r="G710" s="22"/>
      <c r="H710" s="22"/>
      <c r="I710" s="22"/>
      <c r="J710" s="22"/>
      <c r="K710" s="22"/>
      <c r="L710" s="22"/>
      <c r="M710" s="22"/>
      <c r="N710" s="22"/>
      <c r="O710" s="22"/>
      <c r="P710" s="22"/>
      <c r="Q710" s="22"/>
      <c r="R710" s="22"/>
      <c r="S710" s="22"/>
      <c r="T710" s="22"/>
      <c r="U710" s="2"/>
      <c r="V710" s="2"/>
      <c r="W710" s="2"/>
      <c r="X710" s="2"/>
      <c r="Y710" s="2"/>
      <c r="Z710" s="2"/>
    </row>
    <row r="711" spans="1:26" ht="12.75">
      <c r="A711" s="22"/>
      <c r="B711" s="22"/>
      <c r="C711" s="22"/>
      <c r="D711" s="22"/>
      <c r="E711" s="22"/>
      <c r="F711" s="22"/>
      <c r="G711" s="22"/>
      <c r="H711" s="22"/>
      <c r="I711" s="22"/>
      <c r="J711" s="22"/>
      <c r="K711" s="22"/>
      <c r="L711" s="22"/>
      <c r="M711" s="22"/>
      <c r="N711" s="22"/>
      <c r="O711" s="22"/>
      <c r="P711" s="22"/>
      <c r="Q711" s="22"/>
      <c r="R711" s="22"/>
      <c r="S711" s="22"/>
      <c r="T711" s="22"/>
      <c r="U711" s="2"/>
      <c r="V711" s="2"/>
      <c r="W711" s="2"/>
      <c r="X711" s="2"/>
      <c r="Y711" s="2"/>
      <c r="Z711" s="2"/>
    </row>
    <row r="712" spans="1:26" ht="12.75">
      <c r="A712" s="22"/>
      <c r="B712" s="22"/>
      <c r="C712" s="22"/>
      <c r="D712" s="22"/>
      <c r="E712" s="22"/>
      <c r="F712" s="22"/>
      <c r="G712" s="22"/>
      <c r="H712" s="22"/>
      <c r="I712" s="22"/>
      <c r="J712" s="22"/>
      <c r="K712" s="22"/>
      <c r="L712" s="22"/>
      <c r="M712" s="22"/>
      <c r="N712" s="22"/>
      <c r="O712" s="22"/>
      <c r="P712" s="22"/>
      <c r="Q712" s="22"/>
      <c r="R712" s="22"/>
      <c r="S712" s="22"/>
      <c r="T712" s="22"/>
      <c r="U712" s="2"/>
      <c r="V712" s="2"/>
      <c r="W712" s="2"/>
      <c r="X712" s="2"/>
      <c r="Y712" s="2"/>
      <c r="Z712" s="2"/>
    </row>
    <row r="713" spans="1:26" ht="12.75">
      <c r="A713" s="22"/>
      <c r="B713" s="22"/>
      <c r="C713" s="22"/>
      <c r="D713" s="22"/>
      <c r="E713" s="22"/>
      <c r="F713" s="22"/>
      <c r="G713" s="22"/>
      <c r="H713" s="22"/>
      <c r="I713" s="22"/>
      <c r="J713" s="22"/>
      <c r="K713" s="22"/>
      <c r="L713" s="22"/>
      <c r="M713" s="22"/>
      <c r="N713" s="22"/>
      <c r="O713" s="22"/>
      <c r="P713" s="22"/>
      <c r="Q713" s="22"/>
      <c r="R713" s="22"/>
      <c r="S713" s="22"/>
      <c r="T713" s="22"/>
      <c r="U713" s="2"/>
      <c r="V713" s="2"/>
      <c r="W713" s="2"/>
      <c r="X713" s="2"/>
      <c r="Y713" s="2"/>
      <c r="Z713" s="2"/>
    </row>
    <row r="714" spans="1:26" ht="12.75">
      <c r="A714" s="22"/>
      <c r="B714" s="22"/>
      <c r="C714" s="22"/>
      <c r="D714" s="22"/>
      <c r="E714" s="22"/>
      <c r="F714" s="22"/>
      <c r="G714" s="22"/>
      <c r="H714" s="22"/>
      <c r="I714" s="22"/>
      <c r="J714" s="22"/>
      <c r="K714" s="22"/>
      <c r="L714" s="22"/>
      <c r="M714" s="22"/>
      <c r="N714" s="22"/>
      <c r="O714" s="22"/>
      <c r="P714" s="22"/>
      <c r="Q714" s="22"/>
      <c r="R714" s="22"/>
      <c r="S714" s="22"/>
      <c r="T714" s="22"/>
      <c r="U714" s="2"/>
      <c r="V714" s="2"/>
      <c r="W714" s="2"/>
      <c r="X714" s="2"/>
      <c r="Y714" s="2"/>
      <c r="Z714" s="2"/>
    </row>
    <row r="715" spans="1:26" ht="12.75">
      <c r="A715" s="22"/>
      <c r="B715" s="22"/>
      <c r="C715" s="22"/>
      <c r="D715" s="22"/>
      <c r="E715" s="22"/>
      <c r="F715" s="22"/>
      <c r="G715" s="22"/>
      <c r="H715" s="22"/>
      <c r="I715" s="22"/>
      <c r="J715" s="22"/>
      <c r="K715" s="22"/>
      <c r="L715" s="22"/>
      <c r="M715" s="22"/>
      <c r="N715" s="22"/>
      <c r="O715" s="22"/>
      <c r="P715" s="22"/>
      <c r="Q715" s="22"/>
      <c r="R715" s="22"/>
      <c r="S715" s="22"/>
      <c r="T715" s="22"/>
      <c r="U715" s="2"/>
      <c r="V715" s="2"/>
      <c r="W715" s="2"/>
      <c r="X715" s="2"/>
      <c r="Y715" s="2"/>
      <c r="Z715" s="2"/>
    </row>
    <row r="716" spans="1:26" ht="12.75">
      <c r="A716" s="22"/>
      <c r="B716" s="22"/>
      <c r="C716" s="22"/>
      <c r="D716" s="22"/>
      <c r="E716" s="22"/>
      <c r="F716" s="22"/>
      <c r="G716" s="22"/>
      <c r="H716" s="22"/>
      <c r="I716" s="22"/>
      <c r="J716" s="22"/>
      <c r="K716" s="22"/>
      <c r="L716" s="22"/>
      <c r="M716" s="22"/>
      <c r="N716" s="22"/>
      <c r="O716" s="22"/>
      <c r="P716" s="22"/>
      <c r="Q716" s="22"/>
      <c r="R716" s="22"/>
      <c r="S716" s="22"/>
      <c r="T716" s="22"/>
      <c r="U716" s="2"/>
      <c r="V716" s="2"/>
      <c r="W716" s="2"/>
      <c r="X716" s="2"/>
      <c r="Y716" s="2"/>
      <c r="Z716" s="2"/>
    </row>
    <row r="717" spans="1:26" ht="12.75">
      <c r="A717" s="22"/>
      <c r="B717" s="22"/>
      <c r="C717" s="22"/>
      <c r="D717" s="22"/>
      <c r="E717" s="22"/>
      <c r="F717" s="22"/>
      <c r="G717" s="22"/>
      <c r="H717" s="22"/>
      <c r="I717" s="22"/>
      <c r="J717" s="22"/>
      <c r="K717" s="22"/>
      <c r="L717" s="22"/>
      <c r="M717" s="22"/>
      <c r="N717" s="22"/>
      <c r="O717" s="22"/>
      <c r="P717" s="22"/>
      <c r="Q717" s="22"/>
      <c r="R717" s="22"/>
      <c r="S717" s="22"/>
      <c r="T717" s="22"/>
      <c r="U717" s="2"/>
      <c r="V717" s="2"/>
      <c r="W717" s="2"/>
      <c r="X717" s="2"/>
      <c r="Y717" s="2"/>
      <c r="Z717" s="2"/>
    </row>
    <row r="718" spans="1:26" ht="12.75">
      <c r="A718" s="22"/>
      <c r="B718" s="22"/>
      <c r="C718" s="22"/>
      <c r="D718" s="22"/>
      <c r="E718" s="22"/>
      <c r="F718" s="22"/>
      <c r="G718" s="22"/>
      <c r="H718" s="22"/>
      <c r="I718" s="22"/>
      <c r="J718" s="22"/>
      <c r="K718" s="22"/>
      <c r="L718" s="22"/>
      <c r="M718" s="22"/>
      <c r="N718" s="22"/>
      <c r="O718" s="22"/>
      <c r="P718" s="22"/>
      <c r="Q718" s="22"/>
      <c r="R718" s="22"/>
      <c r="S718" s="22"/>
      <c r="T718" s="22"/>
      <c r="U718" s="2"/>
      <c r="V718" s="2"/>
      <c r="W718" s="2"/>
      <c r="X718" s="2"/>
      <c r="Y718" s="2"/>
      <c r="Z718" s="2"/>
    </row>
    <row r="719" spans="1:26" ht="12.75">
      <c r="A719" s="22"/>
      <c r="B719" s="22"/>
      <c r="C719" s="22"/>
      <c r="D719" s="22"/>
      <c r="E719" s="22"/>
      <c r="F719" s="22"/>
      <c r="G719" s="22"/>
      <c r="H719" s="22"/>
      <c r="I719" s="22"/>
      <c r="J719" s="22"/>
      <c r="K719" s="22"/>
      <c r="L719" s="22"/>
      <c r="M719" s="22"/>
      <c r="N719" s="22"/>
      <c r="O719" s="22"/>
      <c r="P719" s="22"/>
      <c r="Q719" s="22"/>
      <c r="R719" s="22"/>
      <c r="S719" s="22"/>
      <c r="T719" s="22"/>
      <c r="U719" s="2"/>
      <c r="V719" s="2"/>
      <c r="W719" s="2"/>
      <c r="X719" s="2"/>
      <c r="Y719" s="2"/>
      <c r="Z719" s="2"/>
    </row>
    <row r="720" spans="1:26" ht="12.75">
      <c r="A720" s="22"/>
      <c r="B720" s="22"/>
      <c r="C720" s="22"/>
      <c r="D720" s="22"/>
      <c r="E720" s="22"/>
      <c r="F720" s="22"/>
      <c r="G720" s="22"/>
      <c r="H720" s="22"/>
      <c r="I720" s="22"/>
      <c r="J720" s="22"/>
      <c r="K720" s="22"/>
      <c r="L720" s="22"/>
      <c r="M720" s="22"/>
      <c r="N720" s="22"/>
      <c r="O720" s="22"/>
      <c r="P720" s="22"/>
      <c r="Q720" s="22"/>
      <c r="R720" s="22"/>
      <c r="S720" s="22"/>
      <c r="T720" s="22"/>
      <c r="U720" s="2"/>
      <c r="V720" s="2"/>
      <c r="W720" s="2"/>
      <c r="X720" s="2"/>
      <c r="Y720" s="2"/>
      <c r="Z720" s="2"/>
    </row>
    <row r="721" spans="1:26" ht="12.75">
      <c r="A721" s="22"/>
      <c r="B721" s="22"/>
      <c r="C721" s="22"/>
      <c r="D721" s="22"/>
      <c r="E721" s="22"/>
      <c r="F721" s="22"/>
      <c r="G721" s="22"/>
      <c r="H721" s="22"/>
      <c r="I721" s="22"/>
      <c r="J721" s="22"/>
      <c r="K721" s="22"/>
      <c r="L721" s="22"/>
      <c r="M721" s="22"/>
      <c r="N721" s="22"/>
      <c r="O721" s="22"/>
      <c r="P721" s="22"/>
      <c r="Q721" s="22"/>
      <c r="R721" s="22"/>
      <c r="S721" s="22"/>
      <c r="T721" s="22"/>
      <c r="U721" s="2"/>
      <c r="V721" s="2"/>
      <c r="W721" s="2"/>
      <c r="X721" s="2"/>
      <c r="Y721" s="2"/>
      <c r="Z721" s="2"/>
    </row>
    <row r="722" spans="1:26" ht="12.75">
      <c r="A722" s="22"/>
      <c r="B722" s="22"/>
      <c r="C722" s="22"/>
      <c r="D722" s="22"/>
      <c r="E722" s="22"/>
      <c r="F722" s="22"/>
      <c r="G722" s="22"/>
      <c r="H722" s="22"/>
      <c r="I722" s="22"/>
      <c r="J722" s="22"/>
      <c r="K722" s="22"/>
      <c r="L722" s="22"/>
      <c r="M722" s="22"/>
      <c r="N722" s="22"/>
      <c r="O722" s="22"/>
      <c r="P722" s="22"/>
      <c r="Q722" s="22"/>
      <c r="R722" s="22"/>
      <c r="S722" s="22"/>
      <c r="T722" s="22"/>
      <c r="U722" s="2"/>
      <c r="V722" s="2"/>
      <c r="W722" s="2"/>
      <c r="X722" s="2"/>
      <c r="Y722" s="2"/>
      <c r="Z722" s="2"/>
    </row>
    <row r="723" spans="1:26" ht="12.75">
      <c r="A723" s="22"/>
      <c r="B723" s="22"/>
      <c r="C723" s="22"/>
      <c r="D723" s="22"/>
      <c r="E723" s="22"/>
      <c r="F723" s="22"/>
      <c r="G723" s="22"/>
      <c r="H723" s="22"/>
      <c r="I723" s="22"/>
      <c r="J723" s="22"/>
      <c r="K723" s="22"/>
      <c r="L723" s="22"/>
      <c r="M723" s="22"/>
      <c r="N723" s="22"/>
      <c r="O723" s="22"/>
      <c r="P723" s="22"/>
      <c r="Q723" s="22"/>
      <c r="R723" s="22"/>
      <c r="S723" s="22"/>
      <c r="T723" s="22"/>
      <c r="U723" s="2"/>
      <c r="V723" s="2"/>
      <c r="W723" s="2"/>
      <c r="X723" s="2"/>
      <c r="Y723" s="2"/>
      <c r="Z723" s="2"/>
    </row>
    <row r="724" spans="1:26" ht="12.75">
      <c r="A724" s="22"/>
      <c r="B724" s="22"/>
      <c r="C724" s="22"/>
      <c r="D724" s="22"/>
      <c r="E724" s="22"/>
      <c r="F724" s="22"/>
      <c r="G724" s="22"/>
      <c r="H724" s="22"/>
      <c r="I724" s="22"/>
      <c r="J724" s="22"/>
      <c r="K724" s="22"/>
      <c r="L724" s="22"/>
      <c r="M724" s="22"/>
      <c r="N724" s="22"/>
      <c r="O724" s="22"/>
      <c r="P724" s="22"/>
      <c r="Q724" s="22"/>
      <c r="R724" s="22"/>
      <c r="S724" s="22"/>
      <c r="T724" s="22"/>
      <c r="U724" s="2"/>
      <c r="V724" s="2"/>
      <c r="W724" s="2"/>
      <c r="X724" s="2"/>
      <c r="Y724" s="2"/>
      <c r="Z724" s="2"/>
    </row>
    <row r="725" spans="1:26" ht="12.75">
      <c r="A725" s="22"/>
      <c r="B725" s="22"/>
      <c r="C725" s="22"/>
      <c r="D725" s="22"/>
      <c r="E725" s="22"/>
      <c r="F725" s="22"/>
      <c r="G725" s="22"/>
      <c r="H725" s="22"/>
      <c r="I725" s="22"/>
      <c r="J725" s="22"/>
      <c r="K725" s="22"/>
      <c r="L725" s="22"/>
      <c r="M725" s="22"/>
      <c r="N725" s="22"/>
      <c r="O725" s="22"/>
      <c r="P725" s="22"/>
      <c r="Q725" s="22"/>
      <c r="R725" s="22"/>
      <c r="S725" s="22"/>
      <c r="T725" s="22"/>
      <c r="U725" s="2"/>
      <c r="V725" s="2"/>
      <c r="W725" s="2"/>
      <c r="X725" s="2"/>
      <c r="Y725" s="2"/>
      <c r="Z725" s="2"/>
    </row>
    <row r="726" spans="1:26" ht="12.75">
      <c r="A726" s="22"/>
      <c r="B726" s="22"/>
      <c r="C726" s="22"/>
      <c r="D726" s="22"/>
      <c r="E726" s="22"/>
      <c r="F726" s="22"/>
      <c r="G726" s="22"/>
      <c r="H726" s="22"/>
      <c r="I726" s="22"/>
      <c r="J726" s="22"/>
      <c r="K726" s="22"/>
      <c r="L726" s="22"/>
      <c r="M726" s="22"/>
      <c r="N726" s="22"/>
      <c r="O726" s="22"/>
      <c r="P726" s="22"/>
      <c r="Q726" s="22"/>
      <c r="R726" s="22"/>
      <c r="S726" s="22"/>
      <c r="T726" s="22"/>
      <c r="U726" s="2"/>
      <c r="V726" s="2"/>
      <c r="W726" s="2"/>
      <c r="X726" s="2"/>
      <c r="Y726" s="2"/>
      <c r="Z726" s="2"/>
    </row>
    <row r="727" spans="1:26" ht="12.75">
      <c r="A727" s="22"/>
      <c r="B727" s="22"/>
      <c r="C727" s="22"/>
      <c r="D727" s="22"/>
      <c r="E727" s="22"/>
      <c r="F727" s="22"/>
      <c r="G727" s="22"/>
      <c r="H727" s="22"/>
      <c r="I727" s="22"/>
      <c r="J727" s="22"/>
      <c r="K727" s="22"/>
      <c r="L727" s="22"/>
      <c r="M727" s="22"/>
      <c r="N727" s="22"/>
      <c r="O727" s="22"/>
      <c r="P727" s="22"/>
      <c r="Q727" s="22"/>
      <c r="R727" s="22"/>
      <c r="S727" s="22"/>
      <c r="T727" s="22"/>
      <c r="U727" s="2"/>
      <c r="V727" s="2"/>
      <c r="W727" s="2"/>
      <c r="X727" s="2"/>
      <c r="Y727" s="2"/>
      <c r="Z727" s="2"/>
    </row>
    <row r="728" spans="1:26" ht="12.75">
      <c r="A728" s="22"/>
      <c r="B728" s="22"/>
      <c r="C728" s="22"/>
      <c r="D728" s="22"/>
      <c r="E728" s="22"/>
      <c r="F728" s="22"/>
      <c r="G728" s="22"/>
      <c r="H728" s="22"/>
      <c r="I728" s="22"/>
      <c r="J728" s="22"/>
      <c r="K728" s="22"/>
      <c r="L728" s="22"/>
      <c r="M728" s="22"/>
      <c r="N728" s="22"/>
      <c r="O728" s="22"/>
      <c r="P728" s="22"/>
      <c r="Q728" s="22"/>
      <c r="R728" s="22"/>
      <c r="S728" s="22"/>
      <c r="T728" s="22"/>
      <c r="U728" s="2"/>
      <c r="V728" s="2"/>
      <c r="W728" s="2"/>
      <c r="X728" s="2"/>
      <c r="Y728" s="2"/>
      <c r="Z728" s="2"/>
    </row>
    <row r="729" spans="1:26" ht="12.75">
      <c r="A729" s="22"/>
      <c r="B729" s="22"/>
      <c r="C729" s="22"/>
      <c r="D729" s="22"/>
      <c r="E729" s="22"/>
      <c r="F729" s="22"/>
      <c r="G729" s="22"/>
      <c r="H729" s="22"/>
      <c r="I729" s="22"/>
      <c r="J729" s="22"/>
      <c r="K729" s="22"/>
      <c r="L729" s="22"/>
      <c r="M729" s="22"/>
      <c r="N729" s="22"/>
      <c r="O729" s="22"/>
      <c r="P729" s="22"/>
      <c r="Q729" s="22"/>
      <c r="R729" s="22"/>
      <c r="S729" s="22"/>
      <c r="T729" s="22"/>
      <c r="U729" s="2"/>
      <c r="V729" s="2"/>
      <c r="W729" s="2"/>
      <c r="X729" s="2"/>
      <c r="Y729" s="2"/>
      <c r="Z729" s="2"/>
    </row>
    <row r="730" spans="1:26" ht="12.75">
      <c r="A730" s="22"/>
      <c r="B730" s="22"/>
      <c r="C730" s="22"/>
      <c r="D730" s="22"/>
      <c r="E730" s="22"/>
      <c r="F730" s="22"/>
      <c r="G730" s="22"/>
      <c r="H730" s="22"/>
      <c r="I730" s="22"/>
      <c r="J730" s="22"/>
      <c r="K730" s="22"/>
      <c r="L730" s="22"/>
      <c r="M730" s="22"/>
      <c r="N730" s="22"/>
      <c r="O730" s="22"/>
      <c r="P730" s="22"/>
      <c r="Q730" s="22"/>
      <c r="R730" s="22"/>
      <c r="S730" s="22"/>
      <c r="T730" s="22"/>
      <c r="U730" s="2"/>
      <c r="V730" s="2"/>
      <c r="W730" s="2"/>
      <c r="X730" s="2"/>
      <c r="Y730" s="2"/>
      <c r="Z730" s="2"/>
    </row>
    <row r="731" spans="1:26" ht="12.75">
      <c r="A731" s="22"/>
      <c r="B731" s="22"/>
      <c r="C731" s="22"/>
      <c r="D731" s="22"/>
      <c r="E731" s="22"/>
      <c r="F731" s="22"/>
      <c r="G731" s="22"/>
      <c r="H731" s="22"/>
      <c r="I731" s="22"/>
      <c r="J731" s="22"/>
      <c r="K731" s="22"/>
      <c r="L731" s="22"/>
      <c r="M731" s="22"/>
      <c r="N731" s="22"/>
      <c r="O731" s="22"/>
      <c r="P731" s="22"/>
      <c r="Q731" s="22"/>
      <c r="R731" s="22"/>
      <c r="S731" s="22"/>
      <c r="T731" s="22"/>
      <c r="U731" s="2"/>
      <c r="V731" s="2"/>
      <c r="W731" s="2"/>
      <c r="X731" s="2"/>
      <c r="Y731" s="2"/>
      <c r="Z731" s="2"/>
    </row>
    <row r="732" spans="1:26" ht="12.75">
      <c r="A732" s="22"/>
      <c r="B732" s="22"/>
      <c r="C732" s="22"/>
      <c r="D732" s="22"/>
      <c r="E732" s="22"/>
      <c r="F732" s="22"/>
      <c r="G732" s="22"/>
      <c r="H732" s="22"/>
      <c r="I732" s="22"/>
      <c r="J732" s="22"/>
      <c r="K732" s="22"/>
      <c r="L732" s="22"/>
      <c r="M732" s="22"/>
      <c r="N732" s="22"/>
      <c r="O732" s="22"/>
      <c r="P732" s="22"/>
      <c r="Q732" s="22"/>
      <c r="R732" s="22"/>
      <c r="S732" s="22"/>
      <c r="T732" s="22"/>
      <c r="U732" s="2"/>
      <c r="V732" s="2"/>
      <c r="W732" s="2"/>
      <c r="X732" s="2"/>
      <c r="Y732" s="2"/>
      <c r="Z732" s="2"/>
    </row>
    <row r="733" spans="1:26" ht="12.75">
      <c r="A733" s="22"/>
      <c r="B733" s="22"/>
      <c r="C733" s="22"/>
      <c r="D733" s="22"/>
      <c r="E733" s="22"/>
      <c r="F733" s="22"/>
      <c r="G733" s="22"/>
      <c r="H733" s="22"/>
      <c r="I733" s="22"/>
      <c r="J733" s="22"/>
      <c r="K733" s="22"/>
      <c r="L733" s="22"/>
      <c r="M733" s="22"/>
      <c r="N733" s="22"/>
      <c r="O733" s="22"/>
      <c r="P733" s="22"/>
      <c r="Q733" s="22"/>
      <c r="R733" s="22"/>
      <c r="S733" s="22"/>
      <c r="T733" s="22"/>
      <c r="U733" s="2"/>
      <c r="V733" s="2"/>
      <c r="W733" s="2"/>
      <c r="X733" s="2"/>
      <c r="Y733" s="2"/>
      <c r="Z733" s="2"/>
    </row>
    <row r="734" spans="1:26" ht="12.75">
      <c r="A734" s="22"/>
      <c r="B734" s="22"/>
      <c r="C734" s="22"/>
      <c r="D734" s="22"/>
      <c r="E734" s="22"/>
      <c r="F734" s="22"/>
      <c r="G734" s="22"/>
      <c r="H734" s="22"/>
      <c r="I734" s="22"/>
      <c r="J734" s="22"/>
      <c r="K734" s="22"/>
      <c r="L734" s="22"/>
      <c r="M734" s="22"/>
      <c r="N734" s="22"/>
      <c r="O734" s="22"/>
      <c r="P734" s="22"/>
      <c r="Q734" s="22"/>
      <c r="R734" s="22"/>
      <c r="S734" s="22"/>
      <c r="T734" s="22"/>
      <c r="U734" s="2"/>
      <c r="V734" s="2"/>
      <c r="W734" s="2"/>
      <c r="X734" s="2"/>
      <c r="Y734" s="2"/>
      <c r="Z734" s="2"/>
    </row>
    <row r="735" spans="1:26" ht="12.75">
      <c r="A735" s="22"/>
      <c r="B735" s="22"/>
      <c r="C735" s="22"/>
      <c r="D735" s="22"/>
      <c r="E735" s="22"/>
      <c r="F735" s="22"/>
      <c r="G735" s="22"/>
      <c r="H735" s="22"/>
      <c r="I735" s="22"/>
      <c r="J735" s="22"/>
      <c r="K735" s="22"/>
      <c r="L735" s="22"/>
      <c r="M735" s="22"/>
      <c r="N735" s="22"/>
      <c r="O735" s="22"/>
      <c r="P735" s="22"/>
      <c r="Q735" s="22"/>
      <c r="R735" s="22"/>
      <c r="S735" s="22"/>
      <c r="T735" s="22"/>
      <c r="U735" s="2"/>
      <c r="V735" s="2"/>
      <c r="W735" s="2"/>
      <c r="X735" s="2"/>
      <c r="Y735" s="2"/>
      <c r="Z735" s="2"/>
    </row>
    <row r="736" spans="1:26" ht="12.75">
      <c r="A736" s="22"/>
      <c r="B736" s="22"/>
      <c r="C736" s="22"/>
      <c r="D736" s="22"/>
      <c r="E736" s="22"/>
      <c r="F736" s="22"/>
      <c r="G736" s="22"/>
      <c r="H736" s="22"/>
      <c r="I736" s="22"/>
      <c r="J736" s="22"/>
      <c r="K736" s="22"/>
      <c r="L736" s="22"/>
      <c r="M736" s="22"/>
      <c r="N736" s="22"/>
      <c r="O736" s="22"/>
      <c r="P736" s="22"/>
      <c r="Q736" s="22"/>
      <c r="R736" s="22"/>
      <c r="S736" s="22"/>
      <c r="T736" s="22"/>
      <c r="U736" s="2"/>
      <c r="V736" s="2"/>
      <c r="W736" s="2"/>
      <c r="X736" s="2"/>
      <c r="Y736" s="2"/>
      <c r="Z736" s="2"/>
    </row>
    <row r="737" spans="1:26" ht="12.75">
      <c r="A737" s="22"/>
      <c r="B737" s="22"/>
      <c r="C737" s="22"/>
      <c r="D737" s="22"/>
      <c r="E737" s="22"/>
      <c r="F737" s="22"/>
      <c r="G737" s="22"/>
      <c r="H737" s="22"/>
      <c r="I737" s="22"/>
      <c r="J737" s="22"/>
      <c r="K737" s="22"/>
      <c r="L737" s="22"/>
      <c r="M737" s="22"/>
      <c r="N737" s="22"/>
      <c r="O737" s="22"/>
      <c r="P737" s="22"/>
      <c r="Q737" s="22"/>
      <c r="R737" s="22"/>
      <c r="S737" s="22"/>
      <c r="T737" s="22"/>
      <c r="U737" s="2"/>
      <c r="V737" s="2"/>
      <c r="W737" s="2"/>
      <c r="X737" s="2"/>
      <c r="Y737" s="2"/>
      <c r="Z737" s="2"/>
    </row>
    <row r="738" spans="1:26" ht="12.75">
      <c r="A738" s="22"/>
      <c r="B738" s="22"/>
      <c r="C738" s="22"/>
      <c r="D738" s="22"/>
      <c r="E738" s="22"/>
      <c r="F738" s="22"/>
      <c r="G738" s="22"/>
      <c r="H738" s="22"/>
      <c r="I738" s="22"/>
      <c r="J738" s="22"/>
      <c r="K738" s="22"/>
      <c r="L738" s="22"/>
      <c r="M738" s="22"/>
      <c r="N738" s="22"/>
      <c r="O738" s="22"/>
      <c r="P738" s="22"/>
      <c r="Q738" s="22"/>
      <c r="R738" s="22"/>
      <c r="S738" s="22"/>
      <c r="T738" s="22"/>
      <c r="U738" s="2"/>
      <c r="V738" s="2"/>
      <c r="W738" s="2"/>
      <c r="X738" s="2"/>
      <c r="Y738" s="2"/>
      <c r="Z738" s="2"/>
    </row>
    <row r="739" spans="1:26" ht="12.75">
      <c r="A739" s="22"/>
      <c r="B739" s="22"/>
      <c r="C739" s="22"/>
      <c r="D739" s="22"/>
      <c r="E739" s="22"/>
      <c r="F739" s="22"/>
      <c r="G739" s="22"/>
      <c r="H739" s="22"/>
      <c r="I739" s="22"/>
      <c r="J739" s="22"/>
      <c r="K739" s="22"/>
      <c r="L739" s="22"/>
      <c r="M739" s="22"/>
      <c r="N739" s="22"/>
      <c r="O739" s="22"/>
      <c r="P739" s="22"/>
      <c r="Q739" s="22"/>
      <c r="R739" s="22"/>
      <c r="S739" s="22"/>
      <c r="T739" s="22"/>
      <c r="U739" s="2"/>
      <c r="V739" s="2"/>
      <c r="W739" s="2"/>
      <c r="X739" s="2"/>
      <c r="Y739" s="2"/>
      <c r="Z739" s="2"/>
    </row>
    <row r="740" spans="1:26" ht="12.75">
      <c r="A740" s="22"/>
      <c r="B740" s="22"/>
      <c r="C740" s="22"/>
      <c r="D740" s="22"/>
      <c r="E740" s="22"/>
      <c r="F740" s="22"/>
      <c r="G740" s="22"/>
      <c r="H740" s="22"/>
      <c r="I740" s="22"/>
      <c r="J740" s="22"/>
      <c r="K740" s="22"/>
      <c r="L740" s="22"/>
      <c r="M740" s="22"/>
      <c r="N740" s="22"/>
      <c r="O740" s="22"/>
      <c r="P740" s="22"/>
      <c r="Q740" s="22"/>
      <c r="R740" s="22"/>
      <c r="S740" s="22"/>
      <c r="T740" s="22"/>
      <c r="U740" s="2"/>
      <c r="V740" s="2"/>
      <c r="W740" s="2"/>
      <c r="X740" s="2"/>
      <c r="Y740" s="2"/>
      <c r="Z740" s="2"/>
    </row>
    <row r="741" spans="1:26" ht="12.75">
      <c r="A741" s="22"/>
      <c r="B741" s="22"/>
      <c r="C741" s="22"/>
      <c r="D741" s="22"/>
      <c r="E741" s="22"/>
      <c r="F741" s="22"/>
      <c r="G741" s="22"/>
      <c r="H741" s="22"/>
      <c r="I741" s="22"/>
      <c r="J741" s="22"/>
      <c r="K741" s="22"/>
      <c r="L741" s="22"/>
      <c r="M741" s="22"/>
      <c r="N741" s="22"/>
      <c r="O741" s="22"/>
      <c r="P741" s="22"/>
      <c r="Q741" s="22"/>
      <c r="R741" s="22"/>
      <c r="S741" s="22"/>
      <c r="T741" s="22"/>
      <c r="U741" s="2"/>
      <c r="V741" s="2"/>
      <c r="W741" s="2"/>
      <c r="X741" s="2"/>
      <c r="Y741" s="2"/>
      <c r="Z741" s="2"/>
    </row>
    <row r="742" spans="1:26" ht="12.75">
      <c r="A742" s="22"/>
      <c r="B742" s="22"/>
      <c r="C742" s="22"/>
      <c r="D742" s="22"/>
      <c r="E742" s="22"/>
      <c r="F742" s="22"/>
      <c r="G742" s="22"/>
      <c r="H742" s="22"/>
      <c r="I742" s="22"/>
      <c r="J742" s="22"/>
      <c r="K742" s="22"/>
      <c r="L742" s="22"/>
      <c r="M742" s="22"/>
      <c r="N742" s="22"/>
      <c r="O742" s="22"/>
      <c r="P742" s="22"/>
      <c r="Q742" s="22"/>
      <c r="R742" s="22"/>
      <c r="S742" s="22"/>
      <c r="T742" s="22"/>
      <c r="U742" s="2"/>
      <c r="V742" s="2"/>
      <c r="W742" s="2"/>
      <c r="X742" s="2"/>
      <c r="Y742" s="2"/>
      <c r="Z742" s="2"/>
    </row>
    <row r="743" spans="1:26" ht="12.75">
      <c r="A743" s="22"/>
      <c r="B743" s="22"/>
      <c r="C743" s="22"/>
      <c r="D743" s="22"/>
      <c r="E743" s="22"/>
      <c r="F743" s="22"/>
      <c r="G743" s="22"/>
      <c r="H743" s="22"/>
      <c r="I743" s="22"/>
      <c r="J743" s="22"/>
      <c r="K743" s="22"/>
      <c r="L743" s="22"/>
      <c r="M743" s="22"/>
      <c r="N743" s="22"/>
      <c r="O743" s="22"/>
      <c r="P743" s="22"/>
      <c r="Q743" s="22"/>
      <c r="R743" s="22"/>
      <c r="S743" s="22"/>
      <c r="T743" s="22"/>
      <c r="U743" s="2"/>
      <c r="V743" s="2"/>
      <c r="W743" s="2"/>
      <c r="X743" s="2"/>
      <c r="Y743" s="2"/>
      <c r="Z743" s="2"/>
    </row>
    <row r="744" spans="1:26" ht="12.75">
      <c r="A744" s="22"/>
      <c r="B744" s="22"/>
      <c r="C744" s="22"/>
      <c r="D744" s="22"/>
      <c r="E744" s="22"/>
      <c r="F744" s="22"/>
      <c r="G744" s="22"/>
      <c r="H744" s="22"/>
      <c r="I744" s="22"/>
      <c r="J744" s="22"/>
      <c r="K744" s="22"/>
      <c r="L744" s="22"/>
      <c r="M744" s="22"/>
      <c r="N744" s="22"/>
      <c r="O744" s="22"/>
      <c r="P744" s="22"/>
      <c r="Q744" s="22"/>
      <c r="R744" s="22"/>
      <c r="S744" s="22"/>
      <c r="T744" s="22"/>
      <c r="U744" s="2"/>
      <c r="V744" s="2"/>
      <c r="W744" s="2"/>
      <c r="X744" s="2"/>
      <c r="Y744" s="2"/>
      <c r="Z744" s="2"/>
    </row>
    <row r="745" spans="1:26" ht="12.75">
      <c r="A745" s="22"/>
      <c r="B745" s="22"/>
      <c r="C745" s="22"/>
      <c r="D745" s="22"/>
      <c r="E745" s="22"/>
      <c r="F745" s="22"/>
      <c r="G745" s="22"/>
      <c r="H745" s="22"/>
      <c r="I745" s="22"/>
      <c r="J745" s="22"/>
      <c r="K745" s="22"/>
      <c r="L745" s="22"/>
      <c r="M745" s="22"/>
      <c r="N745" s="22"/>
      <c r="O745" s="22"/>
      <c r="P745" s="22"/>
      <c r="Q745" s="22"/>
      <c r="R745" s="22"/>
      <c r="S745" s="22"/>
      <c r="T745" s="22"/>
      <c r="U745" s="2"/>
      <c r="V745" s="2"/>
      <c r="W745" s="2"/>
      <c r="X745" s="2"/>
      <c r="Y745" s="2"/>
      <c r="Z745" s="2"/>
    </row>
    <row r="746" spans="1:26" ht="12.75">
      <c r="A746" s="22"/>
      <c r="B746" s="22"/>
      <c r="C746" s="22"/>
      <c r="D746" s="22"/>
      <c r="E746" s="22"/>
      <c r="F746" s="22"/>
      <c r="G746" s="22"/>
      <c r="H746" s="22"/>
      <c r="I746" s="22"/>
      <c r="J746" s="22"/>
      <c r="K746" s="22"/>
      <c r="L746" s="22"/>
      <c r="M746" s="22"/>
      <c r="N746" s="22"/>
      <c r="O746" s="22"/>
      <c r="P746" s="22"/>
      <c r="Q746" s="22"/>
      <c r="R746" s="22"/>
      <c r="S746" s="22"/>
      <c r="T746" s="22"/>
      <c r="U746" s="2"/>
      <c r="V746" s="2"/>
      <c r="W746" s="2"/>
      <c r="X746" s="2"/>
      <c r="Y746" s="2"/>
      <c r="Z746" s="2"/>
    </row>
    <row r="747" spans="1:26" ht="12.75">
      <c r="A747" s="22"/>
      <c r="B747" s="22"/>
      <c r="C747" s="22"/>
      <c r="D747" s="22"/>
      <c r="E747" s="22"/>
      <c r="F747" s="22"/>
      <c r="G747" s="22"/>
      <c r="H747" s="22"/>
      <c r="I747" s="22"/>
      <c r="J747" s="22"/>
      <c r="K747" s="22"/>
      <c r="L747" s="22"/>
      <c r="M747" s="22"/>
      <c r="N747" s="22"/>
      <c r="O747" s="22"/>
      <c r="P747" s="22"/>
      <c r="Q747" s="22"/>
      <c r="R747" s="22"/>
      <c r="S747" s="22"/>
      <c r="T747" s="22"/>
      <c r="U747" s="2"/>
      <c r="V747" s="2"/>
      <c r="W747" s="2"/>
      <c r="X747" s="2"/>
      <c r="Y747" s="2"/>
      <c r="Z747" s="2"/>
    </row>
    <row r="748" spans="1:26" ht="12.75">
      <c r="A748" s="22"/>
      <c r="B748" s="22"/>
      <c r="C748" s="22"/>
      <c r="D748" s="22"/>
      <c r="E748" s="22"/>
      <c r="F748" s="22"/>
      <c r="G748" s="22"/>
      <c r="H748" s="22"/>
      <c r="I748" s="22"/>
      <c r="J748" s="22"/>
      <c r="K748" s="22"/>
      <c r="L748" s="22"/>
      <c r="M748" s="22"/>
      <c r="N748" s="22"/>
      <c r="O748" s="22"/>
      <c r="P748" s="22"/>
      <c r="Q748" s="22"/>
      <c r="R748" s="22"/>
      <c r="S748" s="22"/>
      <c r="T748" s="22"/>
      <c r="U748" s="2"/>
      <c r="V748" s="2"/>
      <c r="W748" s="2"/>
      <c r="X748" s="2"/>
      <c r="Y748" s="2"/>
      <c r="Z748" s="2"/>
    </row>
    <row r="749" spans="1:26" ht="12.75">
      <c r="A749" s="22"/>
      <c r="B749" s="22"/>
      <c r="C749" s="22"/>
      <c r="D749" s="22"/>
      <c r="E749" s="22"/>
      <c r="F749" s="22"/>
      <c r="G749" s="22"/>
      <c r="H749" s="22"/>
      <c r="I749" s="22"/>
      <c r="J749" s="22"/>
      <c r="K749" s="22"/>
      <c r="L749" s="22"/>
      <c r="M749" s="22"/>
      <c r="N749" s="22"/>
      <c r="O749" s="22"/>
      <c r="P749" s="22"/>
      <c r="Q749" s="22"/>
      <c r="R749" s="22"/>
      <c r="S749" s="22"/>
      <c r="T749" s="22"/>
      <c r="U749" s="2"/>
      <c r="V749" s="2"/>
      <c r="W749" s="2"/>
      <c r="X749" s="2"/>
      <c r="Y749" s="2"/>
      <c r="Z749" s="2"/>
    </row>
    <row r="750" spans="1:26" ht="12.75">
      <c r="A750" s="22"/>
      <c r="B750" s="22"/>
      <c r="C750" s="22"/>
      <c r="D750" s="22"/>
      <c r="E750" s="22"/>
      <c r="F750" s="22"/>
      <c r="G750" s="22"/>
      <c r="H750" s="22"/>
      <c r="I750" s="22"/>
      <c r="J750" s="22"/>
      <c r="K750" s="22"/>
      <c r="L750" s="22"/>
      <c r="M750" s="22"/>
      <c r="N750" s="22"/>
      <c r="O750" s="22"/>
      <c r="P750" s="22"/>
      <c r="Q750" s="22"/>
      <c r="R750" s="22"/>
      <c r="S750" s="22"/>
      <c r="T750" s="22"/>
      <c r="U750" s="2"/>
      <c r="V750" s="2"/>
      <c r="W750" s="2"/>
      <c r="X750" s="2"/>
      <c r="Y750" s="2"/>
      <c r="Z750" s="2"/>
    </row>
    <row r="751" spans="1:26" ht="12.75">
      <c r="A751" s="22"/>
      <c r="B751" s="22"/>
      <c r="C751" s="22"/>
      <c r="D751" s="22"/>
      <c r="E751" s="22"/>
      <c r="F751" s="22"/>
      <c r="G751" s="22"/>
      <c r="H751" s="22"/>
      <c r="I751" s="22"/>
      <c r="J751" s="22"/>
      <c r="K751" s="22"/>
      <c r="L751" s="22"/>
      <c r="M751" s="22"/>
      <c r="N751" s="22"/>
      <c r="O751" s="22"/>
      <c r="P751" s="22"/>
      <c r="Q751" s="22"/>
      <c r="R751" s="22"/>
      <c r="S751" s="22"/>
      <c r="T751" s="22"/>
      <c r="U751" s="2"/>
      <c r="V751" s="2"/>
      <c r="W751" s="2"/>
      <c r="X751" s="2"/>
      <c r="Y751" s="2"/>
      <c r="Z751" s="2"/>
    </row>
    <row r="752" spans="1:26" ht="12.75">
      <c r="A752" s="22"/>
      <c r="B752" s="22"/>
      <c r="C752" s="22"/>
      <c r="D752" s="22"/>
      <c r="E752" s="22"/>
      <c r="F752" s="22"/>
      <c r="G752" s="22"/>
      <c r="H752" s="22"/>
      <c r="I752" s="22"/>
      <c r="J752" s="22"/>
      <c r="K752" s="22"/>
      <c r="L752" s="22"/>
      <c r="M752" s="22"/>
      <c r="N752" s="22"/>
      <c r="O752" s="22"/>
      <c r="P752" s="22"/>
      <c r="Q752" s="22"/>
      <c r="R752" s="22"/>
      <c r="S752" s="22"/>
      <c r="T752" s="22"/>
      <c r="U752" s="2"/>
      <c r="V752" s="2"/>
      <c r="W752" s="2"/>
      <c r="X752" s="2"/>
      <c r="Y752" s="2"/>
      <c r="Z752" s="2"/>
    </row>
    <row r="753" spans="1:26" ht="12.75">
      <c r="A753" s="22"/>
      <c r="B753" s="22"/>
      <c r="C753" s="22"/>
      <c r="D753" s="22"/>
      <c r="E753" s="22"/>
      <c r="F753" s="22"/>
      <c r="G753" s="22"/>
      <c r="H753" s="22"/>
      <c r="I753" s="22"/>
      <c r="J753" s="22"/>
      <c r="K753" s="22"/>
      <c r="L753" s="22"/>
      <c r="M753" s="22"/>
      <c r="N753" s="22"/>
      <c r="O753" s="22"/>
      <c r="P753" s="22"/>
      <c r="Q753" s="22"/>
      <c r="R753" s="22"/>
      <c r="S753" s="22"/>
      <c r="T753" s="22"/>
      <c r="U753" s="2"/>
      <c r="V753" s="2"/>
      <c r="W753" s="2"/>
      <c r="X753" s="2"/>
      <c r="Y753" s="2"/>
      <c r="Z753" s="2"/>
    </row>
    <row r="754" spans="1:26" ht="12.75">
      <c r="A754" s="22"/>
      <c r="B754" s="22"/>
      <c r="C754" s="22"/>
      <c r="D754" s="22"/>
      <c r="E754" s="22"/>
      <c r="F754" s="22"/>
      <c r="G754" s="22"/>
      <c r="H754" s="22"/>
      <c r="I754" s="22"/>
      <c r="J754" s="22"/>
      <c r="K754" s="22"/>
      <c r="L754" s="22"/>
      <c r="M754" s="22"/>
      <c r="N754" s="22"/>
      <c r="O754" s="22"/>
      <c r="P754" s="22"/>
      <c r="Q754" s="22"/>
      <c r="R754" s="22"/>
      <c r="S754" s="22"/>
      <c r="T754" s="22"/>
      <c r="U754" s="2"/>
      <c r="V754" s="2"/>
      <c r="W754" s="2"/>
      <c r="X754" s="2"/>
      <c r="Y754" s="2"/>
      <c r="Z754" s="2"/>
    </row>
    <row r="755" spans="1:26" ht="12.75">
      <c r="A755" s="22"/>
      <c r="B755" s="22"/>
      <c r="C755" s="22"/>
      <c r="D755" s="22"/>
      <c r="E755" s="22"/>
      <c r="F755" s="22"/>
      <c r="G755" s="22"/>
      <c r="H755" s="22"/>
      <c r="I755" s="22"/>
      <c r="J755" s="22"/>
      <c r="K755" s="22"/>
      <c r="L755" s="22"/>
      <c r="M755" s="22"/>
      <c r="N755" s="22"/>
      <c r="O755" s="22"/>
      <c r="P755" s="22"/>
      <c r="Q755" s="22"/>
      <c r="R755" s="22"/>
      <c r="S755" s="22"/>
      <c r="T755" s="22"/>
      <c r="U755" s="2"/>
      <c r="V755" s="2"/>
      <c r="W755" s="2"/>
      <c r="X755" s="2"/>
      <c r="Y755" s="2"/>
      <c r="Z755" s="2"/>
    </row>
    <row r="756" spans="1:26" ht="12.75">
      <c r="A756" s="22"/>
      <c r="B756" s="22"/>
      <c r="C756" s="22"/>
      <c r="D756" s="22"/>
      <c r="E756" s="22"/>
      <c r="F756" s="22"/>
      <c r="G756" s="22"/>
      <c r="H756" s="22"/>
      <c r="I756" s="22"/>
      <c r="J756" s="22"/>
      <c r="K756" s="22"/>
      <c r="L756" s="22"/>
      <c r="M756" s="22"/>
      <c r="N756" s="22"/>
      <c r="O756" s="22"/>
      <c r="P756" s="22"/>
      <c r="Q756" s="22"/>
      <c r="R756" s="22"/>
      <c r="S756" s="22"/>
      <c r="T756" s="22"/>
      <c r="U756" s="2"/>
      <c r="V756" s="2"/>
      <c r="W756" s="2"/>
      <c r="X756" s="2"/>
      <c r="Y756" s="2"/>
      <c r="Z756" s="2"/>
    </row>
    <row r="757" spans="1:26" ht="12.75">
      <c r="A757" s="22"/>
      <c r="B757" s="22"/>
      <c r="C757" s="22"/>
      <c r="D757" s="22"/>
      <c r="E757" s="22"/>
      <c r="F757" s="22"/>
      <c r="G757" s="22"/>
      <c r="H757" s="22"/>
      <c r="I757" s="22"/>
      <c r="J757" s="22"/>
      <c r="K757" s="22"/>
      <c r="L757" s="22"/>
      <c r="M757" s="22"/>
      <c r="N757" s="22"/>
      <c r="O757" s="22"/>
      <c r="P757" s="22"/>
      <c r="Q757" s="22"/>
      <c r="R757" s="22"/>
      <c r="S757" s="22"/>
      <c r="T757" s="22"/>
      <c r="U757" s="2"/>
      <c r="V757" s="2"/>
      <c r="W757" s="2"/>
      <c r="X757" s="2"/>
      <c r="Y757" s="2"/>
      <c r="Z757" s="2"/>
    </row>
    <row r="758" spans="1:26" ht="12.75">
      <c r="A758" s="22"/>
      <c r="B758" s="22"/>
      <c r="C758" s="22"/>
      <c r="D758" s="22"/>
      <c r="E758" s="22"/>
      <c r="F758" s="22"/>
      <c r="G758" s="22"/>
      <c r="H758" s="22"/>
      <c r="I758" s="22"/>
      <c r="J758" s="22"/>
      <c r="K758" s="22"/>
      <c r="L758" s="22"/>
      <c r="M758" s="22"/>
      <c r="N758" s="22"/>
      <c r="O758" s="22"/>
      <c r="P758" s="22"/>
      <c r="Q758" s="22"/>
      <c r="R758" s="22"/>
      <c r="S758" s="22"/>
      <c r="T758" s="22"/>
      <c r="U758" s="2"/>
      <c r="V758" s="2"/>
      <c r="W758" s="2"/>
      <c r="X758" s="2"/>
      <c r="Y758" s="2"/>
      <c r="Z758" s="2"/>
    </row>
    <row r="759" spans="1:26" ht="12.75">
      <c r="A759" s="22"/>
      <c r="B759" s="22"/>
      <c r="C759" s="22"/>
      <c r="D759" s="22"/>
      <c r="E759" s="22"/>
      <c r="F759" s="22"/>
      <c r="G759" s="22"/>
      <c r="H759" s="22"/>
      <c r="I759" s="22"/>
      <c r="J759" s="22"/>
      <c r="K759" s="22"/>
      <c r="L759" s="22"/>
      <c r="M759" s="22"/>
      <c r="N759" s="22"/>
      <c r="O759" s="22"/>
      <c r="P759" s="22"/>
      <c r="Q759" s="22"/>
      <c r="R759" s="22"/>
      <c r="S759" s="22"/>
      <c r="T759" s="22"/>
      <c r="U759" s="2"/>
      <c r="V759" s="2"/>
      <c r="W759" s="2"/>
      <c r="X759" s="2"/>
      <c r="Y759" s="2"/>
      <c r="Z759" s="2"/>
    </row>
    <row r="760" spans="1:26" ht="12.75">
      <c r="A760" s="22"/>
      <c r="B760" s="22"/>
      <c r="C760" s="22"/>
      <c r="D760" s="22"/>
      <c r="E760" s="22"/>
      <c r="F760" s="22"/>
      <c r="G760" s="22"/>
      <c r="H760" s="22"/>
      <c r="I760" s="22"/>
      <c r="J760" s="22"/>
      <c r="K760" s="22"/>
      <c r="L760" s="22"/>
      <c r="M760" s="22"/>
      <c r="N760" s="22"/>
      <c r="O760" s="22"/>
      <c r="P760" s="22"/>
      <c r="Q760" s="22"/>
      <c r="R760" s="22"/>
      <c r="S760" s="22"/>
      <c r="T760" s="22"/>
      <c r="U760" s="2"/>
      <c r="V760" s="2"/>
      <c r="W760" s="2"/>
      <c r="X760" s="2"/>
      <c r="Y760" s="2"/>
      <c r="Z760" s="2"/>
    </row>
    <row r="761" spans="1:26" ht="12.75">
      <c r="A761" s="22"/>
      <c r="B761" s="22"/>
      <c r="C761" s="22"/>
      <c r="D761" s="22"/>
      <c r="E761" s="22"/>
      <c r="F761" s="22"/>
      <c r="G761" s="22"/>
      <c r="H761" s="22"/>
      <c r="I761" s="22"/>
      <c r="J761" s="22"/>
      <c r="K761" s="22"/>
      <c r="L761" s="22"/>
      <c r="M761" s="22"/>
      <c r="N761" s="22"/>
      <c r="O761" s="22"/>
      <c r="P761" s="22"/>
      <c r="Q761" s="22"/>
      <c r="R761" s="22"/>
      <c r="S761" s="22"/>
      <c r="T761" s="22"/>
      <c r="U761" s="2"/>
      <c r="V761" s="2"/>
      <c r="W761" s="2"/>
      <c r="X761" s="2"/>
      <c r="Y761" s="2"/>
      <c r="Z761" s="2"/>
    </row>
    <row r="762" spans="1:26" ht="12.75">
      <c r="A762" s="22"/>
      <c r="B762" s="22"/>
      <c r="C762" s="22"/>
      <c r="D762" s="22"/>
      <c r="E762" s="22"/>
      <c r="F762" s="22"/>
      <c r="G762" s="22"/>
      <c r="H762" s="22"/>
      <c r="I762" s="22"/>
      <c r="J762" s="22"/>
      <c r="K762" s="22"/>
      <c r="L762" s="22"/>
      <c r="M762" s="22"/>
      <c r="N762" s="22"/>
      <c r="O762" s="22"/>
      <c r="P762" s="22"/>
      <c r="Q762" s="22"/>
      <c r="R762" s="22"/>
      <c r="S762" s="22"/>
      <c r="T762" s="22"/>
      <c r="U762" s="2"/>
      <c r="V762" s="2"/>
      <c r="W762" s="2"/>
      <c r="X762" s="2"/>
      <c r="Y762" s="2"/>
      <c r="Z762" s="2"/>
    </row>
    <row r="763" spans="1:26" ht="12.75">
      <c r="A763" s="22"/>
      <c r="B763" s="22"/>
      <c r="C763" s="22"/>
      <c r="D763" s="22"/>
      <c r="E763" s="22"/>
      <c r="F763" s="22"/>
      <c r="G763" s="22"/>
      <c r="H763" s="22"/>
      <c r="I763" s="22"/>
      <c r="J763" s="22"/>
      <c r="K763" s="22"/>
      <c r="L763" s="22"/>
      <c r="M763" s="22"/>
      <c r="N763" s="22"/>
      <c r="O763" s="22"/>
      <c r="P763" s="22"/>
      <c r="Q763" s="22"/>
      <c r="R763" s="22"/>
      <c r="S763" s="22"/>
      <c r="T763" s="22"/>
      <c r="U763" s="2"/>
      <c r="V763" s="2"/>
      <c r="W763" s="2"/>
      <c r="X763" s="2"/>
      <c r="Y763" s="2"/>
      <c r="Z763" s="2"/>
    </row>
    <row r="764" spans="1:26" ht="12.75">
      <c r="A764" s="22"/>
      <c r="B764" s="22"/>
      <c r="C764" s="22"/>
      <c r="D764" s="22"/>
      <c r="E764" s="22"/>
      <c r="F764" s="22"/>
      <c r="G764" s="22"/>
      <c r="H764" s="22"/>
      <c r="I764" s="22"/>
      <c r="J764" s="22"/>
      <c r="K764" s="22"/>
      <c r="L764" s="22"/>
      <c r="M764" s="22"/>
      <c r="N764" s="22"/>
      <c r="O764" s="22"/>
      <c r="P764" s="22"/>
      <c r="Q764" s="22"/>
      <c r="R764" s="22"/>
      <c r="S764" s="22"/>
      <c r="T764" s="22"/>
      <c r="U764" s="2"/>
      <c r="V764" s="2"/>
      <c r="W764" s="2"/>
      <c r="X764" s="2"/>
      <c r="Y764" s="2"/>
      <c r="Z764" s="2"/>
    </row>
    <row r="765" spans="1:26" ht="12.75">
      <c r="A765" s="22"/>
      <c r="B765" s="22"/>
      <c r="C765" s="22"/>
      <c r="D765" s="22"/>
      <c r="E765" s="22"/>
      <c r="F765" s="22"/>
      <c r="G765" s="22"/>
      <c r="H765" s="22"/>
      <c r="I765" s="22"/>
      <c r="J765" s="22"/>
      <c r="K765" s="22"/>
      <c r="L765" s="22"/>
      <c r="M765" s="22"/>
      <c r="N765" s="22"/>
      <c r="O765" s="22"/>
      <c r="P765" s="22"/>
      <c r="Q765" s="22"/>
      <c r="R765" s="22"/>
      <c r="S765" s="22"/>
      <c r="T765" s="22"/>
      <c r="U765" s="2"/>
      <c r="V765" s="2"/>
      <c r="W765" s="2"/>
      <c r="X765" s="2"/>
      <c r="Y765" s="2"/>
      <c r="Z765" s="2"/>
    </row>
    <row r="766" spans="1:26" ht="12.75">
      <c r="A766" s="22"/>
      <c r="B766" s="22"/>
      <c r="C766" s="22"/>
      <c r="D766" s="22"/>
      <c r="E766" s="22"/>
      <c r="F766" s="22"/>
      <c r="G766" s="22"/>
      <c r="H766" s="22"/>
      <c r="I766" s="22"/>
      <c r="J766" s="22"/>
      <c r="K766" s="22"/>
      <c r="L766" s="22"/>
      <c r="M766" s="22"/>
      <c r="N766" s="22"/>
      <c r="O766" s="22"/>
      <c r="P766" s="22"/>
      <c r="Q766" s="22"/>
      <c r="R766" s="22"/>
      <c r="S766" s="22"/>
      <c r="T766" s="22"/>
      <c r="U766" s="2"/>
      <c r="V766" s="2"/>
      <c r="W766" s="2"/>
      <c r="X766" s="2"/>
      <c r="Y766" s="2"/>
      <c r="Z766" s="2"/>
    </row>
    <row r="767" spans="1:26" ht="12.75">
      <c r="A767" s="22"/>
      <c r="B767" s="22"/>
      <c r="C767" s="22"/>
      <c r="D767" s="22"/>
      <c r="E767" s="22"/>
      <c r="F767" s="22"/>
      <c r="G767" s="22"/>
      <c r="H767" s="22"/>
      <c r="I767" s="22"/>
      <c r="J767" s="22"/>
      <c r="K767" s="22"/>
      <c r="L767" s="22"/>
      <c r="M767" s="22"/>
      <c r="N767" s="22"/>
      <c r="O767" s="22"/>
      <c r="P767" s="22"/>
      <c r="Q767" s="22"/>
      <c r="R767" s="22"/>
      <c r="S767" s="22"/>
      <c r="T767" s="22"/>
      <c r="U767" s="2"/>
      <c r="V767" s="2"/>
      <c r="W767" s="2"/>
      <c r="X767" s="2"/>
      <c r="Y767" s="2"/>
      <c r="Z767" s="2"/>
    </row>
    <row r="768" spans="1:26" ht="12.75">
      <c r="A768" s="22"/>
      <c r="B768" s="22"/>
      <c r="C768" s="22"/>
      <c r="D768" s="22"/>
      <c r="E768" s="22"/>
      <c r="F768" s="22"/>
      <c r="G768" s="22"/>
      <c r="H768" s="22"/>
      <c r="I768" s="22"/>
      <c r="J768" s="22"/>
      <c r="K768" s="22"/>
      <c r="L768" s="22"/>
      <c r="M768" s="22"/>
      <c r="N768" s="22"/>
      <c r="O768" s="22"/>
      <c r="P768" s="22"/>
      <c r="Q768" s="22"/>
      <c r="R768" s="22"/>
      <c r="S768" s="22"/>
      <c r="T768" s="22"/>
      <c r="U768" s="2"/>
      <c r="V768" s="2"/>
      <c r="W768" s="2"/>
      <c r="X768" s="2"/>
      <c r="Y768" s="2"/>
      <c r="Z768" s="2"/>
    </row>
    <row r="769" spans="1:26" ht="12.75">
      <c r="A769" s="22"/>
      <c r="B769" s="22"/>
      <c r="C769" s="22"/>
      <c r="D769" s="22"/>
      <c r="E769" s="22"/>
      <c r="F769" s="22"/>
      <c r="G769" s="22"/>
      <c r="H769" s="22"/>
      <c r="I769" s="22"/>
      <c r="J769" s="22"/>
      <c r="K769" s="22"/>
      <c r="L769" s="22"/>
      <c r="M769" s="22"/>
      <c r="N769" s="22"/>
      <c r="O769" s="22"/>
      <c r="P769" s="22"/>
      <c r="Q769" s="22"/>
      <c r="R769" s="22"/>
      <c r="S769" s="22"/>
      <c r="T769" s="22"/>
      <c r="U769" s="2"/>
      <c r="V769" s="2"/>
      <c r="W769" s="2"/>
      <c r="X769" s="2"/>
      <c r="Y769" s="2"/>
      <c r="Z769" s="2"/>
    </row>
    <row r="770" spans="1:26" ht="12.75">
      <c r="A770" s="22"/>
      <c r="B770" s="22"/>
      <c r="C770" s="22"/>
      <c r="D770" s="22"/>
      <c r="E770" s="22"/>
      <c r="F770" s="22"/>
      <c r="G770" s="22"/>
      <c r="H770" s="22"/>
      <c r="I770" s="22"/>
      <c r="J770" s="22"/>
      <c r="K770" s="22"/>
      <c r="L770" s="22"/>
      <c r="M770" s="22"/>
      <c r="N770" s="22"/>
      <c r="O770" s="22"/>
      <c r="P770" s="22"/>
      <c r="Q770" s="22"/>
      <c r="R770" s="22"/>
      <c r="S770" s="22"/>
      <c r="T770" s="22"/>
      <c r="U770" s="2"/>
      <c r="V770" s="2"/>
      <c r="W770" s="2"/>
      <c r="X770" s="2"/>
      <c r="Y770" s="2"/>
      <c r="Z770" s="2"/>
    </row>
    <row r="771" spans="1:26" ht="12.75">
      <c r="A771" s="22"/>
      <c r="B771" s="22"/>
      <c r="C771" s="22"/>
      <c r="D771" s="22"/>
      <c r="E771" s="22"/>
      <c r="F771" s="22"/>
      <c r="G771" s="22"/>
      <c r="H771" s="22"/>
      <c r="I771" s="22"/>
      <c r="J771" s="22"/>
      <c r="K771" s="22"/>
      <c r="L771" s="22"/>
      <c r="M771" s="22"/>
      <c r="N771" s="22"/>
      <c r="O771" s="22"/>
      <c r="P771" s="22"/>
      <c r="Q771" s="22"/>
      <c r="R771" s="22"/>
      <c r="S771" s="22"/>
      <c r="T771" s="22"/>
      <c r="U771" s="2"/>
      <c r="V771" s="2"/>
      <c r="W771" s="2"/>
      <c r="X771" s="2"/>
      <c r="Y771" s="2"/>
      <c r="Z771" s="2"/>
    </row>
    <row r="772" spans="1:26" ht="12.75">
      <c r="A772" s="22"/>
      <c r="B772" s="22"/>
      <c r="C772" s="22"/>
      <c r="D772" s="22"/>
      <c r="E772" s="22"/>
      <c r="F772" s="22"/>
      <c r="G772" s="22"/>
      <c r="H772" s="22"/>
      <c r="I772" s="22"/>
      <c r="J772" s="22"/>
      <c r="K772" s="22"/>
      <c r="L772" s="22"/>
      <c r="M772" s="22"/>
      <c r="N772" s="22"/>
      <c r="O772" s="22"/>
      <c r="P772" s="22"/>
      <c r="Q772" s="22"/>
      <c r="R772" s="22"/>
      <c r="S772" s="22"/>
      <c r="T772" s="22"/>
      <c r="U772" s="2"/>
      <c r="V772" s="2"/>
      <c r="W772" s="2"/>
      <c r="X772" s="2"/>
      <c r="Y772" s="2"/>
      <c r="Z772" s="2"/>
    </row>
    <row r="773" spans="1:26" ht="12.75">
      <c r="A773" s="22"/>
      <c r="B773" s="22"/>
      <c r="C773" s="22"/>
      <c r="D773" s="22"/>
      <c r="E773" s="22"/>
      <c r="F773" s="22"/>
      <c r="G773" s="22"/>
      <c r="H773" s="22"/>
      <c r="I773" s="22"/>
      <c r="J773" s="22"/>
      <c r="K773" s="22"/>
      <c r="L773" s="22"/>
      <c r="M773" s="22"/>
      <c r="N773" s="22"/>
      <c r="O773" s="22"/>
      <c r="P773" s="22"/>
      <c r="Q773" s="22"/>
      <c r="R773" s="22"/>
      <c r="S773" s="22"/>
      <c r="T773" s="22"/>
      <c r="U773" s="2"/>
      <c r="V773" s="2"/>
      <c r="W773" s="2"/>
      <c r="X773" s="2"/>
      <c r="Y773" s="2"/>
      <c r="Z773" s="2"/>
    </row>
    <row r="774" spans="1:26" ht="12.75">
      <c r="A774" s="22"/>
      <c r="B774" s="22"/>
      <c r="C774" s="22"/>
      <c r="D774" s="22"/>
      <c r="E774" s="22"/>
      <c r="F774" s="22"/>
      <c r="G774" s="22"/>
      <c r="H774" s="22"/>
      <c r="I774" s="22"/>
      <c r="J774" s="22"/>
      <c r="K774" s="22"/>
      <c r="L774" s="22"/>
      <c r="M774" s="22"/>
      <c r="N774" s="22"/>
      <c r="O774" s="22"/>
      <c r="P774" s="22"/>
      <c r="Q774" s="22"/>
      <c r="R774" s="22"/>
      <c r="S774" s="22"/>
      <c r="T774" s="22"/>
      <c r="U774" s="2"/>
      <c r="V774" s="2"/>
      <c r="W774" s="2"/>
      <c r="X774" s="2"/>
      <c r="Y774" s="2"/>
      <c r="Z774" s="2"/>
    </row>
    <row r="775" spans="1:26" ht="12.75">
      <c r="A775" s="22"/>
      <c r="B775" s="22"/>
      <c r="C775" s="22"/>
      <c r="D775" s="22"/>
      <c r="E775" s="22"/>
      <c r="F775" s="22"/>
      <c r="G775" s="22"/>
      <c r="H775" s="22"/>
      <c r="I775" s="22"/>
      <c r="J775" s="22"/>
      <c r="K775" s="22"/>
      <c r="L775" s="22"/>
      <c r="M775" s="22"/>
      <c r="N775" s="22"/>
      <c r="O775" s="22"/>
      <c r="P775" s="22"/>
      <c r="Q775" s="22"/>
      <c r="R775" s="22"/>
      <c r="S775" s="22"/>
      <c r="T775" s="22"/>
      <c r="U775" s="2"/>
      <c r="V775" s="2"/>
      <c r="W775" s="2"/>
      <c r="X775" s="2"/>
      <c r="Y775" s="2"/>
      <c r="Z775" s="2"/>
    </row>
    <row r="776" spans="1:26" ht="12.75">
      <c r="A776" s="22"/>
      <c r="B776" s="22"/>
      <c r="C776" s="22"/>
      <c r="D776" s="22"/>
      <c r="E776" s="22"/>
      <c r="F776" s="22"/>
      <c r="G776" s="22"/>
      <c r="H776" s="22"/>
      <c r="I776" s="22"/>
      <c r="J776" s="22"/>
      <c r="K776" s="22"/>
      <c r="L776" s="22"/>
      <c r="M776" s="22"/>
      <c r="N776" s="22"/>
      <c r="O776" s="22"/>
      <c r="P776" s="22"/>
      <c r="Q776" s="22"/>
      <c r="R776" s="22"/>
      <c r="S776" s="22"/>
      <c r="T776" s="22"/>
      <c r="U776" s="2"/>
      <c r="V776" s="2"/>
      <c r="W776" s="2"/>
      <c r="X776" s="2"/>
      <c r="Y776" s="2"/>
      <c r="Z776" s="2"/>
    </row>
    <row r="777" spans="1:26" ht="12.75">
      <c r="A777" s="22"/>
      <c r="B777" s="22"/>
      <c r="C777" s="22"/>
      <c r="D777" s="22"/>
      <c r="E777" s="22"/>
      <c r="F777" s="22"/>
      <c r="G777" s="22"/>
      <c r="H777" s="22"/>
      <c r="I777" s="22"/>
      <c r="J777" s="22"/>
      <c r="K777" s="22"/>
      <c r="L777" s="22"/>
      <c r="M777" s="22"/>
      <c r="N777" s="22"/>
      <c r="O777" s="22"/>
      <c r="P777" s="22"/>
      <c r="Q777" s="22"/>
      <c r="R777" s="22"/>
      <c r="S777" s="22"/>
      <c r="T777" s="22"/>
      <c r="U777" s="2"/>
      <c r="V777" s="2"/>
      <c r="W777" s="2"/>
      <c r="X777" s="2"/>
      <c r="Y777" s="2"/>
      <c r="Z777" s="2"/>
    </row>
    <row r="778" spans="1:26" ht="12.75">
      <c r="A778" s="22"/>
      <c r="B778" s="22"/>
      <c r="C778" s="22"/>
      <c r="D778" s="22"/>
      <c r="E778" s="22"/>
      <c r="F778" s="22"/>
      <c r="G778" s="22"/>
      <c r="H778" s="22"/>
      <c r="I778" s="22"/>
      <c r="J778" s="22"/>
      <c r="K778" s="22"/>
      <c r="L778" s="22"/>
      <c r="M778" s="22"/>
      <c r="N778" s="22"/>
      <c r="O778" s="22"/>
      <c r="P778" s="22"/>
      <c r="Q778" s="22"/>
      <c r="R778" s="22"/>
      <c r="S778" s="22"/>
      <c r="T778" s="22"/>
      <c r="U778" s="2"/>
      <c r="V778" s="2"/>
      <c r="W778" s="2"/>
      <c r="X778" s="2"/>
      <c r="Y778" s="2"/>
      <c r="Z778" s="2"/>
    </row>
    <row r="779" spans="1:26" ht="12.75">
      <c r="A779" s="22"/>
      <c r="B779" s="22"/>
      <c r="C779" s="22"/>
      <c r="D779" s="22"/>
      <c r="E779" s="22"/>
      <c r="F779" s="22"/>
      <c r="G779" s="22"/>
      <c r="H779" s="22"/>
      <c r="I779" s="22"/>
      <c r="J779" s="22"/>
      <c r="K779" s="22"/>
      <c r="L779" s="22"/>
      <c r="M779" s="22"/>
      <c r="N779" s="22"/>
      <c r="O779" s="22"/>
      <c r="P779" s="22"/>
      <c r="Q779" s="22"/>
      <c r="R779" s="22"/>
      <c r="S779" s="22"/>
      <c r="T779" s="22"/>
      <c r="U779" s="2"/>
      <c r="V779" s="2"/>
      <c r="W779" s="2"/>
      <c r="X779" s="2"/>
      <c r="Y779" s="2"/>
      <c r="Z779" s="2"/>
    </row>
    <row r="780" spans="1:26" ht="12.75">
      <c r="A780" s="22"/>
      <c r="B780" s="22"/>
      <c r="C780" s="22"/>
      <c r="D780" s="22"/>
      <c r="E780" s="22"/>
      <c r="F780" s="22"/>
      <c r="G780" s="22"/>
      <c r="H780" s="22"/>
      <c r="I780" s="22"/>
      <c r="J780" s="22"/>
      <c r="K780" s="22"/>
      <c r="L780" s="22"/>
      <c r="M780" s="22"/>
      <c r="N780" s="22"/>
      <c r="O780" s="22"/>
      <c r="P780" s="22"/>
      <c r="Q780" s="22"/>
      <c r="R780" s="22"/>
      <c r="S780" s="22"/>
      <c r="T780" s="22"/>
      <c r="U780" s="2"/>
      <c r="V780" s="2"/>
      <c r="W780" s="2"/>
      <c r="X780" s="2"/>
      <c r="Y780" s="2"/>
      <c r="Z780" s="2"/>
    </row>
    <row r="781" spans="1:26" ht="12.75">
      <c r="A781" s="22"/>
      <c r="B781" s="22"/>
      <c r="C781" s="22"/>
      <c r="D781" s="22"/>
      <c r="E781" s="22"/>
      <c r="F781" s="22"/>
      <c r="G781" s="22"/>
      <c r="H781" s="22"/>
      <c r="I781" s="22"/>
      <c r="J781" s="22"/>
      <c r="K781" s="22"/>
      <c r="L781" s="22"/>
      <c r="M781" s="22"/>
      <c r="N781" s="22"/>
      <c r="O781" s="22"/>
      <c r="P781" s="22"/>
      <c r="Q781" s="22"/>
      <c r="R781" s="22"/>
      <c r="S781" s="22"/>
      <c r="T781" s="22"/>
      <c r="U781" s="2"/>
      <c r="V781" s="2"/>
      <c r="W781" s="2"/>
      <c r="X781" s="2"/>
      <c r="Y781" s="2"/>
      <c r="Z781" s="2"/>
    </row>
    <row r="782" spans="1:26" ht="12.75">
      <c r="A782" s="22"/>
      <c r="B782" s="22"/>
      <c r="C782" s="22"/>
      <c r="D782" s="22"/>
      <c r="E782" s="22"/>
      <c r="F782" s="22"/>
      <c r="G782" s="22"/>
      <c r="H782" s="22"/>
      <c r="I782" s="22"/>
      <c r="J782" s="22"/>
      <c r="K782" s="22"/>
      <c r="L782" s="22"/>
      <c r="M782" s="22"/>
      <c r="N782" s="22"/>
      <c r="O782" s="22"/>
      <c r="P782" s="22"/>
      <c r="Q782" s="22"/>
      <c r="R782" s="22"/>
      <c r="S782" s="22"/>
      <c r="T782" s="22"/>
      <c r="U782" s="2"/>
      <c r="V782" s="2"/>
      <c r="W782" s="2"/>
      <c r="X782" s="2"/>
      <c r="Y782" s="2"/>
      <c r="Z782" s="2"/>
    </row>
    <row r="783" spans="1:26" ht="12.75">
      <c r="A783" s="22"/>
      <c r="B783" s="22"/>
      <c r="C783" s="22"/>
      <c r="D783" s="22"/>
      <c r="E783" s="22"/>
      <c r="F783" s="22"/>
      <c r="G783" s="22"/>
      <c r="H783" s="22"/>
      <c r="I783" s="22"/>
      <c r="J783" s="22"/>
      <c r="K783" s="22"/>
      <c r="L783" s="22"/>
      <c r="M783" s="22"/>
      <c r="N783" s="22"/>
      <c r="O783" s="22"/>
      <c r="P783" s="22"/>
      <c r="Q783" s="22"/>
      <c r="R783" s="22"/>
      <c r="S783" s="22"/>
      <c r="T783" s="22"/>
      <c r="U783" s="2"/>
      <c r="V783" s="2"/>
      <c r="W783" s="2"/>
      <c r="X783" s="2"/>
      <c r="Y783" s="2"/>
      <c r="Z783" s="2"/>
    </row>
    <row r="784" spans="1:26" ht="12.75">
      <c r="A784" s="22"/>
      <c r="B784" s="22"/>
      <c r="C784" s="22"/>
      <c r="D784" s="22"/>
      <c r="E784" s="22"/>
      <c r="F784" s="22"/>
      <c r="G784" s="22"/>
      <c r="H784" s="22"/>
      <c r="I784" s="22"/>
      <c r="J784" s="22"/>
      <c r="K784" s="22"/>
      <c r="L784" s="22"/>
      <c r="M784" s="22"/>
      <c r="N784" s="22"/>
      <c r="O784" s="22"/>
      <c r="P784" s="22"/>
      <c r="Q784" s="22"/>
      <c r="R784" s="22"/>
      <c r="S784" s="22"/>
      <c r="T784" s="22"/>
      <c r="U784" s="2"/>
      <c r="V784" s="2"/>
      <c r="W784" s="2"/>
      <c r="X784" s="2"/>
      <c r="Y784" s="2"/>
      <c r="Z784" s="2"/>
    </row>
    <row r="785" spans="1:26" ht="12.75">
      <c r="A785" s="22"/>
      <c r="B785" s="22"/>
      <c r="C785" s="22"/>
      <c r="D785" s="22"/>
      <c r="E785" s="22"/>
      <c r="F785" s="22"/>
      <c r="G785" s="22"/>
      <c r="H785" s="22"/>
      <c r="I785" s="22"/>
      <c r="J785" s="22"/>
      <c r="K785" s="22"/>
      <c r="L785" s="22"/>
      <c r="M785" s="22"/>
      <c r="N785" s="22"/>
      <c r="O785" s="22"/>
      <c r="P785" s="22"/>
      <c r="Q785" s="22"/>
      <c r="R785" s="22"/>
      <c r="S785" s="22"/>
      <c r="T785" s="22"/>
      <c r="U785" s="2"/>
      <c r="V785" s="2"/>
      <c r="W785" s="2"/>
      <c r="X785" s="2"/>
      <c r="Y785" s="2"/>
      <c r="Z785" s="2"/>
    </row>
    <row r="786" spans="1:26" ht="12.75">
      <c r="A786" s="22"/>
      <c r="B786" s="22"/>
      <c r="C786" s="22"/>
      <c r="D786" s="22"/>
      <c r="E786" s="22"/>
      <c r="F786" s="22"/>
      <c r="G786" s="22"/>
      <c r="H786" s="22"/>
      <c r="I786" s="22"/>
      <c r="J786" s="22"/>
      <c r="K786" s="22"/>
      <c r="L786" s="22"/>
      <c r="M786" s="22"/>
      <c r="N786" s="22"/>
      <c r="O786" s="22"/>
      <c r="P786" s="22"/>
      <c r="Q786" s="22"/>
      <c r="R786" s="22"/>
      <c r="S786" s="22"/>
      <c r="T786" s="22"/>
      <c r="U786" s="2"/>
      <c r="V786" s="2"/>
      <c r="W786" s="2"/>
      <c r="X786" s="2"/>
      <c r="Y786" s="2"/>
      <c r="Z786" s="2"/>
    </row>
    <row r="787" spans="1:26" ht="12.75">
      <c r="A787" s="22"/>
      <c r="B787" s="22"/>
      <c r="C787" s="22"/>
      <c r="D787" s="22"/>
      <c r="E787" s="22"/>
      <c r="F787" s="22"/>
      <c r="G787" s="22"/>
      <c r="H787" s="22"/>
      <c r="I787" s="22"/>
      <c r="J787" s="22"/>
      <c r="K787" s="22"/>
      <c r="L787" s="22"/>
      <c r="M787" s="22"/>
      <c r="N787" s="22"/>
      <c r="O787" s="22"/>
      <c r="P787" s="22"/>
      <c r="Q787" s="22"/>
      <c r="R787" s="22"/>
      <c r="S787" s="22"/>
      <c r="T787" s="22"/>
      <c r="U787" s="2"/>
      <c r="V787" s="2"/>
      <c r="W787" s="2"/>
      <c r="X787" s="2"/>
      <c r="Y787" s="2"/>
      <c r="Z787" s="2"/>
    </row>
    <row r="788" spans="1:26" ht="12.75">
      <c r="A788" s="22"/>
      <c r="B788" s="22"/>
      <c r="C788" s="22"/>
      <c r="D788" s="22"/>
      <c r="E788" s="22"/>
      <c r="F788" s="22"/>
      <c r="G788" s="22"/>
      <c r="H788" s="22"/>
      <c r="I788" s="22"/>
      <c r="J788" s="22"/>
      <c r="K788" s="22"/>
      <c r="L788" s="22"/>
      <c r="M788" s="22"/>
      <c r="N788" s="22"/>
      <c r="O788" s="22"/>
      <c r="P788" s="22"/>
      <c r="Q788" s="22"/>
      <c r="R788" s="22"/>
      <c r="S788" s="22"/>
      <c r="T788" s="22"/>
      <c r="U788" s="2"/>
      <c r="V788" s="2"/>
      <c r="W788" s="2"/>
      <c r="X788" s="2"/>
      <c r="Y788" s="2"/>
      <c r="Z788" s="2"/>
    </row>
    <row r="789" spans="1:26" ht="12.75">
      <c r="A789" s="22"/>
      <c r="B789" s="22"/>
      <c r="C789" s="22"/>
      <c r="D789" s="22"/>
      <c r="E789" s="22"/>
      <c r="F789" s="22"/>
      <c r="G789" s="22"/>
      <c r="H789" s="22"/>
      <c r="I789" s="22"/>
      <c r="J789" s="22"/>
      <c r="K789" s="22"/>
      <c r="L789" s="22"/>
      <c r="M789" s="22"/>
      <c r="N789" s="22"/>
      <c r="O789" s="22"/>
      <c r="P789" s="22"/>
      <c r="Q789" s="22"/>
      <c r="R789" s="22"/>
      <c r="S789" s="22"/>
      <c r="T789" s="22"/>
      <c r="U789" s="2"/>
      <c r="V789" s="2"/>
      <c r="W789" s="2"/>
      <c r="X789" s="2"/>
      <c r="Y789" s="2"/>
      <c r="Z789" s="2"/>
    </row>
    <row r="790" spans="1:26" ht="12.75">
      <c r="A790" s="22"/>
      <c r="B790" s="22"/>
      <c r="C790" s="22"/>
      <c r="D790" s="22"/>
      <c r="E790" s="22"/>
      <c r="F790" s="22"/>
      <c r="G790" s="22"/>
      <c r="H790" s="22"/>
      <c r="I790" s="22"/>
      <c r="J790" s="22"/>
      <c r="K790" s="22"/>
      <c r="L790" s="22"/>
      <c r="M790" s="22"/>
      <c r="N790" s="22"/>
      <c r="O790" s="22"/>
      <c r="P790" s="22"/>
      <c r="Q790" s="22"/>
      <c r="R790" s="22"/>
      <c r="S790" s="22"/>
      <c r="T790" s="22"/>
      <c r="U790" s="2"/>
      <c r="V790" s="2"/>
      <c r="W790" s="2"/>
      <c r="X790" s="2"/>
      <c r="Y790" s="2"/>
      <c r="Z790" s="2"/>
    </row>
    <row r="791" spans="1:26" ht="12.75">
      <c r="A791" s="22"/>
      <c r="B791" s="22"/>
      <c r="C791" s="22"/>
      <c r="D791" s="22"/>
      <c r="E791" s="22"/>
      <c r="F791" s="22"/>
      <c r="G791" s="22"/>
      <c r="H791" s="22"/>
      <c r="I791" s="22"/>
      <c r="J791" s="22"/>
      <c r="K791" s="22"/>
      <c r="L791" s="22"/>
      <c r="M791" s="22"/>
      <c r="N791" s="22"/>
      <c r="O791" s="22"/>
      <c r="P791" s="22"/>
      <c r="Q791" s="22"/>
      <c r="R791" s="22"/>
      <c r="S791" s="22"/>
      <c r="T791" s="22"/>
      <c r="U791" s="2"/>
      <c r="V791" s="2"/>
      <c r="W791" s="2"/>
      <c r="X791" s="2"/>
      <c r="Y791" s="2"/>
      <c r="Z791" s="2"/>
    </row>
    <row r="792" spans="1:26" ht="12.75">
      <c r="A792" s="22"/>
      <c r="B792" s="22"/>
      <c r="C792" s="22"/>
      <c r="D792" s="22"/>
      <c r="E792" s="22"/>
      <c r="F792" s="22"/>
      <c r="G792" s="22"/>
      <c r="H792" s="22"/>
      <c r="I792" s="22"/>
      <c r="J792" s="22"/>
      <c r="K792" s="22"/>
      <c r="L792" s="22"/>
      <c r="M792" s="22"/>
      <c r="N792" s="22"/>
      <c r="O792" s="22"/>
      <c r="P792" s="22"/>
      <c r="Q792" s="22"/>
      <c r="R792" s="22"/>
      <c r="S792" s="22"/>
      <c r="T792" s="22"/>
      <c r="U792" s="2"/>
      <c r="V792" s="2"/>
      <c r="W792" s="2"/>
      <c r="X792" s="2"/>
      <c r="Y792" s="2"/>
      <c r="Z792" s="2"/>
    </row>
    <row r="793" spans="1:26" ht="12.75">
      <c r="A793" s="22"/>
      <c r="B793" s="22"/>
      <c r="C793" s="22"/>
      <c r="D793" s="22"/>
      <c r="E793" s="22"/>
      <c r="F793" s="22"/>
      <c r="G793" s="22"/>
      <c r="H793" s="22"/>
      <c r="I793" s="22"/>
      <c r="J793" s="22"/>
      <c r="K793" s="22"/>
      <c r="L793" s="22"/>
      <c r="M793" s="22"/>
      <c r="N793" s="22"/>
      <c r="O793" s="22"/>
      <c r="P793" s="22"/>
      <c r="Q793" s="22"/>
      <c r="R793" s="22"/>
      <c r="S793" s="22"/>
      <c r="T793" s="22"/>
      <c r="U793" s="2"/>
      <c r="V793" s="2"/>
      <c r="W793" s="2"/>
      <c r="X793" s="2"/>
      <c r="Y793" s="2"/>
      <c r="Z793" s="2"/>
    </row>
    <row r="794" spans="1:26" ht="12.75">
      <c r="A794" s="22"/>
      <c r="B794" s="22"/>
      <c r="C794" s="22"/>
      <c r="D794" s="22"/>
      <c r="E794" s="22"/>
      <c r="F794" s="22"/>
      <c r="G794" s="22"/>
      <c r="H794" s="22"/>
      <c r="I794" s="22"/>
      <c r="J794" s="22"/>
      <c r="K794" s="22"/>
      <c r="L794" s="22"/>
      <c r="M794" s="22"/>
      <c r="N794" s="22"/>
      <c r="O794" s="22"/>
      <c r="P794" s="22"/>
      <c r="Q794" s="22"/>
      <c r="R794" s="22"/>
      <c r="S794" s="22"/>
      <c r="T794" s="22"/>
      <c r="U794" s="2"/>
      <c r="V794" s="2"/>
      <c r="W794" s="2"/>
      <c r="X794" s="2"/>
      <c r="Y794" s="2"/>
      <c r="Z794" s="2"/>
    </row>
    <row r="795" spans="1:26" ht="12.75">
      <c r="A795" s="22"/>
      <c r="B795" s="22"/>
      <c r="C795" s="22"/>
      <c r="D795" s="22"/>
      <c r="E795" s="22"/>
      <c r="F795" s="22"/>
      <c r="G795" s="22"/>
      <c r="H795" s="22"/>
      <c r="I795" s="22"/>
      <c r="J795" s="22"/>
      <c r="K795" s="22"/>
      <c r="L795" s="22"/>
      <c r="M795" s="22"/>
      <c r="N795" s="22"/>
      <c r="O795" s="22"/>
      <c r="P795" s="22"/>
      <c r="Q795" s="22"/>
      <c r="R795" s="22"/>
      <c r="S795" s="22"/>
      <c r="T795" s="22"/>
      <c r="U795" s="2"/>
      <c r="V795" s="2"/>
      <c r="W795" s="2"/>
      <c r="X795" s="2"/>
      <c r="Y795" s="2"/>
      <c r="Z795" s="2"/>
    </row>
    <row r="796" spans="1:26" ht="12.75">
      <c r="A796" s="22"/>
      <c r="B796" s="22"/>
      <c r="C796" s="22"/>
      <c r="D796" s="22"/>
      <c r="E796" s="22"/>
      <c r="F796" s="22"/>
      <c r="G796" s="22"/>
      <c r="H796" s="22"/>
      <c r="I796" s="22"/>
      <c r="J796" s="22"/>
      <c r="K796" s="22"/>
      <c r="L796" s="22"/>
      <c r="M796" s="22"/>
      <c r="N796" s="22"/>
      <c r="O796" s="22"/>
      <c r="P796" s="22"/>
      <c r="Q796" s="22"/>
      <c r="R796" s="22"/>
      <c r="S796" s="22"/>
      <c r="T796" s="22"/>
      <c r="U796" s="2"/>
      <c r="V796" s="2"/>
      <c r="W796" s="2"/>
      <c r="X796" s="2"/>
      <c r="Y796" s="2"/>
      <c r="Z796" s="2"/>
    </row>
    <row r="797" spans="1:26" ht="12.75">
      <c r="A797" s="22"/>
      <c r="B797" s="22"/>
      <c r="C797" s="22"/>
      <c r="D797" s="22"/>
      <c r="E797" s="22"/>
      <c r="F797" s="22"/>
      <c r="G797" s="22"/>
      <c r="H797" s="22"/>
      <c r="I797" s="22"/>
      <c r="J797" s="22"/>
      <c r="K797" s="22"/>
      <c r="L797" s="22"/>
      <c r="M797" s="22"/>
      <c r="N797" s="22"/>
      <c r="O797" s="22"/>
      <c r="P797" s="22"/>
      <c r="Q797" s="22"/>
      <c r="R797" s="22"/>
      <c r="S797" s="22"/>
      <c r="T797" s="22"/>
      <c r="U797" s="2"/>
      <c r="V797" s="2"/>
      <c r="W797" s="2"/>
      <c r="X797" s="2"/>
      <c r="Y797" s="2"/>
      <c r="Z797" s="2"/>
    </row>
    <row r="798" spans="1:26" ht="12.75">
      <c r="A798" s="22"/>
      <c r="B798" s="22"/>
      <c r="C798" s="22"/>
      <c r="D798" s="22"/>
      <c r="E798" s="22"/>
      <c r="F798" s="22"/>
      <c r="G798" s="22"/>
      <c r="H798" s="22"/>
      <c r="I798" s="22"/>
      <c r="J798" s="22"/>
      <c r="K798" s="22"/>
      <c r="L798" s="22"/>
      <c r="M798" s="22"/>
      <c r="N798" s="22"/>
      <c r="O798" s="22"/>
      <c r="P798" s="22"/>
      <c r="Q798" s="22"/>
      <c r="R798" s="22"/>
      <c r="S798" s="22"/>
      <c r="T798" s="22"/>
      <c r="U798" s="2"/>
      <c r="V798" s="2"/>
      <c r="W798" s="2"/>
      <c r="X798" s="2"/>
      <c r="Y798" s="2"/>
      <c r="Z798" s="2"/>
    </row>
    <row r="799" spans="1:26" ht="12.75">
      <c r="A799" s="22"/>
      <c r="B799" s="22"/>
      <c r="C799" s="22"/>
      <c r="D799" s="22"/>
      <c r="E799" s="22"/>
      <c r="F799" s="22"/>
      <c r="G799" s="22"/>
      <c r="H799" s="22"/>
      <c r="I799" s="22"/>
      <c r="J799" s="22"/>
      <c r="K799" s="22"/>
      <c r="L799" s="22"/>
      <c r="M799" s="22"/>
      <c r="N799" s="22"/>
      <c r="O799" s="22"/>
      <c r="P799" s="22"/>
      <c r="Q799" s="22"/>
      <c r="R799" s="22"/>
      <c r="S799" s="22"/>
      <c r="T799" s="22"/>
      <c r="U799" s="2"/>
      <c r="V799" s="2"/>
      <c r="W799" s="2"/>
      <c r="X799" s="2"/>
      <c r="Y799" s="2"/>
      <c r="Z799" s="2"/>
    </row>
    <row r="800" spans="1:26" ht="12.75">
      <c r="A800" s="22"/>
      <c r="B800" s="22"/>
      <c r="C800" s="22"/>
      <c r="D800" s="22"/>
      <c r="E800" s="22"/>
      <c r="F800" s="22"/>
      <c r="G800" s="22"/>
      <c r="H800" s="22"/>
      <c r="I800" s="22"/>
      <c r="J800" s="22"/>
      <c r="K800" s="22"/>
      <c r="L800" s="22"/>
      <c r="M800" s="22"/>
      <c r="N800" s="22"/>
      <c r="O800" s="22"/>
      <c r="P800" s="22"/>
      <c r="Q800" s="22"/>
      <c r="R800" s="22"/>
      <c r="S800" s="22"/>
      <c r="T800" s="22"/>
      <c r="U800" s="2"/>
      <c r="V800" s="2"/>
      <c r="W800" s="2"/>
      <c r="X800" s="2"/>
      <c r="Y800" s="2"/>
      <c r="Z800" s="2"/>
    </row>
    <row r="801" spans="1:26" ht="12.75">
      <c r="A801" s="22"/>
      <c r="B801" s="22"/>
      <c r="C801" s="22"/>
      <c r="D801" s="22"/>
      <c r="E801" s="22"/>
      <c r="F801" s="22"/>
      <c r="G801" s="22"/>
      <c r="H801" s="22"/>
      <c r="I801" s="22"/>
      <c r="J801" s="22"/>
      <c r="K801" s="22"/>
      <c r="L801" s="22"/>
      <c r="M801" s="22"/>
      <c r="N801" s="22"/>
      <c r="O801" s="22"/>
      <c r="P801" s="22"/>
      <c r="Q801" s="22"/>
      <c r="R801" s="22"/>
      <c r="S801" s="22"/>
      <c r="T801" s="22"/>
      <c r="U801" s="2"/>
      <c r="V801" s="2"/>
      <c r="W801" s="2"/>
      <c r="X801" s="2"/>
      <c r="Y801" s="2"/>
      <c r="Z801" s="2"/>
    </row>
    <row r="802" spans="1:26" ht="12.75">
      <c r="A802" s="22"/>
      <c r="B802" s="22"/>
      <c r="C802" s="22"/>
      <c r="D802" s="22"/>
      <c r="E802" s="22"/>
      <c r="F802" s="22"/>
      <c r="G802" s="22"/>
      <c r="H802" s="22"/>
      <c r="I802" s="22"/>
      <c r="J802" s="22"/>
      <c r="K802" s="22"/>
      <c r="L802" s="22"/>
      <c r="M802" s="22"/>
      <c r="N802" s="22"/>
      <c r="O802" s="22"/>
      <c r="P802" s="22"/>
      <c r="Q802" s="22"/>
      <c r="R802" s="22"/>
      <c r="S802" s="22"/>
      <c r="T802" s="22"/>
      <c r="U802" s="2"/>
      <c r="V802" s="2"/>
      <c r="W802" s="2"/>
      <c r="X802" s="2"/>
      <c r="Y802" s="2"/>
      <c r="Z802" s="2"/>
    </row>
    <row r="803" spans="1:26" ht="12.75">
      <c r="A803" s="22"/>
      <c r="B803" s="22"/>
      <c r="C803" s="22"/>
      <c r="D803" s="22"/>
      <c r="E803" s="22"/>
      <c r="F803" s="22"/>
      <c r="G803" s="22"/>
      <c r="H803" s="22"/>
      <c r="I803" s="22"/>
      <c r="J803" s="22"/>
      <c r="K803" s="22"/>
      <c r="L803" s="22"/>
      <c r="M803" s="22"/>
      <c r="N803" s="22"/>
      <c r="O803" s="22"/>
      <c r="P803" s="22"/>
      <c r="Q803" s="22"/>
      <c r="R803" s="22"/>
      <c r="S803" s="22"/>
      <c r="T803" s="22"/>
      <c r="U803" s="2"/>
      <c r="V803" s="2"/>
      <c r="W803" s="2"/>
      <c r="X803" s="2"/>
      <c r="Y803" s="2"/>
      <c r="Z803" s="2"/>
    </row>
    <row r="804" spans="1:26" ht="12.75">
      <c r="A804" s="22"/>
      <c r="B804" s="22"/>
      <c r="C804" s="22"/>
      <c r="D804" s="22"/>
      <c r="E804" s="22"/>
      <c r="F804" s="22"/>
      <c r="G804" s="22"/>
      <c r="H804" s="22"/>
      <c r="I804" s="22"/>
      <c r="J804" s="22"/>
      <c r="K804" s="22"/>
      <c r="L804" s="22"/>
      <c r="M804" s="22"/>
      <c r="N804" s="22"/>
      <c r="O804" s="22"/>
      <c r="P804" s="22"/>
      <c r="Q804" s="22"/>
      <c r="R804" s="22"/>
      <c r="S804" s="22"/>
      <c r="T804" s="22"/>
      <c r="U804" s="2"/>
      <c r="V804" s="2"/>
      <c r="W804" s="2"/>
      <c r="X804" s="2"/>
      <c r="Y804" s="2"/>
      <c r="Z804" s="2"/>
    </row>
    <row r="805" spans="1:26" ht="12.75">
      <c r="A805" s="22"/>
      <c r="B805" s="22"/>
      <c r="C805" s="22"/>
      <c r="D805" s="22"/>
      <c r="E805" s="22"/>
      <c r="F805" s="22"/>
      <c r="G805" s="22"/>
      <c r="H805" s="22"/>
      <c r="I805" s="22"/>
      <c r="J805" s="22"/>
      <c r="K805" s="22"/>
      <c r="L805" s="22"/>
      <c r="M805" s="22"/>
      <c r="N805" s="22"/>
      <c r="O805" s="22"/>
      <c r="P805" s="22"/>
      <c r="Q805" s="22"/>
      <c r="R805" s="22"/>
      <c r="S805" s="22"/>
      <c r="T805" s="22"/>
      <c r="U805" s="2"/>
      <c r="V805" s="2"/>
      <c r="W805" s="2"/>
      <c r="X805" s="2"/>
      <c r="Y805" s="2"/>
      <c r="Z805" s="2"/>
    </row>
    <row r="806" spans="1:26" ht="12.75">
      <c r="A806" s="22"/>
      <c r="B806" s="22"/>
      <c r="C806" s="22"/>
      <c r="D806" s="22"/>
      <c r="E806" s="22"/>
      <c r="F806" s="22"/>
      <c r="G806" s="22"/>
      <c r="H806" s="22"/>
      <c r="I806" s="22"/>
      <c r="J806" s="22"/>
      <c r="K806" s="22"/>
      <c r="L806" s="22"/>
      <c r="M806" s="22"/>
      <c r="N806" s="22"/>
      <c r="O806" s="22"/>
      <c r="P806" s="22"/>
      <c r="Q806" s="22"/>
      <c r="R806" s="22"/>
      <c r="S806" s="22"/>
      <c r="T806" s="22"/>
      <c r="U806" s="2"/>
      <c r="V806" s="2"/>
      <c r="W806" s="2"/>
      <c r="X806" s="2"/>
      <c r="Y806" s="2"/>
      <c r="Z806" s="2"/>
    </row>
    <row r="807" spans="1:26" ht="12.75">
      <c r="A807" s="22"/>
      <c r="B807" s="22"/>
      <c r="C807" s="22"/>
      <c r="D807" s="22"/>
      <c r="E807" s="22"/>
      <c r="F807" s="22"/>
      <c r="G807" s="22"/>
      <c r="H807" s="22"/>
      <c r="I807" s="22"/>
      <c r="J807" s="22"/>
      <c r="K807" s="22"/>
      <c r="L807" s="22"/>
      <c r="M807" s="22"/>
      <c r="N807" s="22"/>
      <c r="O807" s="22"/>
      <c r="P807" s="22"/>
      <c r="Q807" s="22"/>
      <c r="R807" s="22"/>
      <c r="S807" s="22"/>
      <c r="T807" s="22"/>
      <c r="U807" s="2"/>
      <c r="V807" s="2"/>
      <c r="W807" s="2"/>
      <c r="X807" s="2"/>
      <c r="Y807" s="2"/>
      <c r="Z807" s="2"/>
    </row>
    <row r="808" spans="1:26" ht="12.75">
      <c r="A808" s="22"/>
      <c r="B808" s="22"/>
      <c r="C808" s="22"/>
      <c r="D808" s="22"/>
      <c r="E808" s="22"/>
      <c r="F808" s="22"/>
      <c r="G808" s="22"/>
      <c r="H808" s="22"/>
      <c r="I808" s="22"/>
      <c r="J808" s="22"/>
      <c r="K808" s="22"/>
      <c r="L808" s="22"/>
      <c r="M808" s="22"/>
      <c r="N808" s="22"/>
      <c r="O808" s="22"/>
      <c r="P808" s="22"/>
      <c r="Q808" s="22"/>
      <c r="R808" s="22"/>
      <c r="S808" s="22"/>
      <c r="T808" s="22"/>
      <c r="U808" s="2"/>
      <c r="V808" s="2"/>
      <c r="W808" s="2"/>
      <c r="X808" s="2"/>
      <c r="Y808" s="2"/>
      <c r="Z808" s="2"/>
    </row>
    <row r="809" spans="1:26" ht="12.75">
      <c r="A809" s="22"/>
      <c r="B809" s="22"/>
      <c r="C809" s="22"/>
      <c r="D809" s="22"/>
      <c r="E809" s="22"/>
      <c r="F809" s="22"/>
      <c r="G809" s="22"/>
      <c r="H809" s="22"/>
      <c r="I809" s="22"/>
      <c r="J809" s="22"/>
      <c r="K809" s="22"/>
      <c r="L809" s="22"/>
      <c r="M809" s="22"/>
      <c r="N809" s="22"/>
      <c r="O809" s="22"/>
      <c r="P809" s="22"/>
      <c r="Q809" s="22"/>
      <c r="R809" s="22"/>
      <c r="S809" s="22"/>
      <c r="T809" s="22"/>
      <c r="U809" s="2"/>
      <c r="V809" s="2"/>
      <c r="W809" s="2"/>
      <c r="X809" s="2"/>
      <c r="Y809" s="2"/>
      <c r="Z809" s="2"/>
    </row>
    <row r="810" spans="1:26" ht="12.75">
      <c r="A810" s="22"/>
      <c r="B810" s="22"/>
      <c r="C810" s="22"/>
      <c r="D810" s="22"/>
      <c r="E810" s="22"/>
      <c r="F810" s="22"/>
      <c r="G810" s="22"/>
      <c r="H810" s="22"/>
      <c r="I810" s="22"/>
      <c r="J810" s="22"/>
      <c r="K810" s="22"/>
      <c r="L810" s="22"/>
      <c r="M810" s="22"/>
      <c r="N810" s="22"/>
      <c r="O810" s="22"/>
      <c r="P810" s="22"/>
      <c r="Q810" s="22"/>
      <c r="R810" s="22"/>
      <c r="S810" s="22"/>
      <c r="T810" s="22"/>
      <c r="U810" s="2"/>
      <c r="V810" s="2"/>
      <c r="W810" s="2"/>
      <c r="X810" s="2"/>
      <c r="Y810" s="2"/>
      <c r="Z810" s="2"/>
    </row>
    <row r="811" spans="1:26" ht="12.75">
      <c r="A811" s="22"/>
      <c r="B811" s="22"/>
      <c r="C811" s="22"/>
      <c r="D811" s="22"/>
      <c r="E811" s="22"/>
      <c r="F811" s="22"/>
      <c r="G811" s="22"/>
      <c r="H811" s="22"/>
      <c r="I811" s="22"/>
      <c r="J811" s="22"/>
      <c r="K811" s="22"/>
      <c r="L811" s="22"/>
      <c r="M811" s="22"/>
      <c r="N811" s="22"/>
      <c r="O811" s="22"/>
      <c r="P811" s="22"/>
      <c r="Q811" s="22"/>
      <c r="R811" s="22"/>
      <c r="S811" s="22"/>
      <c r="T811" s="22"/>
      <c r="U811" s="2"/>
      <c r="V811" s="2"/>
      <c r="W811" s="2"/>
      <c r="X811" s="2"/>
      <c r="Y811" s="2"/>
      <c r="Z811" s="2"/>
    </row>
    <row r="812" spans="1:26" ht="12.75">
      <c r="A812" s="22"/>
      <c r="B812" s="22"/>
      <c r="C812" s="22"/>
      <c r="D812" s="22"/>
      <c r="E812" s="22"/>
      <c r="F812" s="22"/>
      <c r="G812" s="22"/>
      <c r="H812" s="22"/>
      <c r="I812" s="22"/>
      <c r="J812" s="22"/>
      <c r="K812" s="22"/>
      <c r="L812" s="22"/>
      <c r="M812" s="22"/>
      <c r="N812" s="22"/>
      <c r="O812" s="22"/>
      <c r="P812" s="22"/>
      <c r="Q812" s="22"/>
      <c r="R812" s="22"/>
      <c r="S812" s="22"/>
      <c r="T812" s="22"/>
      <c r="U812" s="2"/>
      <c r="V812" s="2"/>
      <c r="W812" s="2"/>
      <c r="X812" s="2"/>
      <c r="Y812" s="2"/>
      <c r="Z812" s="2"/>
    </row>
    <row r="813" spans="1:26" ht="12.75">
      <c r="A813" s="22"/>
      <c r="B813" s="22"/>
      <c r="C813" s="22"/>
      <c r="D813" s="22"/>
      <c r="E813" s="22"/>
      <c r="F813" s="22"/>
      <c r="G813" s="22"/>
      <c r="H813" s="22"/>
      <c r="I813" s="22"/>
      <c r="J813" s="22"/>
      <c r="K813" s="22"/>
      <c r="L813" s="22"/>
      <c r="M813" s="22"/>
      <c r="N813" s="22"/>
      <c r="O813" s="22"/>
      <c r="P813" s="22"/>
      <c r="Q813" s="22"/>
      <c r="R813" s="22"/>
      <c r="S813" s="22"/>
      <c r="T813" s="22"/>
      <c r="U813" s="2"/>
      <c r="V813" s="2"/>
      <c r="W813" s="2"/>
      <c r="X813" s="2"/>
      <c r="Y813" s="2"/>
      <c r="Z813" s="2"/>
    </row>
    <row r="814" spans="1:26" ht="12.75">
      <c r="A814" s="22"/>
      <c r="B814" s="22"/>
      <c r="C814" s="22"/>
      <c r="D814" s="22"/>
      <c r="E814" s="22"/>
      <c r="F814" s="22"/>
      <c r="G814" s="22"/>
      <c r="H814" s="22"/>
      <c r="I814" s="22"/>
      <c r="J814" s="22"/>
      <c r="K814" s="22"/>
      <c r="L814" s="22"/>
      <c r="M814" s="22"/>
      <c r="N814" s="22"/>
      <c r="O814" s="22"/>
      <c r="P814" s="22"/>
      <c r="Q814" s="22"/>
      <c r="R814" s="22"/>
      <c r="S814" s="22"/>
      <c r="T814" s="22"/>
      <c r="U814" s="2"/>
      <c r="V814" s="2"/>
      <c r="W814" s="2"/>
      <c r="X814" s="2"/>
      <c r="Y814" s="2"/>
      <c r="Z814" s="2"/>
    </row>
    <row r="815" spans="1:26" ht="12.75">
      <c r="A815" s="22"/>
      <c r="B815" s="22"/>
      <c r="C815" s="22"/>
      <c r="D815" s="22"/>
      <c r="E815" s="22"/>
      <c r="F815" s="22"/>
      <c r="G815" s="22"/>
      <c r="H815" s="22"/>
      <c r="I815" s="22"/>
      <c r="J815" s="22"/>
      <c r="K815" s="22"/>
      <c r="L815" s="22"/>
      <c r="M815" s="22"/>
      <c r="N815" s="22"/>
      <c r="O815" s="22"/>
      <c r="P815" s="22"/>
      <c r="Q815" s="22"/>
      <c r="R815" s="22"/>
      <c r="S815" s="22"/>
      <c r="T815" s="22"/>
      <c r="U815" s="2"/>
      <c r="V815" s="2"/>
      <c r="W815" s="2"/>
      <c r="X815" s="2"/>
      <c r="Y815" s="2"/>
      <c r="Z815" s="2"/>
    </row>
    <row r="816" spans="1:26" ht="12.75">
      <c r="A816" s="22"/>
      <c r="B816" s="22"/>
      <c r="C816" s="22"/>
      <c r="D816" s="22"/>
      <c r="E816" s="22"/>
      <c r="F816" s="22"/>
      <c r="G816" s="22"/>
      <c r="H816" s="22"/>
      <c r="I816" s="22"/>
      <c r="J816" s="22"/>
      <c r="K816" s="22"/>
      <c r="L816" s="22"/>
      <c r="M816" s="22"/>
      <c r="N816" s="22"/>
      <c r="O816" s="22"/>
      <c r="P816" s="22"/>
      <c r="Q816" s="22"/>
      <c r="R816" s="22"/>
      <c r="S816" s="22"/>
      <c r="T816" s="22"/>
      <c r="U816" s="2"/>
      <c r="V816" s="2"/>
      <c r="W816" s="2"/>
      <c r="X816" s="2"/>
      <c r="Y816" s="2"/>
      <c r="Z816" s="2"/>
    </row>
    <row r="817" spans="1:26" ht="12.75">
      <c r="A817" s="22"/>
      <c r="B817" s="22"/>
      <c r="C817" s="22"/>
      <c r="D817" s="22"/>
      <c r="E817" s="22"/>
      <c r="F817" s="22"/>
      <c r="G817" s="22"/>
      <c r="H817" s="22"/>
      <c r="I817" s="22"/>
      <c r="J817" s="22"/>
      <c r="K817" s="22"/>
      <c r="L817" s="22"/>
      <c r="M817" s="22"/>
      <c r="N817" s="22"/>
      <c r="O817" s="22"/>
      <c r="P817" s="22"/>
      <c r="Q817" s="22"/>
      <c r="R817" s="22"/>
      <c r="S817" s="22"/>
      <c r="T817" s="22"/>
      <c r="U817" s="2"/>
      <c r="V817" s="2"/>
      <c r="W817" s="2"/>
      <c r="X817" s="2"/>
      <c r="Y817" s="2"/>
      <c r="Z817" s="2"/>
    </row>
    <row r="818" spans="1:26" ht="12.75">
      <c r="A818" s="22"/>
      <c r="B818" s="22"/>
      <c r="C818" s="22"/>
      <c r="D818" s="22"/>
      <c r="E818" s="22"/>
      <c r="F818" s="22"/>
      <c r="G818" s="22"/>
      <c r="H818" s="22"/>
      <c r="I818" s="22"/>
      <c r="J818" s="22"/>
      <c r="K818" s="22"/>
      <c r="L818" s="22"/>
      <c r="M818" s="22"/>
      <c r="N818" s="22"/>
      <c r="O818" s="22"/>
      <c r="P818" s="22"/>
      <c r="Q818" s="22"/>
      <c r="R818" s="22"/>
      <c r="S818" s="22"/>
      <c r="T818" s="22"/>
      <c r="U818" s="2"/>
      <c r="V818" s="2"/>
      <c r="W818" s="2"/>
      <c r="X818" s="2"/>
      <c r="Y818" s="2"/>
      <c r="Z818" s="2"/>
    </row>
    <row r="819" spans="1:26" ht="12.75">
      <c r="A819" s="22"/>
      <c r="B819" s="22"/>
      <c r="C819" s="22"/>
      <c r="D819" s="22"/>
      <c r="E819" s="22"/>
      <c r="F819" s="22"/>
      <c r="G819" s="22"/>
      <c r="H819" s="22"/>
      <c r="I819" s="22"/>
      <c r="J819" s="22"/>
      <c r="K819" s="22"/>
      <c r="L819" s="22"/>
      <c r="M819" s="22"/>
      <c r="N819" s="22"/>
      <c r="O819" s="22"/>
      <c r="P819" s="22"/>
      <c r="Q819" s="22"/>
      <c r="R819" s="22"/>
      <c r="S819" s="22"/>
      <c r="T819" s="22"/>
      <c r="U819" s="2"/>
      <c r="V819" s="2"/>
      <c r="W819" s="2"/>
      <c r="X819" s="2"/>
      <c r="Y819" s="2"/>
      <c r="Z819" s="2"/>
    </row>
    <row r="820" spans="1:26" ht="12.75">
      <c r="A820" s="22"/>
      <c r="B820" s="22"/>
      <c r="C820" s="22"/>
      <c r="D820" s="22"/>
      <c r="E820" s="22"/>
      <c r="F820" s="22"/>
      <c r="G820" s="22"/>
      <c r="H820" s="22"/>
      <c r="I820" s="22"/>
      <c r="J820" s="22"/>
      <c r="K820" s="22"/>
      <c r="L820" s="22"/>
      <c r="M820" s="22"/>
      <c r="N820" s="22"/>
      <c r="O820" s="22"/>
      <c r="P820" s="22"/>
      <c r="Q820" s="22"/>
      <c r="R820" s="22"/>
      <c r="S820" s="22"/>
      <c r="T820" s="22"/>
      <c r="U820" s="2"/>
      <c r="V820" s="2"/>
      <c r="W820" s="2"/>
      <c r="X820" s="2"/>
      <c r="Y820" s="2"/>
      <c r="Z820" s="2"/>
    </row>
    <row r="821" spans="1:26" ht="12.75">
      <c r="A821" s="22"/>
      <c r="B821" s="22"/>
      <c r="C821" s="22"/>
      <c r="D821" s="22"/>
      <c r="E821" s="22"/>
      <c r="F821" s="22"/>
      <c r="G821" s="22"/>
      <c r="H821" s="22"/>
      <c r="I821" s="22"/>
      <c r="J821" s="22"/>
      <c r="K821" s="22"/>
      <c r="L821" s="22"/>
      <c r="M821" s="22"/>
      <c r="N821" s="22"/>
      <c r="O821" s="22"/>
      <c r="P821" s="22"/>
      <c r="Q821" s="22"/>
      <c r="R821" s="22"/>
      <c r="S821" s="22"/>
      <c r="T821" s="22"/>
      <c r="U821" s="2"/>
      <c r="V821" s="2"/>
      <c r="W821" s="2"/>
      <c r="X821" s="2"/>
      <c r="Y821" s="2"/>
      <c r="Z821" s="2"/>
    </row>
    <row r="822" spans="1:26" ht="12.75">
      <c r="A822" s="22"/>
      <c r="B822" s="22"/>
      <c r="C822" s="22"/>
      <c r="D822" s="22"/>
      <c r="E822" s="22"/>
      <c r="F822" s="22"/>
      <c r="G822" s="22"/>
      <c r="H822" s="22"/>
      <c r="I822" s="22"/>
      <c r="J822" s="22"/>
      <c r="K822" s="22"/>
      <c r="L822" s="22"/>
      <c r="M822" s="22"/>
      <c r="N822" s="22"/>
      <c r="O822" s="22"/>
      <c r="P822" s="22"/>
      <c r="Q822" s="22"/>
      <c r="R822" s="22"/>
      <c r="S822" s="22"/>
      <c r="T822" s="22"/>
      <c r="U822" s="2"/>
      <c r="V822" s="2"/>
      <c r="W822" s="2"/>
      <c r="X822" s="2"/>
      <c r="Y822" s="2"/>
      <c r="Z822" s="2"/>
    </row>
    <row r="823" spans="1:26" ht="12.75">
      <c r="A823" s="22"/>
      <c r="B823" s="22"/>
      <c r="C823" s="22"/>
      <c r="D823" s="22"/>
      <c r="E823" s="22"/>
      <c r="F823" s="22"/>
      <c r="G823" s="22"/>
      <c r="H823" s="22"/>
      <c r="I823" s="22"/>
      <c r="J823" s="22"/>
      <c r="K823" s="22"/>
      <c r="L823" s="22"/>
      <c r="M823" s="22"/>
      <c r="N823" s="22"/>
      <c r="O823" s="22"/>
      <c r="P823" s="22"/>
      <c r="Q823" s="22"/>
      <c r="R823" s="22"/>
      <c r="S823" s="22"/>
      <c r="T823" s="22"/>
      <c r="U823" s="2"/>
      <c r="V823" s="2"/>
      <c r="W823" s="2"/>
      <c r="X823" s="2"/>
      <c r="Y823" s="2"/>
      <c r="Z823" s="2"/>
    </row>
    <row r="824" spans="1:26" ht="12.75">
      <c r="A824" s="22"/>
      <c r="B824" s="22"/>
      <c r="C824" s="22"/>
      <c r="D824" s="22"/>
      <c r="E824" s="22"/>
      <c r="F824" s="22"/>
      <c r="G824" s="22"/>
      <c r="H824" s="22"/>
      <c r="I824" s="22"/>
      <c r="J824" s="22"/>
      <c r="K824" s="22"/>
      <c r="L824" s="22"/>
      <c r="M824" s="22"/>
      <c r="N824" s="22"/>
      <c r="O824" s="22"/>
      <c r="P824" s="22"/>
      <c r="Q824" s="22"/>
      <c r="R824" s="22"/>
      <c r="S824" s="22"/>
      <c r="T824" s="22"/>
      <c r="U824" s="2"/>
      <c r="V824" s="2"/>
      <c r="W824" s="2"/>
      <c r="X824" s="2"/>
      <c r="Y824" s="2"/>
      <c r="Z824" s="2"/>
    </row>
    <row r="825" spans="1:26" ht="12.75">
      <c r="A825" s="22"/>
      <c r="B825" s="22"/>
      <c r="C825" s="22"/>
      <c r="D825" s="22"/>
      <c r="E825" s="22"/>
      <c r="F825" s="22"/>
      <c r="G825" s="22"/>
      <c r="H825" s="22"/>
      <c r="I825" s="22"/>
      <c r="J825" s="22"/>
      <c r="K825" s="22"/>
      <c r="L825" s="22"/>
      <c r="M825" s="22"/>
      <c r="N825" s="22"/>
      <c r="O825" s="22"/>
      <c r="P825" s="22"/>
      <c r="Q825" s="22"/>
      <c r="R825" s="22"/>
      <c r="S825" s="22"/>
      <c r="T825" s="22"/>
      <c r="U825" s="2"/>
      <c r="V825" s="2"/>
      <c r="W825" s="2"/>
      <c r="X825" s="2"/>
      <c r="Y825" s="2"/>
      <c r="Z825" s="2"/>
    </row>
    <row r="826" spans="1:26" ht="12.75">
      <c r="A826" s="22"/>
      <c r="B826" s="22"/>
      <c r="C826" s="22"/>
      <c r="D826" s="22"/>
      <c r="E826" s="22"/>
      <c r="F826" s="22"/>
      <c r="G826" s="22"/>
      <c r="H826" s="22"/>
      <c r="I826" s="22"/>
      <c r="J826" s="22"/>
      <c r="K826" s="22"/>
      <c r="L826" s="22"/>
      <c r="M826" s="22"/>
      <c r="N826" s="22"/>
      <c r="O826" s="22"/>
      <c r="P826" s="22"/>
      <c r="Q826" s="22"/>
      <c r="R826" s="22"/>
      <c r="S826" s="22"/>
      <c r="T826" s="22"/>
      <c r="U826" s="2"/>
      <c r="V826" s="2"/>
      <c r="W826" s="2"/>
      <c r="X826" s="2"/>
      <c r="Y826" s="2"/>
      <c r="Z826" s="2"/>
    </row>
    <row r="827" spans="1:26" ht="12.75">
      <c r="A827" s="22"/>
      <c r="B827" s="22"/>
      <c r="C827" s="22"/>
      <c r="D827" s="22"/>
      <c r="E827" s="22"/>
      <c r="F827" s="22"/>
      <c r="G827" s="22"/>
      <c r="H827" s="22"/>
      <c r="I827" s="22"/>
      <c r="J827" s="22"/>
      <c r="K827" s="22"/>
      <c r="L827" s="22"/>
      <c r="M827" s="22"/>
      <c r="N827" s="22"/>
      <c r="O827" s="22"/>
      <c r="P827" s="22"/>
      <c r="Q827" s="22"/>
      <c r="R827" s="22"/>
      <c r="S827" s="22"/>
      <c r="T827" s="22"/>
      <c r="U827" s="2"/>
      <c r="V827" s="2"/>
      <c r="W827" s="2"/>
      <c r="X827" s="2"/>
      <c r="Y827" s="2"/>
      <c r="Z827" s="2"/>
    </row>
    <row r="828" spans="1:26" ht="12.75">
      <c r="A828" s="22"/>
      <c r="B828" s="22"/>
      <c r="C828" s="22"/>
      <c r="D828" s="22"/>
      <c r="E828" s="22"/>
      <c r="F828" s="22"/>
      <c r="G828" s="22"/>
      <c r="H828" s="22"/>
      <c r="I828" s="22"/>
      <c r="J828" s="22"/>
      <c r="K828" s="22"/>
      <c r="L828" s="22"/>
      <c r="M828" s="22"/>
      <c r="N828" s="22"/>
      <c r="O828" s="22"/>
      <c r="P828" s="22"/>
      <c r="Q828" s="22"/>
      <c r="R828" s="22"/>
      <c r="S828" s="22"/>
      <c r="T828" s="22"/>
      <c r="U828" s="2"/>
      <c r="V828" s="2"/>
      <c r="W828" s="2"/>
      <c r="X828" s="2"/>
      <c r="Y828" s="2"/>
      <c r="Z828" s="2"/>
    </row>
    <row r="829" spans="1:26" ht="12.75">
      <c r="A829" s="22"/>
      <c r="B829" s="22"/>
      <c r="C829" s="22"/>
      <c r="D829" s="22"/>
      <c r="E829" s="22"/>
      <c r="F829" s="22"/>
      <c r="G829" s="22"/>
      <c r="H829" s="22"/>
      <c r="I829" s="22"/>
      <c r="J829" s="22"/>
      <c r="K829" s="22"/>
      <c r="L829" s="22"/>
      <c r="M829" s="22"/>
      <c r="N829" s="22"/>
      <c r="O829" s="22"/>
      <c r="P829" s="22"/>
      <c r="Q829" s="22"/>
      <c r="R829" s="22"/>
      <c r="S829" s="22"/>
      <c r="T829" s="22"/>
      <c r="U829" s="2"/>
      <c r="V829" s="2"/>
      <c r="W829" s="2"/>
      <c r="X829" s="2"/>
      <c r="Y829" s="2"/>
      <c r="Z829" s="2"/>
    </row>
    <row r="830" spans="1:26" ht="12.75">
      <c r="A830" s="22"/>
      <c r="B830" s="22"/>
      <c r="C830" s="22"/>
      <c r="D830" s="22"/>
      <c r="E830" s="22"/>
      <c r="F830" s="22"/>
      <c r="G830" s="22"/>
      <c r="H830" s="22"/>
      <c r="I830" s="22"/>
      <c r="J830" s="22"/>
      <c r="K830" s="22"/>
      <c r="L830" s="22"/>
      <c r="M830" s="22"/>
      <c r="N830" s="22"/>
      <c r="O830" s="22"/>
      <c r="P830" s="22"/>
      <c r="Q830" s="22"/>
      <c r="R830" s="22"/>
      <c r="S830" s="22"/>
      <c r="T830" s="22"/>
      <c r="U830" s="2"/>
      <c r="V830" s="2"/>
      <c r="W830" s="2"/>
      <c r="X830" s="2"/>
      <c r="Y830" s="2"/>
      <c r="Z830" s="2"/>
    </row>
    <row r="831" spans="1:26" ht="12.75">
      <c r="A831" s="22"/>
      <c r="B831" s="22"/>
      <c r="C831" s="22"/>
      <c r="D831" s="22"/>
      <c r="E831" s="22"/>
      <c r="F831" s="22"/>
      <c r="G831" s="22"/>
      <c r="H831" s="22"/>
      <c r="I831" s="22"/>
      <c r="J831" s="22"/>
      <c r="K831" s="22"/>
      <c r="L831" s="22"/>
      <c r="M831" s="22"/>
      <c r="N831" s="22"/>
      <c r="O831" s="22"/>
      <c r="P831" s="22"/>
      <c r="Q831" s="22"/>
      <c r="R831" s="22"/>
      <c r="S831" s="22"/>
      <c r="T831" s="22"/>
      <c r="U831" s="2"/>
      <c r="V831" s="2"/>
      <c r="W831" s="2"/>
      <c r="X831" s="2"/>
      <c r="Y831" s="2"/>
      <c r="Z831" s="2"/>
    </row>
    <row r="832" spans="1:26" ht="12.75">
      <c r="A832" s="22"/>
      <c r="B832" s="22"/>
      <c r="C832" s="22"/>
      <c r="D832" s="22"/>
      <c r="E832" s="22"/>
      <c r="F832" s="22"/>
      <c r="G832" s="22"/>
      <c r="H832" s="22"/>
      <c r="I832" s="22"/>
      <c r="J832" s="22"/>
      <c r="K832" s="22"/>
      <c r="L832" s="22"/>
      <c r="M832" s="22"/>
      <c r="N832" s="22"/>
      <c r="O832" s="22"/>
      <c r="P832" s="22"/>
      <c r="Q832" s="22"/>
      <c r="R832" s="22"/>
      <c r="S832" s="22"/>
      <c r="T832" s="22"/>
      <c r="U832" s="2"/>
      <c r="V832" s="2"/>
      <c r="W832" s="2"/>
      <c r="X832" s="2"/>
      <c r="Y832" s="2"/>
      <c r="Z832" s="2"/>
    </row>
    <row r="833" spans="1:26" ht="12.75">
      <c r="A833" s="22"/>
      <c r="B833" s="22"/>
      <c r="C833" s="22"/>
      <c r="D833" s="22"/>
      <c r="E833" s="22"/>
      <c r="F833" s="22"/>
      <c r="G833" s="22"/>
      <c r="H833" s="22"/>
      <c r="I833" s="22"/>
      <c r="J833" s="22"/>
      <c r="K833" s="22"/>
      <c r="L833" s="22"/>
      <c r="M833" s="22"/>
      <c r="N833" s="22"/>
      <c r="O833" s="22"/>
      <c r="P833" s="22"/>
      <c r="Q833" s="22"/>
      <c r="R833" s="22"/>
      <c r="S833" s="22"/>
      <c r="T833" s="22"/>
      <c r="U833" s="2"/>
      <c r="V833" s="2"/>
      <c r="W833" s="2"/>
      <c r="X833" s="2"/>
      <c r="Y833" s="2"/>
      <c r="Z833" s="2"/>
    </row>
    <row r="834" spans="1:26" ht="12.75">
      <c r="A834" s="22"/>
      <c r="B834" s="22"/>
      <c r="C834" s="22"/>
      <c r="D834" s="22"/>
      <c r="E834" s="22"/>
      <c r="F834" s="22"/>
      <c r="G834" s="22"/>
      <c r="H834" s="22"/>
      <c r="I834" s="22"/>
      <c r="J834" s="22"/>
      <c r="K834" s="22"/>
      <c r="L834" s="22"/>
      <c r="M834" s="22"/>
      <c r="N834" s="22"/>
      <c r="O834" s="22"/>
      <c r="P834" s="22"/>
      <c r="Q834" s="22"/>
      <c r="R834" s="22"/>
      <c r="S834" s="22"/>
      <c r="T834" s="22"/>
      <c r="U834" s="2"/>
      <c r="V834" s="2"/>
      <c r="W834" s="2"/>
      <c r="X834" s="2"/>
      <c r="Y834" s="2"/>
      <c r="Z834" s="2"/>
    </row>
    <row r="835" spans="1:26" ht="12.75">
      <c r="A835" s="22"/>
      <c r="B835" s="22"/>
      <c r="C835" s="22"/>
      <c r="D835" s="22"/>
      <c r="E835" s="22"/>
      <c r="F835" s="22"/>
      <c r="G835" s="22"/>
      <c r="H835" s="22"/>
      <c r="I835" s="22"/>
      <c r="J835" s="22"/>
      <c r="K835" s="22"/>
      <c r="L835" s="22"/>
      <c r="M835" s="22"/>
      <c r="N835" s="22"/>
      <c r="O835" s="22"/>
      <c r="P835" s="22"/>
      <c r="Q835" s="22"/>
      <c r="R835" s="22"/>
      <c r="S835" s="22"/>
      <c r="T835" s="22"/>
      <c r="U835" s="2"/>
      <c r="V835" s="2"/>
      <c r="W835" s="2"/>
      <c r="X835" s="2"/>
      <c r="Y835" s="2"/>
      <c r="Z835" s="2"/>
    </row>
    <row r="836" spans="1:26" ht="12.75">
      <c r="A836" s="22"/>
      <c r="B836" s="22"/>
      <c r="C836" s="22"/>
      <c r="D836" s="22"/>
      <c r="E836" s="22"/>
      <c r="F836" s="22"/>
      <c r="G836" s="22"/>
      <c r="H836" s="22"/>
      <c r="I836" s="22"/>
      <c r="J836" s="22"/>
      <c r="K836" s="22"/>
      <c r="L836" s="22"/>
      <c r="M836" s="22"/>
      <c r="N836" s="22"/>
      <c r="O836" s="22"/>
      <c r="P836" s="22"/>
      <c r="Q836" s="22"/>
      <c r="R836" s="22"/>
      <c r="S836" s="22"/>
      <c r="T836" s="22"/>
      <c r="U836" s="2"/>
      <c r="V836" s="2"/>
      <c r="W836" s="2"/>
      <c r="X836" s="2"/>
      <c r="Y836" s="2"/>
      <c r="Z836" s="2"/>
    </row>
    <row r="837" spans="1:26" ht="12.75">
      <c r="A837" s="22"/>
      <c r="B837" s="22"/>
      <c r="C837" s="22"/>
      <c r="D837" s="22"/>
      <c r="E837" s="22"/>
      <c r="F837" s="22"/>
      <c r="G837" s="22"/>
      <c r="H837" s="22"/>
      <c r="I837" s="22"/>
      <c r="J837" s="22"/>
      <c r="K837" s="22"/>
      <c r="L837" s="22"/>
      <c r="M837" s="22"/>
      <c r="N837" s="22"/>
      <c r="O837" s="22"/>
      <c r="P837" s="22"/>
      <c r="Q837" s="22"/>
      <c r="R837" s="22"/>
      <c r="S837" s="22"/>
      <c r="T837" s="22"/>
      <c r="U837" s="2"/>
      <c r="V837" s="2"/>
      <c r="W837" s="2"/>
      <c r="X837" s="2"/>
      <c r="Y837" s="2"/>
      <c r="Z837" s="2"/>
    </row>
    <row r="838" spans="1:26" ht="12.75">
      <c r="A838" s="22"/>
      <c r="B838" s="22"/>
      <c r="C838" s="22"/>
      <c r="D838" s="22"/>
      <c r="E838" s="22"/>
      <c r="F838" s="22"/>
      <c r="G838" s="22"/>
      <c r="H838" s="22"/>
      <c r="I838" s="22"/>
      <c r="J838" s="22"/>
      <c r="K838" s="22"/>
      <c r="L838" s="22"/>
      <c r="M838" s="22"/>
      <c r="N838" s="22"/>
      <c r="O838" s="22"/>
      <c r="P838" s="22"/>
      <c r="Q838" s="22"/>
      <c r="R838" s="22"/>
      <c r="S838" s="22"/>
      <c r="T838" s="22"/>
      <c r="U838" s="2"/>
      <c r="V838" s="2"/>
      <c r="W838" s="2"/>
      <c r="X838" s="2"/>
      <c r="Y838" s="2"/>
      <c r="Z838" s="2"/>
    </row>
    <row r="839" spans="1:26" ht="12.75">
      <c r="A839" s="22"/>
      <c r="B839" s="22"/>
      <c r="C839" s="22"/>
      <c r="D839" s="22"/>
      <c r="E839" s="22"/>
      <c r="F839" s="22"/>
      <c r="G839" s="22"/>
      <c r="H839" s="22"/>
      <c r="I839" s="22"/>
      <c r="J839" s="22"/>
      <c r="K839" s="22"/>
      <c r="L839" s="22"/>
      <c r="M839" s="22"/>
      <c r="N839" s="22"/>
      <c r="O839" s="22"/>
      <c r="P839" s="22"/>
      <c r="Q839" s="22"/>
      <c r="R839" s="22"/>
      <c r="S839" s="22"/>
      <c r="T839" s="22"/>
      <c r="U839" s="2"/>
      <c r="V839" s="2"/>
      <c r="W839" s="2"/>
      <c r="X839" s="2"/>
      <c r="Y839" s="2"/>
      <c r="Z839" s="2"/>
    </row>
    <row r="840" spans="1:26" ht="12.75">
      <c r="A840" s="22"/>
      <c r="B840" s="22"/>
      <c r="C840" s="22"/>
      <c r="D840" s="22"/>
      <c r="E840" s="22"/>
      <c r="F840" s="22"/>
      <c r="G840" s="22"/>
      <c r="H840" s="22"/>
      <c r="I840" s="22"/>
      <c r="J840" s="22"/>
      <c r="K840" s="22"/>
      <c r="L840" s="22"/>
      <c r="M840" s="22"/>
      <c r="N840" s="22"/>
      <c r="O840" s="22"/>
      <c r="P840" s="22"/>
      <c r="Q840" s="22"/>
      <c r="R840" s="22"/>
      <c r="S840" s="22"/>
      <c r="T840" s="22"/>
      <c r="U840" s="2"/>
      <c r="V840" s="2"/>
      <c r="W840" s="2"/>
      <c r="X840" s="2"/>
      <c r="Y840" s="2"/>
      <c r="Z840" s="2"/>
    </row>
    <row r="841" spans="1:26" ht="12.75">
      <c r="A841" s="22"/>
      <c r="B841" s="22"/>
      <c r="C841" s="22"/>
      <c r="D841" s="22"/>
      <c r="E841" s="22"/>
      <c r="F841" s="22"/>
      <c r="G841" s="22"/>
      <c r="H841" s="22"/>
      <c r="I841" s="22"/>
      <c r="J841" s="22"/>
      <c r="K841" s="22"/>
      <c r="L841" s="22"/>
      <c r="M841" s="22"/>
      <c r="N841" s="22"/>
      <c r="O841" s="22"/>
      <c r="P841" s="22"/>
      <c r="Q841" s="22"/>
      <c r="R841" s="22"/>
      <c r="S841" s="22"/>
      <c r="T841" s="22"/>
      <c r="U841" s="2"/>
      <c r="V841" s="2"/>
      <c r="W841" s="2"/>
      <c r="X841" s="2"/>
      <c r="Y841" s="2"/>
      <c r="Z841" s="2"/>
    </row>
    <row r="842" spans="1:26" ht="12.75">
      <c r="A842" s="22"/>
      <c r="B842" s="22"/>
      <c r="C842" s="22"/>
      <c r="D842" s="22"/>
      <c r="E842" s="22"/>
      <c r="F842" s="22"/>
      <c r="G842" s="22"/>
      <c r="H842" s="22"/>
      <c r="I842" s="22"/>
      <c r="J842" s="22"/>
      <c r="K842" s="22"/>
      <c r="L842" s="22"/>
      <c r="M842" s="22"/>
      <c r="N842" s="22"/>
      <c r="O842" s="22"/>
      <c r="P842" s="22"/>
      <c r="Q842" s="22"/>
      <c r="R842" s="22"/>
      <c r="S842" s="22"/>
      <c r="T842" s="22"/>
      <c r="U842" s="2"/>
      <c r="V842" s="2"/>
      <c r="W842" s="2"/>
      <c r="X842" s="2"/>
      <c r="Y842" s="2"/>
      <c r="Z842" s="2"/>
    </row>
    <row r="843" spans="1:26" ht="12.75">
      <c r="A843" s="22"/>
      <c r="B843" s="22"/>
      <c r="C843" s="22"/>
      <c r="D843" s="22"/>
      <c r="E843" s="22"/>
      <c r="F843" s="22"/>
      <c r="G843" s="22"/>
      <c r="H843" s="22"/>
      <c r="I843" s="22"/>
      <c r="J843" s="22"/>
      <c r="K843" s="22"/>
      <c r="L843" s="22"/>
      <c r="M843" s="22"/>
      <c r="N843" s="22"/>
      <c r="O843" s="22"/>
      <c r="P843" s="22"/>
      <c r="Q843" s="22"/>
      <c r="R843" s="22"/>
      <c r="S843" s="22"/>
      <c r="T843" s="22"/>
      <c r="U843" s="2"/>
      <c r="V843" s="2"/>
      <c r="W843" s="2"/>
      <c r="X843" s="2"/>
      <c r="Y843" s="2"/>
      <c r="Z843" s="2"/>
    </row>
    <row r="844" spans="1:26" ht="12.75">
      <c r="A844" s="22"/>
      <c r="B844" s="22"/>
      <c r="C844" s="22"/>
      <c r="D844" s="22"/>
      <c r="E844" s="22"/>
      <c r="F844" s="22"/>
      <c r="G844" s="22"/>
      <c r="H844" s="22"/>
      <c r="I844" s="22"/>
      <c r="J844" s="22"/>
      <c r="K844" s="22"/>
      <c r="L844" s="22"/>
      <c r="M844" s="22"/>
      <c r="N844" s="22"/>
      <c r="O844" s="22"/>
      <c r="P844" s="22"/>
      <c r="Q844" s="22"/>
      <c r="R844" s="22"/>
      <c r="S844" s="22"/>
      <c r="T844" s="22"/>
      <c r="U844" s="2"/>
      <c r="V844" s="2"/>
      <c r="W844" s="2"/>
      <c r="X844" s="2"/>
      <c r="Y844" s="2"/>
      <c r="Z844" s="2"/>
    </row>
    <row r="845" spans="1:26" ht="12.75">
      <c r="A845" s="22"/>
      <c r="B845" s="22"/>
      <c r="C845" s="22"/>
      <c r="D845" s="22"/>
      <c r="E845" s="22"/>
      <c r="F845" s="22"/>
      <c r="G845" s="22"/>
      <c r="H845" s="22"/>
      <c r="I845" s="22"/>
      <c r="J845" s="22"/>
      <c r="K845" s="22"/>
      <c r="L845" s="22"/>
      <c r="M845" s="22"/>
      <c r="N845" s="22"/>
      <c r="O845" s="22"/>
      <c r="P845" s="22"/>
      <c r="Q845" s="22"/>
      <c r="R845" s="22"/>
      <c r="S845" s="22"/>
      <c r="T845" s="22"/>
      <c r="U845" s="2"/>
      <c r="V845" s="2"/>
      <c r="W845" s="2"/>
      <c r="X845" s="2"/>
      <c r="Y845" s="2"/>
      <c r="Z845" s="2"/>
    </row>
    <row r="846" spans="1:26" ht="12.75">
      <c r="A846" s="22"/>
      <c r="B846" s="22"/>
      <c r="C846" s="22"/>
      <c r="D846" s="22"/>
      <c r="E846" s="22"/>
      <c r="F846" s="22"/>
      <c r="G846" s="22"/>
      <c r="H846" s="22"/>
      <c r="I846" s="22"/>
      <c r="J846" s="22"/>
      <c r="K846" s="22"/>
      <c r="L846" s="22"/>
      <c r="M846" s="22"/>
      <c r="N846" s="22"/>
      <c r="O846" s="22"/>
      <c r="P846" s="22"/>
      <c r="Q846" s="22"/>
      <c r="R846" s="22"/>
      <c r="S846" s="22"/>
      <c r="T846" s="22"/>
      <c r="U846" s="2"/>
      <c r="V846" s="2"/>
      <c r="W846" s="2"/>
      <c r="X846" s="2"/>
      <c r="Y846" s="2"/>
      <c r="Z846" s="2"/>
    </row>
    <row r="847" spans="1:26" ht="12.75">
      <c r="A847" s="22"/>
      <c r="B847" s="22"/>
      <c r="C847" s="22"/>
      <c r="D847" s="22"/>
      <c r="E847" s="22"/>
      <c r="F847" s="22"/>
      <c r="G847" s="22"/>
      <c r="H847" s="22"/>
      <c r="I847" s="22"/>
      <c r="J847" s="22"/>
      <c r="K847" s="22"/>
      <c r="L847" s="22"/>
      <c r="M847" s="22"/>
      <c r="N847" s="22"/>
      <c r="O847" s="22"/>
      <c r="P847" s="22"/>
      <c r="Q847" s="22"/>
      <c r="R847" s="22"/>
      <c r="S847" s="22"/>
      <c r="T847" s="22"/>
      <c r="U847" s="2"/>
      <c r="V847" s="2"/>
      <c r="W847" s="2"/>
      <c r="X847" s="2"/>
      <c r="Y847" s="2"/>
      <c r="Z847" s="2"/>
    </row>
    <row r="848" spans="1:26" ht="12.75">
      <c r="A848" s="22"/>
      <c r="B848" s="22"/>
      <c r="C848" s="22"/>
      <c r="D848" s="22"/>
      <c r="E848" s="22"/>
      <c r="F848" s="22"/>
      <c r="G848" s="22"/>
      <c r="H848" s="22"/>
      <c r="I848" s="22"/>
      <c r="J848" s="22"/>
      <c r="K848" s="22"/>
      <c r="L848" s="22"/>
      <c r="M848" s="22"/>
      <c r="N848" s="22"/>
      <c r="O848" s="22"/>
      <c r="P848" s="22"/>
      <c r="Q848" s="22"/>
      <c r="R848" s="22"/>
      <c r="S848" s="22"/>
      <c r="T848" s="22"/>
      <c r="U848" s="2"/>
      <c r="V848" s="2"/>
      <c r="W848" s="2"/>
      <c r="X848" s="2"/>
      <c r="Y848" s="2"/>
      <c r="Z848" s="2"/>
    </row>
    <row r="849" spans="1:26" ht="12.75">
      <c r="A849" s="22"/>
      <c r="B849" s="22"/>
      <c r="C849" s="22"/>
      <c r="D849" s="22"/>
      <c r="E849" s="22"/>
      <c r="F849" s="22"/>
      <c r="G849" s="22"/>
      <c r="H849" s="22"/>
      <c r="I849" s="22"/>
      <c r="J849" s="22"/>
      <c r="K849" s="22"/>
      <c r="L849" s="22"/>
      <c r="M849" s="22"/>
      <c r="N849" s="22"/>
      <c r="O849" s="22"/>
      <c r="P849" s="22"/>
      <c r="Q849" s="22"/>
      <c r="R849" s="22"/>
      <c r="S849" s="22"/>
      <c r="T849" s="22"/>
      <c r="U849" s="2"/>
      <c r="V849" s="2"/>
      <c r="W849" s="2"/>
      <c r="X849" s="2"/>
      <c r="Y849" s="2"/>
      <c r="Z849" s="2"/>
    </row>
    <row r="850" spans="1:26" ht="12.75">
      <c r="A850" s="22"/>
      <c r="B850" s="22"/>
      <c r="C850" s="22"/>
      <c r="D850" s="22"/>
      <c r="E850" s="22"/>
      <c r="F850" s="22"/>
      <c r="G850" s="22"/>
      <c r="H850" s="22"/>
      <c r="I850" s="22"/>
      <c r="J850" s="22"/>
      <c r="K850" s="22"/>
      <c r="L850" s="22"/>
      <c r="M850" s="22"/>
      <c r="N850" s="22"/>
      <c r="O850" s="22"/>
      <c r="P850" s="22"/>
      <c r="Q850" s="22"/>
      <c r="R850" s="22"/>
      <c r="S850" s="22"/>
      <c r="T850" s="22"/>
      <c r="U850" s="2"/>
      <c r="V850" s="2"/>
      <c r="W850" s="2"/>
      <c r="X850" s="2"/>
      <c r="Y850" s="2"/>
      <c r="Z850" s="2"/>
    </row>
    <row r="851" spans="1:26" ht="12.75">
      <c r="A851" s="22"/>
      <c r="B851" s="22"/>
      <c r="C851" s="22"/>
      <c r="D851" s="22"/>
      <c r="E851" s="22"/>
      <c r="F851" s="22"/>
      <c r="G851" s="22"/>
      <c r="H851" s="22"/>
      <c r="I851" s="22"/>
      <c r="J851" s="22"/>
      <c r="K851" s="22"/>
      <c r="L851" s="22"/>
      <c r="M851" s="22"/>
      <c r="N851" s="22"/>
      <c r="O851" s="22"/>
      <c r="P851" s="22"/>
      <c r="Q851" s="22"/>
      <c r="R851" s="22"/>
      <c r="S851" s="22"/>
      <c r="T851" s="22"/>
      <c r="U851" s="2"/>
      <c r="V851" s="2"/>
      <c r="W851" s="2"/>
      <c r="X851" s="2"/>
      <c r="Y851" s="2"/>
      <c r="Z851" s="2"/>
    </row>
    <row r="852" spans="1:26" ht="12.75">
      <c r="A852" s="22"/>
      <c r="B852" s="22"/>
      <c r="C852" s="22"/>
      <c r="D852" s="22"/>
      <c r="E852" s="22"/>
      <c r="F852" s="22"/>
      <c r="G852" s="22"/>
      <c r="H852" s="22"/>
      <c r="I852" s="22"/>
      <c r="J852" s="22"/>
      <c r="K852" s="22"/>
      <c r="L852" s="22"/>
      <c r="M852" s="22"/>
      <c r="N852" s="22"/>
      <c r="O852" s="22"/>
      <c r="P852" s="22"/>
      <c r="Q852" s="22"/>
      <c r="R852" s="22"/>
      <c r="S852" s="22"/>
      <c r="T852" s="22"/>
      <c r="U852" s="2"/>
      <c r="V852" s="2"/>
      <c r="W852" s="2"/>
      <c r="X852" s="2"/>
      <c r="Y852" s="2"/>
      <c r="Z852" s="2"/>
    </row>
    <row r="853" spans="1:26" ht="12.75">
      <c r="A853" s="22"/>
      <c r="B853" s="22"/>
      <c r="C853" s="22"/>
      <c r="D853" s="22"/>
      <c r="E853" s="22"/>
      <c r="F853" s="22"/>
      <c r="G853" s="22"/>
      <c r="H853" s="22"/>
      <c r="I853" s="22"/>
      <c r="J853" s="22"/>
      <c r="K853" s="22"/>
      <c r="L853" s="22"/>
      <c r="M853" s="22"/>
      <c r="N853" s="22"/>
      <c r="O853" s="22"/>
      <c r="P853" s="22"/>
      <c r="Q853" s="22"/>
      <c r="R853" s="22"/>
      <c r="S853" s="22"/>
      <c r="T853" s="22"/>
      <c r="U853" s="2"/>
      <c r="V853" s="2"/>
      <c r="W853" s="2"/>
      <c r="X853" s="2"/>
      <c r="Y853" s="2"/>
      <c r="Z853" s="2"/>
    </row>
    <row r="854" spans="1:26" ht="12.75">
      <c r="A854" s="22"/>
      <c r="B854" s="22"/>
      <c r="C854" s="22"/>
      <c r="D854" s="22"/>
      <c r="E854" s="22"/>
      <c r="F854" s="22"/>
      <c r="G854" s="22"/>
      <c r="H854" s="22"/>
      <c r="I854" s="22"/>
      <c r="J854" s="22"/>
      <c r="K854" s="22"/>
      <c r="L854" s="22"/>
      <c r="M854" s="22"/>
      <c r="N854" s="22"/>
      <c r="O854" s="22"/>
      <c r="P854" s="22"/>
      <c r="Q854" s="22"/>
      <c r="R854" s="22"/>
      <c r="S854" s="22"/>
      <c r="T854" s="22"/>
      <c r="U854" s="2"/>
      <c r="V854" s="2"/>
      <c r="W854" s="2"/>
      <c r="X854" s="2"/>
      <c r="Y854" s="2"/>
      <c r="Z854" s="2"/>
    </row>
    <row r="855" spans="1:26" ht="12.75">
      <c r="A855" s="22"/>
      <c r="B855" s="22"/>
      <c r="C855" s="22"/>
      <c r="D855" s="22"/>
      <c r="E855" s="22"/>
      <c r="F855" s="22"/>
      <c r="G855" s="22"/>
      <c r="H855" s="22"/>
      <c r="I855" s="22"/>
      <c r="J855" s="22"/>
      <c r="K855" s="22"/>
      <c r="L855" s="22"/>
      <c r="M855" s="22"/>
      <c r="N855" s="22"/>
      <c r="O855" s="22"/>
      <c r="P855" s="22"/>
      <c r="Q855" s="22"/>
      <c r="R855" s="22"/>
      <c r="S855" s="22"/>
      <c r="T855" s="22"/>
      <c r="U855" s="2"/>
      <c r="V855" s="2"/>
      <c r="W855" s="2"/>
      <c r="X855" s="2"/>
      <c r="Y855" s="2"/>
      <c r="Z855" s="2"/>
    </row>
    <row r="856" spans="1:26" ht="12.75">
      <c r="A856" s="22"/>
      <c r="B856" s="22"/>
      <c r="C856" s="22"/>
      <c r="D856" s="22"/>
      <c r="E856" s="22"/>
      <c r="F856" s="22"/>
      <c r="G856" s="22"/>
      <c r="H856" s="22"/>
      <c r="I856" s="22"/>
      <c r="J856" s="22"/>
      <c r="K856" s="22"/>
      <c r="L856" s="22"/>
      <c r="M856" s="22"/>
      <c r="N856" s="22"/>
      <c r="O856" s="22"/>
      <c r="P856" s="22"/>
      <c r="Q856" s="22"/>
      <c r="R856" s="22"/>
      <c r="S856" s="22"/>
      <c r="T856" s="22"/>
      <c r="U856" s="2"/>
      <c r="V856" s="2"/>
      <c r="W856" s="2"/>
      <c r="X856" s="2"/>
      <c r="Y856" s="2"/>
      <c r="Z856" s="2"/>
    </row>
    <row r="857" spans="1:26" ht="12.75">
      <c r="A857" s="22"/>
      <c r="B857" s="22"/>
      <c r="C857" s="22"/>
      <c r="D857" s="22"/>
      <c r="E857" s="22"/>
      <c r="F857" s="22"/>
      <c r="G857" s="22"/>
      <c r="H857" s="22"/>
      <c r="I857" s="22"/>
      <c r="J857" s="22"/>
      <c r="K857" s="22"/>
      <c r="L857" s="22"/>
      <c r="M857" s="22"/>
      <c r="N857" s="22"/>
      <c r="O857" s="22"/>
      <c r="P857" s="22"/>
      <c r="Q857" s="22"/>
      <c r="R857" s="22"/>
      <c r="S857" s="22"/>
      <c r="T857" s="22"/>
      <c r="U857" s="2"/>
      <c r="V857" s="2"/>
      <c r="W857" s="2"/>
      <c r="X857" s="2"/>
      <c r="Y857" s="2"/>
      <c r="Z857" s="2"/>
    </row>
    <row r="858" spans="1:26" ht="12.75">
      <c r="A858" s="22"/>
      <c r="B858" s="22"/>
      <c r="C858" s="22"/>
      <c r="D858" s="22"/>
      <c r="E858" s="22"/>
      <c r="F858" s="22"/>
      <c r="G858" s="22"/>
      <c r="H858" s="22"/>
      <c r="I858" s="22"/>
      <c r="J858" s="22"/>
      <c r="K858" s="22"/>
      <c r="L858" s="22"/>
      <c r="M858" s="22"/>
      <c r="N858" s="22"/>
      <c r="O858" s="22"/>
      <c r="P858" s="22"/>
      <c r="Q858" s="22"/>
      <c r="R858" s="22"/>
      <c r="S858" s="22"/>
      <c r="T858" s="22"/>
      <c r="U858" s="2"/>
      <c r="V858" s="2"/>
      <c r="W858" s="2"/>
      <c r="X858" s="2"/>
      <c r="Y858" s="2"/>
      <c r="Z858" s="2"/>
    </row>
    <row r="859" spans="1:26" ht="12.75">
      <c r="A859" s="22"/>
      <c r="B859" s="22"/>
      <c r="C859" s="22"/>
      <c r="D859" s="22"/>
      <c r="E859" s="22"/>
      <c r="F859" s="22"/>
      <c r="G859" s="22"/>
      <c r="H859" s="22"/>
      <c r="I859" s="22"/>
      <c r="J859" s="22"/>
      <c r="K859" s="22"/>
      <c r="L859" s="22"/>
      <c r="M859" s="22"/>
      <c r="N859" s="22"/>
      <c r="O859" s="22"/>
      <c r="P859" s="22"/>
      <c r="Q859" s="22"/>
      <c r="R859" s="22"/>
      <c r="S859" s="22"/>
      <c r="T859" s="22"/>
      <c r="U859" s="2"/>
      <c r="V859" s="2"/>
      <c r="W859" s="2"/>
      <c r="X859" s="2"/>
      <c r="Y859" s="2"/>
      <c r="Z859" s="2"/>
    </row>
    <row r="860" spans="1:26" ht="12.75">
      <c r="A860" s="22"/>
      <c r="B860" s="22"/>
      <c r="C860" s="22"/>
      <c r="D860" s="22"/>
      <c r="E860" s="22"/>
      <c r="F860" s="22"/>
      <c r="G860" s="22"/>
      <c r="H860" s="22"/>
      <c r="I860" s="22"/>
      <c r="J860" s="22"/>
      <c r="K860" s="22"/>
      <c r="L860" s="22"/>
      <c r="M860" s="22"/>
      <c r="N860" s="22"/>
      <c r="O860" s="22"/>
      <c r="P860" s="22"/>
      <c r="Q860" s="22"/>
      <c r="R860" s="22"/>
      <c r="S860" s="22"/>
      <c r="T860" s="22"/>
      <c r="U860" s="2"/>
      <c r="V860" s="2"/>
      <c r="W860" s="2"/>
      <c r="X860" s="2"/>
      <c r="Y860" s="2"/>
      <c r="Z860" s="2"/>
    </row>
    <row r="861" spans="1:26" ht="12.75">
      <c r="A861" s="22"/>
      <c r="B861" s="22"/>
      <c r="C861" s="22"/>
      <c r="D861" s="22"/>
      <c r="E861" s="22"/>
      <c r="F861" s="22"/>
      <c r="G861" s="22"/>
      <c r="H861" s="22"/>
      <c r="I861" s="22"/>
      <c r="J861" s="22"/>
      <c r="K861" s="22"/>
      <c r="L861" s="22"/>
      <c r="M861" s="22"/>
      <c r="N861" s="22"/>
      <c r="O861" s="22"/>
      <c r="P861" s="22"/>
      <c r="Q861" s="22"/>
      <c r="R861" s="22"/>
      <c r="S861" s="22"/>
      <c r="T861" s="22"/>
      <c r="U861" s="2"/>
      <c r="V861" s="2"/>
      <c r="W861" s="2"/>
      <c r="X861" s="2"/>
      <c r="Y861" s="2"/>
      <c r="Z861" s="2"/>
    </row>
    <row r="862" spans="1:26" ht="12.75">
      <c r="A862" s="22"/>
      <c r="B862" s="22"/>
      <c r="C862" s="22"/>
      <c r="D862" s="22"/>
      <c r="E862" s="22"/>
      <c r="F862" s="22"/>
      <c r="G862" s="22"/>
      <c r="H862" s="22"/>
      <c r="I862" s="22"/>
      <c r="J862" s="22"/>
      <c r="K862" s="22"/>
      <c r="L862" s="22"/>
      <c r="M862" s="22"/>
      <c r="N862" s="22"/>
      <c r="O862" s="22"/>
      <c r="P862" s="22"/>
      <c r="Q862" s="22"/>
      <c r="R862" s="22"/>
      <c r="S862" s="22"/>
      <c r="T862" s="22"/>
      <c r="U862" s="2"/>
      <c r="V862" s="2"/>
      <c r="W862" s="2"/>
      <c r="X862" s="2"/>
      <c r="Y862" s="2"/>
      <c r="Z862" s="2"/>
    </row>
    <row r="863" spans="1:26" ht="12.75">
      <c r="A863" s="22"/>
      <c r="B863" s="22"/>
      <c r="C863" s="22"/>
      <c r="D863" s="22"/>
      <c r="E863" s="22"/>
      <c r="F863" s="22"/>
      <c r="G863" s="22"/>
      <c r="H863" s="22"/>
      <c r="I863" s="22"/>
      <c r="J863" s="22"/>
      <c r="K863" s="22"/>
      <c r="L863" s="22"/>
      <c r="M863" s="22"/>
      <c r="N863" s="22"/>
      <c r="O863" s="22"/>
      <c r="P863" s="22"/>
      <c r="Q863" s="22"/>
      <c r="R863" s="22"/>
      <c r="S863" s="22"/>
      <c r="T863" s="22"/>
      <c r="U863" s="2"/>
      <c r="V863" s="2"/>
      <c r="W863" s="2"/>
      <c r="X863" s="2"/>
      <c r="Y863" s="2"/>
      <c r="Z863" s="2"/>
    </row>
    <row r="864" spans="1:26" ht="12.75">
      <c r="A864" s="22"/>
      <c r="B864" s="22"/>
      <c r="C864" s="22"/>
      <c r="D864" s="22"/>
      <c r="E864" s="22"/>
      <c r="F864" s="22"/>
      <c r="G864" s="22"/>
      <c r="H864" s="22"/>
      <c r="I864" s="22"/>
      <c r="J864" s="22"/>
      <c r="K864" s="22"/>
      <c r="L864" s="22"/>
      <c r="M864" s="22"/>
      <c r="N864" s="22"/>
      <c r="O864" s="22"/>
      <c r="P864" s="22"/>
      <c r="Q864" s="22"/>
      <c r="R864" s="22"/>
      <c r="S864" s="22"/>
      <c r="T864" s="22"/>
      <c r="U864" s="2"/>
      <c r="V864" s="2"/>
      <c r="W864" s="2"/>
      <c r="X864" s="2"/>
      <c r="Y864" s="2"/>
      <c r="Z864" s="2"/>
    </row>
    <row r="865" spans="1:26" ht="12.75">
      <c r="A865" s="22"/>
      <c r="B865" s="22"/>
      <c r="C865" s="22"/>
      <c r="D865" s="22"/>
      <c r="E865" s="22"/>
      <c r="F865" s="22"/>
      <c r="G865" s="22"/>
      <c r="H865" s="22"/>
      <c r="I865" s="22"/>
      <c r="J865" s="22"/>
      <c r="K865" s="22"/>
      <c r="L865" s="22"/>
      <c r="M865" s="22"/>
      <c r="N865" s="22"/>
      <c r="O865" s="22"/>
      <c r="P865" s="22"/>
      <c r="Q865" s="22"/>
      <c r="R865" s="22"/>
      <c r="S865" s="22"/>
      <c r="T865" s="22"/>
      <c r="U865" s="2"/>
      <c r="V865" s="2"/>
      <c r="W865" s="2"/>
      <c r="X865" s="2"/>
      <c r="Y865" s="2"/>
      <c r="Z865" s="2"/>
    </row>
    <row r="866" spans="1:26" ht="12.75">
      <c r="A866" s="22"/>
      <c r="B866" s="22"/>
      <c r="C866" s="22"/>
      <c r="D866" s="22"/>
      <c r="E866" s="22"/>
      <c r="F866" s="22"/>
      <c r="G866" s="22"/>
      <c r="H866" s="22"/>
      <c r="I866" s="22"/>
      <c r="J866" s="22"/>
      <c r="K866" s="22"/>
      <c r="L866" s="22"/>
      <c r="M866" s="22"/>
      <c r="N866" s="22"/>
      <c r="O866" s="22"/>
      <c r="P866" s="22"/>
      <c r="Q866" s="22"/>
      <c r="R866" s="22"/>
      <c r="S866" s="22"/>
      <c r="T866" s="22"/>
      <c r="U866" s="2"/>
      <c r="V866" s="2"/>
      <c r="W866" s="2"/>
      <c r="X866" s="2"/>
      <c r="Y866" s="2"/>
      <c r="Z866" s="2"/>
    </row>
    <row r="867" spans="1:26" ht="12.75">
      <c r="A867" s="22"/>
      <c r="B867" s="22"/>
      <c r="C867" s="22"/>
      <c r="D867" s="22"/>
      <c r="E867" s="22"/>
      <c r="F867" s="22"/>
      <c r="G867" s="22"/>
      <c r="H867" s="22"/>
      <c r="I867" s="22"/>
      <c r="J867" s="22"/>
      <c r="K867" s="22"/>
      <c r="L867" s="22"/>
      <c r="M867" s="22"/>
      <c r="N867" s="22"/>
      <c r="O867" s="22"/>
      <c r="P867" s="22"/>
      <c r="Q867" s="22"/>
      <c r="R867" s="22"/>
      <c r="S867" s="22"/>
      <c r="T867" s="22"/>
      <c r="U867" s="2"/>
      <c r="V867" s="2"/>
      <c r="W867" s="2"/>
      <c r="X867" s="2"/>
      <c r="Y867" s="2"/>
      <c r="Z867" s="2"/>
    </row>
    <row r="868" spans="1:26" ht="12.75">
      <c r="A868" s="22"/>
      <c r="B868" s="22"/>
      <c r="C868" s="22"/>
      <c r="D868" s="22"/>
      <c r="E868" s="22"/>
      <c r="F868" s="22"/>
      <c r="G868" s="22"/>
      <c r="H868" s="22"/>
      <c r="I868" s="22"/>
      <c r="J868" s="22"/>
      <c r="K868" s="22"/>
      <c r="L868" s="22"/>
      <c r="M868" s="22"/>
      <c r="N868" s="22"/>
      <c r="O868" s="22"/>
      <c r="P868" s="22"/>
      <c r="Q868" s="22"/>
      <c r="R868" s="22"/>
      <c r="S868" s="22"/>
      <c r="T868" s="22"/>
      <c r="U868" s="2"/>
      <c r="V868" s="2"/>
      <c r="W868" s="2"/>
      <c r="X868" s="2"/>
      <c r="Y868" s="2"/>
      <c r="Z868" s="2"/>
    </row>
    <row r="869" spans="1:26" ht="12.75">
      <c r="A869" s="22"/>
      <c r="B869" s="22"/>
      <c r="C869" s="22"/>
      <c r="D869" s="22"/>
      <c r="E869" s="22"/>
      <c r="F869" s="22"/>
      <c r="G869" s="22"/>
      <c r="H869" s="22"/>
      <c r="I869" s="22"/>
      <c r="J869" s="22"/>
      <c r="K869" s="22"/>
      <c r="L869" s="22"/>
      <c r="M869" s="22"/>
      <c r="N869" s="22"/>
      <c r="O869" s="22"/>
      <c r="P869" s="22"/>
      <c r="Q869" s="22"/>
      <c r="R869" s="22"/>
      <c r="S869" s="22"/>
      <c r="T869" s="22"/>
      <c r="U869" s="2"/>
      <c r="V869" s="2"/>
      <c r="W869" s="2"/>
      <c r="X869" s="2"/>
      <c r="Y869" s="2"/>
      <c r="Z869" s="2"/>
    </row>
    <row r="870" spans="1:26" ht="12.75">
      <c r="A870" s="22"/>
      <c r="B870" s="22"/>
      <c r="C870" s="22"/>
      <c r="D870" s="22"/>
      <c r="E870" s="22"/>
      <c r="F870" s="22"/>
      <c r="G870" s="22"/>
      <c r="H870" s="22"/>
      <c r="I870" s="22"/>
      <c r="J870" s="22"/>
      <c r="K870" s="22"/>
      <c r="L870" s="22"/>
      <c r="M870" s="22"/>
      <c r="N870" s="22"/>
      <c r="O870" s="22"/>
      <c r="P870" s="22"/>
      <c r="Q870" s="22"/>
      <c r="R870" s="22"/>
      <c r="S870" s="22"/>
      <c r="T870" s="22"/>
      <c r="U870" s="2"/>
      <c r="V870" s="2"/>
      <c r="W870" s="2"/>
      <c r="X870" s="2"/>
      <c r="Y870" s="2"/>
      <c r="Z870" s="2"/>
    </row>
    <row r="871" spans="1:26" ht="12.75">
      <c r="A871" s="22"/>
      <c r="B871" s="22"/>
      <c r="C871" s="22"/>
      <c r="D871" s="22"/>
      <c r="E871" s="22"/>
      <c r="F871" s="22"/>
      <c r="G871" s="22"/>
      <c r="H871" s="22"/>
      <c r="I871" s="22"/>
      <c r="J871" s="22"/>
      <c r="K871" s="22"/>
      <c r="L871" s="22"/>
      <c r="M871" s="22"/>
      <c r="N871" s="22"/>
      <c r="O871" s="22"/>
      <c r="P871" s="22"/>
      <c r="Q871" s="22"/>
      <c r="R871" s="22"/>
      <c r="S871" s="22"/>
      <c r="T871" s="22"/>
      <c r="U871" s="2"/>
      <c r="V871" s="2"/>
      <c r="W871" s="2"/>
      <c r="X871" s="2"/>
      <c r="Y871" s="2"/>
      <c r="Z871" s="2"/>
    </row>
    <row r="872" spans="1:26" ht="12.75">
      <c r="A872" s="22"/>
      <c r="B872" s="22"/>
      <c r="C872" s="22"/>
      <c r="D872" s="22"/>
      <c r="E872" s="22"/>
      <c r="F872" s="22"/>
      <c r="G872" s="22"/>
      <c r="H872" s="22"/>
      <c r="I872" s="22"/>
      <c r="J872" s="22"/>
      <c r="K872" s="22"/>
      <c r="L872" s="22"/>
      <c r="M872" s="22"/>
      <c r="N872" s="22"/>
      <c r="O872" s="22"/>
      <c r="P872" s="22"/>
      <c r="Q872" s="22"/>
      <c r="R872" s="22"/>
      <c r="S872" s="22"/>
      <c r="T872" s="22"/>
      <c r="U872" s="2"/>
      <c r="V872" s="2"/>
      <c r="W872" s="2"/>
      <c r="X872" s="2"/>
      <c r="Y872" s="2"/>
      <c r="Z872" s="2"/>
    </row>
    <row r="873" spans="1:26" ht="12.75">
      <c r="A873" s="22"/>
      <c r="B873" s="22"/>
      <c r="C873" s="22"/>
      <c r="D873" s="22"/>
      <c r="E873" s="22"/>
      <c r="F873" s="22"/>
      <c r="G873" s="22"/>
      <c r="H873" s="22"/>
      <c r="I873" s="22"/>
      <c r="J873" s="22"/>
      <c r="K873" s="22"/>
      <c r="L873" s="22"/>
      <c r="M873" s="22"/>
      <c r="N873" s="22"/>
      <c r="O873" s="22"/>
      <c r="P873" s="22"/>
      <c r="Q873" s="22"/>
      <c r="R873" s="22"/>
      <c r="S873" s="22"/>
      <c r="T873" s="22"/>
      <c r="U873" s="2"/>
      <c r="V873" s="2"/>
      <c r="W873" s="2"/>
      <c r="X873" s="2"/>
      <c r="Y873" s="2"/>
      <c r="Z873" s="2"/>
    </row>
    <row r="874" spans="1:26" ht="12.75">
      <c r="A874" s="22"/>
      <c r="B874" s="22"/>
      <c r="C874" s="22"/>
      <c r="D874" s="22"/>
      <c r="E874" s="22"/>
      <c r="F874" s="22"/>
      <c r="G874" s="22"/>
      <c r="H874" s="22"/>
      <c r="I874" s="22"/>
      <c r="J874" s="22"/>
      <c r="K874" s="22"/>
      <c r="L874" s="22"/>
      <c r="M874" s="22"/>
      <c r="N874" s="22"/>
      <c r="O874" s="22"/>
      <c r="P874" s="22"/>
      <c r="Q874" s="22"/>
      <c r="R874" s="22"/>
      <c r="S874" s="22"/>
      <c r="T874" s="22"/>
      <c r="U874" s="2"/>
      <c r="V874" s="2"/>
      <c r="W874" s="2"/>
      <c r="X874" s="2"/>
      <c r="Y874" s="2"/>
      <c r="Z874" s="2"/>
    </row>
    <row r="875" spans="1:26" ht="12.75">
      <c r="A875" s="22"/>
      <c r="B875" s="22"/>
      <c r="C875" s="22"/>
      <c r="D875" s="22"/>
      <c r="E875" s="22"/>
      <c r="F875" s="22"/>
      <c r="G875" s="22"/>
      <c r="H875" s="22"/>
      <c r="I875" s="22"/>
      <c r="J875" s="22"/>
      <c r="K875" s="22"/>
      <c r="L875" s="22"/>
      <c r="M875" s="22"/>
      <c r="N875" s="22"/>
      <c r="O875" s="22"/>
      <c r="P875" s="22"/>
      <c r="Q875" s="22"/>
      <c r="R875" s="22"/>
      <c r="S875" s="22"/>
      <c r="T875" s="22"/>
      <c r="U875" s="2"/>
      <c r="V875" s="2"/>
      <c r="W875" s="2"/>
      <c r="X875" s="2"/>
      <c r="Y875" s="2"/>
      <c r="Z875" s="2"/>
    </row>
    <row r="876" spans="1:26" ht="12.75">
      <c r="A876" s="22"/>
      <c r="B876" s="22"/>
      <c r="C876" s="22"/>
      <c r="D876" s="22"/>
      <c r="E876" s="22"/>
      <c r="F876" s="22"/>
      <c r="G876" s="22"/>
      <c r="H876" s="22"/>
      <c r="I876" s="22"/>
      <c r="J876" s="22"/>
      <c r="K876" s="22"/>
      <c r="L876" s="22"/>
      <c r="M876" s="22"/>
      <c r="N876" s="22"/>
      <c r="O876" s="22"/>
      <c r="P876" s="22"/>
      <c r="Q876" s="22"/>
      <c r="R876" s="22"/>
      <c r="S876" s="22"/>
      <c r="T876" s="22"/>
      <c r="U876" s="2"/>
      <c r="V876" s="2"/>
      <c r="W876" s="2"/>
      <c r="X876" s="2"/>
      <c r="Y876" s="2"/>
      <c r="Z876" s="2"/>
    </row>
    <row r="877" spans="1:26" ht="12.75">
      <c r="A877" s="22"/>
      <c r="B877" s="22"/>
      <c r="C877" s="22"/>
      <c r="D877" s="22"/>
      <c r="E877" s="22"/>
      <c r="F877" s="22"/>
      <c r="G877" s="22"/>
      <c r="H877" s="22"/>
      <c r="I877" s="22"/>
      <c r="J877" s="22"/>
      <c r="K877" s="22"/>
      <c r="L877" s="22"/>
      <c r="M877" s="22"/>
      <c r="N877" s="22"/>
      <c r="O877" s="22"/>
      <c r="P877" s="22"/>
      <c r="Q877" s="22"/>
      <c r="R877" s="22"/>
      <c r="S877" s="22"/>
      <c r="T877" s="22"/>
      <c r="U877" s="2"/>
      <c r="V877" s="2"/>
      <c r="W877" s="2"/>
      <c r="X877" s="2"/>
      <c r="Y877" s="2"/>
      <c r="Z877" s="2"/>
    </row>
    <row r="878" spans="1:26" ht="12.75">
      <c r="A878" s="22"/>
      <c r="B878" s="22"/>
      <c r="C878" s="22"/>
      <c r="D878" s="22"/>
      <c r="E878" s="22"/>
      <c r="F878" s="22"/>
      <c r="G878" s="22"/>
      <c r="H878" s="22"/>
      <c r="I878" s="22"/>
      <c r="J878" s="22"/>
      <c r="K878" s="22"/>
      <c r="L878" s="22"/>
      <c r="M878" s="22"/>
      <c r="N878" s="22"/>
      <c r="O878" s="22"/>
      <c r="P878" s="22"/>
      <c r="Q878" s="22"/>
      <c r="R878" s="22"/>
      <c r="S878" s="22"/>
      <c r="T878" s="22"/>
      <c r="U878" s="2"/>
      <c r="V878" s="2"/>
      <c r="W878" s="2"/>
      <c r="X878" s="2"/>
      <c r="Y878" s="2"/>
      <c r="Z878" s="2"/>
    </row>
    <row r="879" spans="1:26" ht="12.75">
      <c r="A879" s="22"/>
      <c r="B879" s="22"/>
      <c r="C879" s="22"/>
      <c r="D879" s="22"/>
      <c r="E879" s="22"/>
      <c r="F879" s="22"/>
      <c r="G879" s="22"/>
      <c r="H879" s="22"/>
      <c r="I879" s="22"/>
      <c r="J879" s="22"/>
      <c r="K879" s="22"/>
      <c r="L879" s="22"/>
      <c r="M879" s="22"/>
      <c r="N879" s="22"/>
      <c r="O879" s="22"/>
      <c r="P879" s="22"/>
      <c r="Q879" s="22"/>
      <c r="R879" s="22"/>
      <c r="S879" s="22"/>
      <c r="T879" s="22"/>
      <c r="U879" s="2"/>
      <c r="V879" s="2"/>
      <c r="W879" s="2"/>
      <c r="X879" s="2"/>
      <c r="Y879" s="2"/>
      <c r="Z879" s="2"/>
    </row>
    <row r="880" spans="1:26" ht="12.75">
      <c r="A880" s="22"/>
      <c r="B880" s="22"/>
      <c r="C880" s="22"/>
      <c r="D880" s="22"/>
      <c r="E880" s="22"/>
      <c r="F880" s="22"/>
      <c r="G880" s="22"/>
      <c r="H880" s="22"/>
      <c r="I880" s="22"/>
      <c r="J880" s="22"/>
      <c r="K880" s="22"/>
      <c r="L880" s="22"/>
      <c r="M880" s="22"/>
      <c r="N880" s="22"/>
      <c r="O880" s="22"/>
      <c r="P880" s="22"/>
      <c r="Q880" s="22"/>
      <c r="R880" s="22"/>
      <c r="S880" s="22"/>
      <c r="T880" s="22"/>
      <c r="U880" s="2"/>
      <c r="V880" s="2"/>
      <c r="W880" s="2"/>
      <c r="X880" s="2"/>
      <c r="Y880" s="2"/>
      <c r="Z880" s="2"/>
    </row>
    <row r="881" spans="1:26" ht="12.75">
      <c r="A881" s="22"/>
      <c r="B881" s="22"/>
      <c r="C881" s="22"/>
      <c r="D881" s="22"/>
      <c r="E881" s="22"/>
      <c r="F881" s="22"/>
      <c r="G881" s="22"/>
      <c r="H881" s="22"/>
      <c r="I881" s="22"/>
      <c r="J881" s="22"/>
      <c r="K881" s="22"/>
      <c r="L881" s="22"/>
      <c r="M881" s="22"/>
      <c r="N881" s="22"/>
      <c r="O881" s="22"/>
      <c r="P881" s="22"/>
      <c r="Q881" s="22"/>
      <c r="R881" s="22"/>
      <c r="S881" s="22"/>
      <c r="T881" s="22"/>
      <c r="U881" s="2"/>
      <c r="V881" s="2"/>
      <c r="W881" s="2"/>
      <c r="X881" s="2"/>
      <c r="Y881" s="2"/>
      <c r="Z881" s="2"/>
    </row>
    <row r="882" spans="1:26" ht="12.75">
      <c r="A882" s="22"/>
      <c r="B882" s="22"/>
      <c r="C882" s="22"/>
      <c r="D882" s="22"/>
      <c r="E882" s="22"/>
      <c r="F882" s="22"/>
      <c r="G882" s="22"/>
      <c r="H882" s="22"/>
      <c r="I882" s="22"/>
      <c r="J882" s="22"/>
      <c r="K882" s="22"/>
      <c r="L882" s="22"/>
      <c r="M882" s="22"/>
      <c r="N882" s="22"/>
      <c r="O882" s="22"/>
      <c r="P882" s="22"/>
      <c r="Q882" s="22"/>
      <c r="R882" s="22"/>
      <c r="S882" s="22"/>
      <c r="T882" s="22"/>
      <c r="U882" s="2"/>
      <c r="V882" s="2"/>
      <c r="W882" s="2"/>
      <c r="X882" s="2"/>
      <c r="Y882" s="2"/>
      <c r="Z882" s="2"/>
    </row>
    <row r="883" spans="1:26" ht="12.75">
      <c r="A883" s="22"/>
      <c r="B883" s="22"/>
      <c r="C883" s="22"/>
      <c r="D883" s="22"/>
      <c r="E883" s="22"/>
      <c r="F883" s="22"/>
      <c r="G883" s="22"/>
      <c r="H883" s="22"/>
      <c r="I883" s="22"/>
      <c r="J883" s="22"/>
      <c r="K883" s="22"/>
      <c r="L883" s="22"/>
      <c r="M883" s="22"/>
      <c r="N883" s="22"/>
      <c r="O883" s="22"/>
      <c r="P883" s="22"/>
      <c r="Q883" s="22"/>
      <c r="R883" s="22"/>
      <c r="S883" s="22"/>
      <c r="T883" s="22"/>
      <c r="U883" s="2"/>
      <c r="V883" s="2"/>
      <c r="W883" s="2"/>
      <c r="X883" s="2"/>
      <c r="Y883" s="2"/>
      <c r="Z883" s="2"/>
    </row>
    <row r="884" spans="1:26" ht="12.75">
      <c r="A884" s="22"/>
      <c r="B884" s="22"/>
      <c r="C884" s="22"/>
      <c r="D884" s="22"/>
      <c r="E884" s="22"/>
      <c r="F884" s="22"/>
      <c r="G884" s="22"/>
      <c r="H884" s="22"/>
      <c r="I884" s="22"/>
      <c r="J884" s="22"/>
      <c r="K884" s="22"/>
      <c r="L884" s="22"/>
      <c r="M884" s="22"/>
      <c r="N884" s="22"/>
      <c r="O884" s="22"/>
      <c r="P884" s="22"/>
      <c r="Q884" s="22"/>
      <c r="R884" s="22"/>
      <c r="S884" s="22"/>
      <c r="T884" s="22"/>
      <c r="U884" s="2"/>
      <c r="V884" s="2"/>
      <c r="W884" s="2"/>
      <c r="X884" s="2"/>
      <c r="Y884" s="2"/>
      <c r="Z884" s="2"/>
    </row>
    <row r="885" spans="1:26" ht="12.75">
      <c r="A885" s="22"/>
      <c r="B885" s="22"/>
      <c r="C885" s="22"/>
      <c r="D885" s="22"/>
      <c r="E885" s="22"/>
      <c r="F885" s="22"/>
      <c r="G885" s="22"/>
      <c r="H885" s="22"/>
      <c r="I885" s="22"/>
      <c r="J885" s="22"/>
      <c r="K885" s="22"/>
      <c r="L885" s="22"/>
      <c r="M885" s="22"/>
      <c r="N885" s="22"/>
      <c r="O885" s="22"/>
      <c r="P885" s="22"/>
      <c r="Q885" s="22"/>
      <c r="R885" s="22"/>
      <c r="S885" s="22"/>
      <c r="T885" s="22"/>
      <c r="U885" s="2"/>
      <c r="V885" s="2"/>
      <c r="W885" s="2"/>
      <c r="X885" s="2"/>
      <c r="Y885" s="2"/>
      <c r="Z885" s="2"/>
    </row>
    <row r="886" spans="1:26" ht="12.75">
      <c r="A886" s="22"/>
      <c r="B886" s="22"/>
      <c r="C886" s="22"/>
      <c r="D886" s="22"/>
      <c r="E886" s="22"/>
      <c r="F886" s="22"/>
      <c r="G886" s="22"/>
      <c r="H886" s="22"/>
      <c r="I886" s="22"/>
      <c r="J886" s="22"/>
      <c r="K886" s="22"/>
      <c r="L886" s="22"/>
      <c r="M886" s="22"/>
      <c r="N886" s="22"/>
      <c r="O886" s="22"/>
      <c r="P886" s="22"/>
      <c r="Q886" s="22"/>
      <c r="R886" s="22"/>
      <c r="S886" s="22"/>
      <c r="T886" s="22"/>
      <c r="U886" s="2"/>
      <c r="V886" s="2"/>
      <c r="W886" s="2"/>
      <c r="X886" s="2"/>
      <c r="Y886" s="2"/>
      <c r="Z886" s="2"/>
    </row>
    <row r="887" spans="1:26" ht="12.75">
      <c r="A887" s="22"/>
      <c r="B887" s="22"/>
      <c r="C887" s="22"/>
      <c r="D887" s="22"/>
      <c r="E887" s="22"/>
      <c r="F887" s="22"/>
      <c r="G887" s="22"/>
      <c r="H887" s="22"/>
      <c r="I887" s="22"/>
      <c r="J887" s="22"/>
      <c r="K887" s="22"/>
      <c r="L887" s="22"/>
      <c r="M887" s="22"/>
      <c r="N887" s="22"/>
      <c r="O887" s="22"/>
      <c r="P887" s="22"/>
      <c r="Q887" s="22"/>
      <c r="R887" s="22"/>
      <c r="S887" s="22"/>
      <c r="T887" s="22"/>
      <c r="U887" s="2"/>
      <c r="V887" s="2"/>
      <c r="W887" s="2"/>
      <c r="X887" s="2"/>
      <c r="Y887" s="2"/>
      <c r="Z887" s="2"/>
    </row>
    <row r="888" spans="1:26" ht="12.75">
      <c r="A888" s="22"/>
      <c r="B888" s="22"/>
      <c r="C888" s="22"/>
      <c r="D888" s="22"/>
      <c r="E888" s="22"/>
      <c r="F888" s="22"/>
      <c r="G888" s="22"/>
      <c r="H888" s="22"/>
      <c r="I888" s="22"/>
      <c r="J888" s="22"/>
      <c r="K888" s="22"/>
      <c r="L888" s="22"/>
      <c r="M888" s="22"/>
      <c r="N888" s="22"/>
      <c r="O888" s="22"/>
      <c r="P888" s="22"/>
      <c r="Q888" s="22"/>
      <c r="R888" s="22"/>
      <c r="S888" s="22"/>
      <c r="T888" s="22"/>
      <c r="U888" s="2"/>
      <c r="V888" s="2"/>
      <c r="W888" s="2"/>
      <c r="X888" s="2"/>
      <c r="Y888" s="2"/>
      <c r="Z888" s="2"/>
    </row>
    <row r="889" spans="1:26" ht="12.75">
      <c r="A889" s="22"/>
      <c r="B889" s="22"/>
      <c r="C889" s="22"/>
      <c r="D889" s="22"/>
      <c r="E889" s="22"/>
      <c r="F889" s="22"/>
      <c r="G889" s="22"/>
      <c r="H889" s="22"/>
      <c r="I889" s="22"/>
      <c r="J889" s="22"/>
      <c r="K889" s="22"/>
      <c r="L889" s="22"/>
      <c r="M889" s="22"/>
      <c r="N889" s="22"/>
      <c r="O889" s="22"/>
      <c r="P889" s="22"/>
      <c r="Q889" s="22"/>
      <c r="R889" s="22"/>
      <c r="S889" s="22"/>
      <c r="T889" s="22"/>
      <c r="U889" s="2"/>
      <c r="V889" s="2"/>
      <c r="W889" s="2"/>
      <c r="X889" s="2"/>
      <c r="Y889" s="2"/>
      <c r="Z889" s="2"/>
    </row>
    <row r="890" spans="1:26" ht="12.75">
      <c r="A890" s="22"/>
      <c r="B890" s="22"/>
      <c r="C890" s="22"/>
      <c r="D890" s="22"/>
      <c r="E890" s="22"/>
      <c r="F890" s="22"/>
      <c r="G890" s="22"/>
      <c r="H890" s="22"/>
      <c r="I890" s="22"/>
      <c r="J890" s="22"/>
      <c r="K890" s="22"/>
      <c r="L890" s="22"/>
      <c r="M890" s="22"/>
      <c r="N890" s="22"/>
      <c r="O890" s="22"/>
      <c r="P890" s="22"/>
      <c r="Q890" s="22"/>
      <c r="R890" s="22"/>
      <c r="S890" s="22"/>
      <c r="T890" s="22"/>
      <c r="U890" s="2"/>
      <c r="V890" s="2"/>
      <c r="W890" s="2"/>
      <c r="X890" s="2"/>
      <c r="Y890" s="2"/>
      <c r="Z890" s="2"/>
    </row>
    <row r="891" spans="1:26" ht="12.75">
      <c r="A891" s="22"/>
      <c r="B891" s="22"/>
      <c r="C891" s="22"/>
      <c r="D891" s="22"/>
      <c r="E891" s="22"/>
      <c r="F891" s="22"/>
      <c r="G891" s="22"/>
      <c r="H891" s="22"/>
      <c r="I891" s="22"/>
      <c r="J891" s="22"/>
      <c r="K891" s="22"/>
      <c r="L891" s="22"/>
      <c r="M891" s="22"/>
      <c r="N891" s="22"/>
      <c r="O891" s="22"/>
      <c r="P891" s="22"/>
      <c r="Q891" s="22"/>
      <c r="R891" s="22"/>
      <c r="S891" s="22"/>
      <c r="T891" s="22"/>
      <c r="U891" s="2"/>
      <c r="V891" s="2"/>
      <c r="W891" s="2"/>
      <c r="X891" s="2"/>
      <c r="Y891" s="2"/>
      <c r="Z891" s="2"/>
    </row>
    <row r="892" spans="1:26" ht="12.75">
      <c r="A892" s="22"/>
      <c r="B892" s="22"/>
      <c r="C892" s="22"/>
      <c r="D892" s="22"/>
      <c r="E892" s="22"/>
      <c r="F892" s="22"/>
      <c r="G892" s="22"/>
      <c r="H892" s="22"/>
      <c r="I892" s="22"/>
      <c r="J892" s="22"/>
      <c r="K892" s="22"/>
      <c r="L892" s="22"/>
      <c r="M892" s="22"/>
      <c r="N892" s="22"/>
      <c r="O892" s="22"/>
      <c r="P892" s="22"/>
      <c r="Q892" s="22"/>
      <c r="R892" s="22"/>
      <c r="S892" s="22"/>
      <c r="T892" s="22"/>
      <c r="U892" s="2"/>
      <c r="V892" s="2"/>
      <c r="W892" s="2"/>
      <c r="X892" s="2"/>
      <c r="Y892" s="2"/>
      <c r="Z892" s="2"/>
    </row>
    <row r="893" spans="1:26" ht="12.75">
      <c r="A893" s="22"/>
      <c r="B893" s="22"/>
      <c r="C893" s="22"/>
      <c r="D893" s="22"/>
      <c r="E893" s="22"/>
      <c r="F893" s="22"/>
      <c r="G893" s="22"/>
      <c r="H893" s="22"/>
      <c r="I893" s="22"/>
      <c r="J893" s="22"/>
      <c r="K893" s="22"/>
      <c r="L893" s="22"/>
      <c r="M893" s="22"/>
      <c r="N893" s="22"/>
      <c r="O893" s="22"/>
      <c r="P893" s="22"/>
      <c r="Q893" s="22"/>
      <c r="R893" s="22"/>
      <c r="S893" s="22"/>
      <c r="T893" s="22"/>
      <c r="U893" s="2"/>
      <c r="V893" s="2"/>
      <c r="W893" s="2"/>
      <c r="X893" s="2"/>
      <c r="Y893" s="2"/>
      <c r="Z893" s="2"/>
    </row>
    <row r="894" spans="1:26" ht="12.75">
      <c r="A894" s="22"/>
      <c r="B894" s="22"/>
      <c r="C894" s="22"/>
      <c r="D894" s="22"/>
      <c r="E894" s="22"/>
      <c r="F894" s="22"/>
      <c r="G894" s="22"/>
      <c r="H894" s="22"/>
      <c r="I894" s="22"/>
      <c r="J894" s="22"/>
      <c r="K894" s="22"/>
      <c r="L894" s="22"/>
      <c r="M894" s="22"/>
      <c r="N894" s="22"/>
      <c r="O894" s="22"/>
      <c r="P894" s="22"/>
      <c r="Q894" s="22"/>
      <c r="R894" s="22"/>
      <c r="S894" s="22"/>
      <c r="T894" s="22"/>
      <c r="U894" s="2"/>
      <c r="V894" s="2"/>
      <c r="W894" s="2"/>
      <c r="X894" s="2"/>
      <c r="Y894" s="2"/>
      <c r="Z894" s="2"/>
    </row>
    <row r="895" spans="1:26" ht="12.75">
      <c r="A895" s="22"/>
      <c r="B895" s="22"/>
      <c r="C895" s="22"/>
      <c r="D895" s="22"/>
      <c r="E895" s="22"/>
      <c r="F895" s="22"/>
      <c r="G895" s="22"/>
      <c r="H895" s="22"/>
      <c r="I895" s="22"/>
      <c r="J895" s="22"/>
      <c r="K895" s="22"/>
      <c r="L895" s="22"/>
      <c r="M895" s="22"/>
      <c r="N895" s="22"/>
      <c r="O895" s="22"/>
      <c r="P895" s="22"/>
      <c r="Q895" s="22"/>
      <c r="R895" s="22"/>
      <c r="S895" s="22"/>
      <c r="T895" s="22"/>
      <c r="U895" s="2"/>
      <c r="V895" s="2"/>
      <c r="W895" s="2"/>
      <c r="X895" s="2"/>
      <c r="Y895" s="2"/>
      <c r="Z895" s="2"/>
    </row>
    <row r="896" spans="1:26" ht="12.75">
      <c r="A896" s="22"/>
      <c r="B896" s="22"/>
      <c r="C896" s="22"/>
      <c r="D896" s="22"/>
      <c r="E896" s="22"/>
      <c r="F896" s="22"/>
      <c r="G896" s="22"/>
      <c r="H896" s="22"/>
      <c r="I896" s="22"/>
      <c r="J896" s="22"/>
      <c r="K896" s="22"/>
      <c r="L896" s="22"/>
      <c r="M896" s="22"/>
      <c r="N896" s="22"/>
      <c r="O896" s="22"/>
      <c r="P896" s="22"/>
      <c r="Q896" s="22"/>
      <c r="R896" s="22"/>
      <c r="S896" s="22"/>
      <c r="T896" s="22"/>
      <c r="U896" s="2"/>
      <c r="V896" s="2"/>
      <c r="W896" s="2"/>
      <c r="X896" s="2"/>
      <c r="Y896" s="2"/>
      <c r="Z896" s="2"/>
    </row>
    <row r="897" spans="1:26" ht="12.75">
      <c r="A897" s="22"/>
      <c r="B897" s="22"/>
      <c r="C897" s="22"/>
      <c r="D897" s="22"/>
      <c r="E897" s="22"/>
      <c r="F897" s="22"/>
      <c r="G897" s="22"/>
      <c r="H897" s="22"/>
      <c r="I897" s="22"/>
      <c r="J897" s="22"/>
      <c r="K897" s="22"/>
      <c r="L897" s="22"/>
      <c r="M897" s="22"/>
      <c r="N897" s="22"/>
      <c r="O897" s="22"/>
      <c r="P897" s="22"/>
      <c r="Q897" s="22"/>
      <c r="R897" s="22"/>
      <c r="S897" s="22"/>
      <c r="T897" s="22"/>
      <c r="U897" s="2"/>
      <c r="V897" s="2"/>
      <c r="W897" s="2"/>
      <c r="X897" s="2"/>
      <c r="Y897" s="2"/>
      <c r="Z897" s="2"/>
    </row>
    <row r="898" spans="1:26" ht="12.75">
      <c r="A898" s="22"/>
      <c r="B898" s="22"/>
      <c r="C898" s="22"/>
      <c r="D898" s="22"/>
      <c r="E898" s="22"/>
      <c r="F898" s="22"/>
      <c r="G898" s="22"/>
      <c r="H898" s="22"/>
      <c r="I898" s="22"/>
      <c r="J898" s="22"/>
      <c r="K898" s="22"/>
      <c r="L898" s="22"/>
      <c r="M898" s="22"/>
      <c r="N898" s="22"/>
      <c r="O898" s="22"/>
      <c r="P898" s="22"/>
      <c r="Q898" s="22"/>
      <c r="R898" s="22"/>
      <c r="S898" s="22"/>
      <c r="T898" s="22"/>
      <c r="U898" s="2"/>
      <c r="V898" s="2"/>
      <c r="W898" s="2"/>
      <c r="X898" s="2"/>
      <c r="Y898" s="2"/>
      <c r="Z898" s="2"/>
    </row>
    <row r="899" spans="1:26" ht="12.75">
      <c r="A899" s="22"/>
      <c r="B899" s="22"/>
      <c r="C899" s="22"/>
      <c r="D899" s="22"/>
      <c r="E899" s="22"/>
      <c r="F899" s="22"/>
      <c r="G899" s="22"/>
      <c r="H899" s="22"/>
      <c r="I899" s="22"/>
      <c r="J899" s="22"/>
      <c r="K899" s="22"/>
      <c r="L899" s="22"/>
      <c r="M899" s="22"/>
      <c r="N899" s="22"/>
      <c r="O899" s="22"/>
      <c r="P899" s="22"/>
      <c r="Q899" s="22"/>
      <c r="R899" s="22"/>
      <c r="S899" s="22"/>
      <c r="T899" s="22"/>
      <c r="U899" s="2"/>
      <c r="V899" s="2"/>
      <c r="W899" s="2"/>
      <c r="X899" s="2"/>
      <c r="Y899" s="2"/>
      <c r="Z899" s="2"/>
    </row>
    <row r="900" spans="1:26" ht="12.75">
      <c r="A900" s="22"/>
      <c r="B900" s="22"/>
      <c r="C900" s="22"/>
      <c r="D900" s="22"/>
      <c r="E900" s="22"/>
      <c r="F900" s="22"/>
      <c r="G900" s="22"/>
      <c r="H900" s="22"/>
      <c r="I900" s="22"/>
      <c r="J900" s="22"/>
      <c r="K900" s="22"/>
      <c r="L900" s="22"/>
      <c r="M900" s="22"/>
      <c r="N900" s="22"/>
      <c r="O900" s="22"/>
      <c r="P900" s="22"/>
      <c r="Q900" s="22"/>
      <c r="R900" s="22"/>
      <c r="S900" s="22"/>
      <c r="T900" s="22"/>
      <c r="U900" s="2"/>
      <c r="V900" s="2"/>
      <c r="W900" s="2"/>
      <c r="X900" s="2"/>
      <c r="Y900" s="2"/>
      <c r="Z900" s="2"/>
    </row>
    <row r="901" spans="1:26" ht="12.75">
      <c r="A901" s="22"/>
      <c r="B901" s="22"/>
      <c r="C901" s="22"/>
      <c r="D901" s="22"/>
      <c r="E901" s="22"/>
      <c r="F901" s="22"/>
      <c r="G901" s="22"/>
      <c r="H901" s="22"/>
      <c r="I901" s="22"/>
      <c r="J901" s="22"/>
      <c r="K901" s="22"/>
      <c r="L901" s="22"/>
      <c r="M901" s="22"/>
      <c r="N901" s="22"/>
      <c r="O901" s="22"/>
      <c r="P901" s="22"/>
      <c r="Q901" s="22"/>
      <c r="R901" s="22"/>
      <c r="S901" s="22"/>
      <c r="T901" s="22"/>
      <c r="U901" s="2"/>
      <c r="V901" s="2"/>
      <c r="W901" s="2"/>
      <c r="X901" s="2"/>
      <c r="Y901" s="2"/>
      <c r="Z901" s="2"/>
    </row>
    <row r="902" spans="1:26" ht="12.75">
      <c r="A902" s="22"/>
      <c r="B902" s="22"/>
      <c r="C902" s="22"/>
      <c r="D902" s="22"/>
      <c r="E902" s="22"/>
      <c r="F902" s="22"/>
      <c r="G902" s="22"/>
      <c r="H902" s="22"/>
      <c r="I902" s="22"/>
      <c r="J902" s="22"/>
      <c r="K902" s="22"/>
      <c r="L902" s="22"/>
      <c r="M902" s="22"/>
      <c r="N902" s="22"/>
      <c r="O902" s="22"/>
      <c r="P902" s="22"/>
      <c r="Q902" s="22"/>
      <c r="R902" s="22"/>
      <c r="S902" s="22"/>
      <c r="T902" s="22"/>
      <c r="U902" s="2"/>
      <c r="V902" s="2"/>
      <c r="W902" s="2"/>
      <c r="X902" s="2"/>
      <c r="Y902" s="2"/>
      <c r="Z902" s="2"/>
    </row>
    <row r="903" spans="1:26" ht="12.75">
      <c r="A903" s="22"/>
      <c r="B903" s="22"/>
      <c r="C903" s="22"/>
      <c r="D903" s="22"/>
      <c r="E903" s="22"/>
      <c r="F903" s="22"/>
      <c r="G903" s="22"/>
      <c r="H903" s="22"/>
      <c r="I903" s="22"/>
      <c r="J903" s="22"/>
      <c r="K903" s="22"/>
      <c r="L903" s="22"/>
      <c r="M903" s="22"/>
      <c r="N903" s="22"/>
      <c r="O903" s="22"/>
      <c r="P903" s="22"/>
      <c r="Q903" s="22"/>
      <c r="R903" s="22"/>
      <c r="S903" s="22"/>
      <c r="T903" s="22"/>
      <c r="U903" s="2"/>
      <c r="V903" s="2"/>
      <c r="W903" s="2"/>
      <c r="X903" s="2"/>
      <c r="Y903" s="2"/>
      <c r="Z903" s="2"/>
    </row>
    <row r="904" spans="1:26" ht="12.75">
      <c r="A904" s="22"/>
      <c r="B904" s="22"/>
      <c r="C904" s="22"/>
      <c r="D904" s="22"/>
      <c r="E904" s="22"/>
      <c r="F904" s="22"/>
      <c r="G904" s="22"/>
      <c r="H904" s="22"/>
      <c r="I904" s="22"/>
      <c r="J904" s="22"/>
      <c r="K904" s="22"/>
      <c r="L904" s="22"/>
      <c r="M904" s="22"/>
      <c r="N904" s="22"/>
      <c r="O904" s="22"/>
      <c r="P904" s="22"/>
      <c r="Q904" s="22"/>
      <c r="R904" s="22"/>
      <c r="S904" s="22"/>
      <c r="T904" s="22"/>
      <c r="U904" s="2"/>
      <c r="V904" s="2"/>
      <c r="W904" s="2"/>
      <c r="X904" s="2"/>
      <c r="Y904" s="2"/>
      <c r="Z904" s="2"/>
    </row>
    <row r="905" spans="1:26" ht="12.75">
      <c r="A905" s="22"/>
      <c r="B905" s="22"/>
      <c r="C905" s="22"/>
      <c r="D905" s="22"/>
      <c r="E905" s="22"/>
      <c r="F905" s="22"/>
      <c r="G905" s="22"/>
      <c r="H905" s="22"/>
      <c r="I905" s="22"/>
      <c r="J905" s="22"/>
      <c r="K905" s="22"/>
      <c r="L905" s="22"/>
      <c r="M905" s="22"/>
      <c r="N905" s="22"/>
      <c r="O905" s="22"/>
      <c r="P905" s="22"/>
      <c r="Q905" s="22"/>
      <c r="R905" s="22"/>
      <c r="S905" s="22"/>
      <c r="T905" s="22"/>
      <c r="U905" s="2"/>
      <c r="V905" s="2"/>
      <c r="W905" s="2"/>
      <c r="X905" s="2"/>
      <c r="Y905" s="2"/>
      <c r="Z905" s="2"/>
    </row>
    <row r="906" spans="1:26" ht="12.75">
      <c r="A906" s="22"/>
      <c r="B906" s="22"/>
      <c r="C906" s="22"/>
      <c r="D906" s="22"/>
      <c r="E906" s="22"/>
      <c r="F906" s="22"/>
      <c r="G906" s="22"/>
      <c r="H906" s="22"/>
      <c r="I906" s="22"/>
      <c r="J906" s="22"/>
      <c r="K906" s="22"/>
      <c r="L906" s="22"/>
      <c r="M906" s="22"/>
      <c r="N906" s="22"/>
      <c r="O906" s="22"/>
      <c r="P906" s="22"/>
      <c r="Q906" s="22"/>
      <c r="R906" s="22"/>
      <c r="S906" s="22"/>
      <c r="T906" s="22"/>
      <c r="U906" s="2"/>
      <c r="V906" s="2"/>
      <c r="W906" s="2"/>
      <c r="X906" s="2"/>
      <c r="Y906" s="2"/>
      <c r="Z906" s="2"/>
    </row>
    <row r="907" spans="1:26" ht="12.75">
      <c r="A907" s="22"/>
      <c r="B907" s="22"/>
      <c r="C907" s="22"/>
      <c r="D907" s="22"/>
      <c r="E907" s="22"/>
      <c r="F907" s="22"/>
      <c r="G907" s="22"/>
      <c r="H907" s="22"/>
      <c r="I907" s="22"/>
      <c r="J907" s="22"/>
      <c r="K907" s="22"/>
      <c r="L907" s="22"/>
      <c r="M907" s="22"/>
      <c r="N907" s="22"/>
      <c r="O907" s="22"/>
      <c r="P907" s="22"/>
      <c r="Q907" s="22"/>
      <c r="R907" s="22"/>
      <c r="S907" s="22"/>
      <c r="T907" s="22"/>
      <c r="U907" s="2"/>
      <c r="V907" s="2"/>
      <c r="W907" s="2"/>
      <c r="X907" s="2"/>
      <c r="Y907" s="2"/>
      <c r="Z907" s="2"/>
    </row>
    <row r="908" spans="1:26" ht="12.75">
      <c r="A908" s="22"/>
      <c r="B908" s="22"/>
      <c r="C908" s="22"/>
      <c r="D908" s="22"/>
      <c r="E908" s="22"/>
      <c r="F908" s="22"/>
      <c r="G908" s="22"/>
      <c r="H908" s="22"/>
      <c r="I908" s="22"/>
      <c r="J908" s="22"/>
      <c r="K908" s="22"/>
      <c r="L908" s="22"/>
      <c r="M908" s="22"/>
      <c r="N908" s="22"/>
      <c r="O908" s="22"/>
      <c r="P908" s="22"/>
      <c r="Q908" s="22"/>
      <c r="R908" s="22"/>
      <c r="S908" s="22"/>
      <c r="T908" s="22"/>
      <c r="U908" s="2"/>
      <c r="V908" s="2"/>
      <c r="W908" s="2"/>
      <c r="X908" s="2"/>
      <c r="Y908" s="2"/>
      <c r="Z908" s="2"/>
    </row>
    <row r="909" spans="1:26" ht="12.75">
      <c r="A909" s="22"/>
      <c r="B909" s="22"/>
      <c r="C909" s="22"/>
      <c r="D909" s="22"/>
      <c r="E909" s="22"/>
      <c r="F909" s="22"/>
      <c r="G909" s="22"/>
      <c r="H909" s="22"/>
      <c r="I909" s="22"/>
      <c r="J909" s="22"/>
      <c r="K909" s="22"/>
      <c r="L909" s="22"/>
      <c r="M909" s="22"/>
      <c r="N909" s="22"/>
      <c r="O909" s="22"/>
      <c r="P909" s="22"/>
      <c r="Q909" s="22"/>
      <c r="R909" s="22"/>
      <c r="S909" s="22"/>
      <c r="T909" s="22"/>
      <c r="U909" s="2"/>
      <c r="V909" s="2"/>
      <c r="W909" s="2"/>
      <c r="X909" s="2"/>
      <c r="Y909" s="2"/>
      <c r="Z909" s="2"/>
    </row>
    <row r="910" spans="1:26" ht="12.75">
      <c r="A910" s="22"/>
      <c r="B910" s="22"/>
      <c r="C910" s="22"/>
      <c r="D910" s="22"/>
      <c r="E910" s="22"/>
      <c r="F910" s="22"/>
      <c r="G910" s="22"/>
      <c r="H910" s="22"/>
      <c r="I910" s="22"/>
      <c r="J910" s="22"/>
      <c r="K910" s="22"/>
      <c r="L910" s="22"/>
      <c r="M910" s="22"/>
      <c r="N910" s="22"/>
      <c r="O910" s="22"/>
      <c r="P910" s="22"/>
      <c r="Q910" s="22"/>
      <c r="R910" s="22"/>
      <c r="S910" s="22"/>
      <c r="T910" s="22"/>
      <c r="U910" s="2"/>
      <c r="V910" s="2"/>
      <c r="W910" s="2"/>
      <c r="X910" s="2"/>
      <c r="Y910" s="2"/>
      <c r="Z910" s="2"/>
    </row>
    <row r="911" spans="1:26" ht="12.75">
      <c r="A911" s="22"/>
      <c r="B911" s="22"/>
      <c r="C911" s="22"/>
      <c r="D911" s="22"/>
      <c r="E911" s="22"/>
      <c r="F911" s="22"/>
      <c r="G911" s="22"/>
      <c r="H911" s="22"/>
      <c r="I911" s="22"/>
      <c r="J911" s="22"/>
      <c r="K911" s="22"/>
      <c r="L911" s="22"/>
      <c r="M911" s="22"/>
      <c r="N911" s="22"/>
      <c r="O911" s="22"/>
      <c r="P911" s="22"/>
      <c r="Q911" s="22"/>
      <c r="R911" s="22"/>
      <c r="S911" s="22"/>
      <c r="T911" s="22"/>
      <c r="U911" s="2"/>
      <c r="V911" s="2"/>
      <c r="W911" s="2"/>
      <c r="X911" s="2"/>
      <c r="Y911" s="2"/>
      <c r="Z911" s="2"/>
    </row>
    <row r="912" spans="1:26" ht="12.75">
      <c r="A912" s="22"/>
      <c r="B912" s="22"/>
      <c r="C912" s="22"/>
      <c r="D912" s="22"/>
      <c r="E912" s="22"/>
      <c r="F912" s="22"/>
      <c r="G912" s="22"/>
      <c r="H912" s="22"/>
      <c r="I912" s="22"/>
      <c r="J912" s="22"/>
      <c r="K912" s="22"/>
      <c r="L912" s="22"/>
      <c r="M912" s="22"/>
      <c r="N912" s="22"/>
      <c r="O912" s="22"/>
      <c r="P912" s="22"/>
      <c r="Q912" s="22"/>
      <c r="R912" s="22"/>
      <c r="S912" s="22"/>
      <c r="T912" s="22"/>
      <c r="U912" s="2"/>
      <c r="V912" s="2"/>
      <c r="W912" s="2"/>
      <c r="X912" s="2"/>
      <c r="Y912" s="2"/>
      <c r="Z912" s="2"/>
    </row>
    <row r="913" spans="1:26" ht="12.75">
      <c r="A913" s="22"/>
      <c r="B913" s="22"/>
      <c r="C913" s="22"/>
      <c r="D913" s="22"/>
      <c r="E913" s="22"/>
      <c r="F913" s="22"/>
      <c r="G913" s="22"/>
      <c r="H913" s="22"/>
      <c r="I913" s="22"/>
      <c r="J913" s="22"/>
      <c r="K913" s="22"/>
      <c r="L913" s="22"/>
      <c r="M913" s="22"/>
      <c r="N913" s="22"/>
      <c r="O913" s="22"/>
      <c r="P913" s="22"/>
      <c r="Q913" s="22"/>
      <c r="R913" s="22"/>
      <c r="S913" s="22"/>
      <c r="T913" s="22"/>
      <c r="U913" s="2"/>
      <c r="V913" s="2"/>
      <c r="W913" s="2"/>
      <c r="X913" s="2"/>
      <c r="Y913" s="2"/>
      <c r="Z913" s="2"/>
    </row>
    <row r="914" spans="1:26" ht="12.75">
      <c r="A914" s="22"/>
      <c r="B914" s="22"/>
      <c r="C914" s="22"/>
      <c r="D914" s="22"/>
      <c r="E914" s="22"/>
      <c r="F914" s="22"/>
      <c r="G914" s="22"/>
      <c r="H914" s="22"/>
      <c r="I914" s="22"/>
      <c r="J914" s="22"/>
      <c r="K914" s="22"/>
      <c r="L914" s="22"/>
      <c r="M914" s="22"/>
      <c r="N914" s="22"/>
      <c r="O914" s="22"/>
      <c r="P914" s="22"/>
      <c r="Q914" s="22"/>
      <c r="R914" s="22"/>
      <c r="S914" s="22"/>
      <c r="T914" s="22"/>
      <c r="U914" s="2"/>
      <c r="V914" s="2"/>
      <c r="W914" s="2"/>
      <c r="X914" s="2"/>
      <c r="Y914" s="2"/>
      <c r="Z914" s="2"/>
    </row>
    <row r="915" spans="1:26" ht="12.75">
      <c r="A915" s="22"/>
      <c r="B915" s="22"/>
      <c r="C915" s="22"/>
      <c r="D915" s="22"/>
      <c r="E915" s="22"/>
      <c r="F915" s="22"/>
      <c r="G915" s="22"/>
      <c r="H915" s="22"/>
      <c r="I915" s="22"/>
      <c r="J915" s="22"/>
      <c r="K915" s="22"/>
      <c r="L915" s="22"/>
      <c r="M915" s="22"/>
      <c r="N915" s="22"/>
      <c r="O915" s="22"/>
      <c r="P915" s="22"/>
      <c r="Q915" s="22"/>
      <c r="R915" s="22"/>
      <c r="S915" s="22"/>
      <c r="T915" s="22"/>
      <c r="U915" s="2"/>
      <c r="V915" s="2"/>
      <c r="W915" s="2"/>
      <c r="X915" s="2"/>
      <c r="Y915" s="2"/>
      <c r="Z915" s="2"/>
    </row>
    <row r="916" spans="1:26" ht="12.75">
      <c r="A916" s="22"/>
      <c r="B916" s="22"/>
      <c r="C916" s="22"/>
      <c r="D916" s="22"/>
      <c r="E916" s="22"/>
      <c r="F916" s="22"/>
      <c r="G916" s="22"/>
      <c r="H916" s="22"/>
      <c r="I916" s="22"/>
      <c r="J916" s="22"/>
      <c r="K916" s="22"/>
      <c r="L916" s="22"/>
      <c r="M916" s="22"/>
      <c r="N916" s="22"/>
      <c r="O916" s="22"/>
      <c r="P916" s="22"/>
      <c r="Q916" s="22"/>
      <c r="R916" s="22"/>
      <c r="S916" s="22"/>
      <c r="T916" s="22"/>
      <c r="U916" s="2"/>
      <c r="V916" s="2"/>
      <c r="W916" s="2"/>
      <c r="X916" s="2"/>
      <c r="Y916" s="2"/>
      <c r="Z916" s="2"/>
    </row>
    <row r="917" spans="1:26" ht="12.75">
      <c r="A917" s="22"/>
      <c r="B917" s="22"/>
      <c r="C917" s="22"/>
      <c r="D917" s="22"/>
      <c r="E917" s="22"/>
      <c r="F917" s="22"/>
      <c r="G917" s="22"/>
      <c r="H917" s="22"/>
      <c r="I917" s="22"/>
      <c r="J917" s="22"/>
      <c r="K917" s="22"/>
      <c r="L917" s="22"/>
      <c r="M917" s="22"/>
      <c r="N917" s="22"/>
      <c r="O917" s="22"/>
      <c r="P917" s="22"/>
      <c r="Q917" s="22"/>
      <c r="R917" s="22"/>
      <c r="S917" s="22"/>
      <c r="T917" s="22"/>
      <c r="U917" s="2"/>
      <c r="V917" s="2"/>
      <c r="W917" s="2"/>
      <c r="X917" s="2"/>
      <c r="Y917" s="2"/>
      <c r="Z917" s="2"/>
    </row>
    <row r="918" spans="1:26" ht="12.75">
      <c r="A918" s="22"/>
      <c r="B918" s="22"/>
      <c r="C918" s="22"/>
      <c r="D918" s="22"/>
      <c r="E918" s="22"/>
      <c r="F918" s="22"/>
      <c r="G918" s="22"/>
      <c r="H918" s="22"/>
      <c r="I918" s="22"/>
      <c r="J918" s="22"/>
      <c r="K918" s="22"/>
      <c r="L918" s="22"/>
      <c r="M918" s="22"/>
      <c r="N918" s="22"/>
      <c r="O918" s="22"/>
      <c r="P918" s="22"/>
      <c r="Q918" s="22"/>
      <c r="R918" s="22"/>
      <c r="S918" s="22"/>
      <c r="T918" s="22"/>
      <c r="U918" s="2"/>
      <c r="V918" s="2"/>
      <c r="W918" s="2"/>
      <c r="X918" s="2"/>
      <c r="Y918" s="2"/>
      <c r="Z918" s="2"/>
    </row>
    <row r="919" spans="1:26" ht="12.75">
      <c r="A919" s="22"/>
      <c r="B919" s="22"/>
      <c r="C919" s="22"/>
      <c r="D919" s="22"/>
      <c r="E919" s="22"/>
      <c r="F919" s="22"/>
      <c r="G919" s="22"/>
      <c r="H919" s="22"/>
      <c r="I919" s="22"/>
      <c r="J919" s="22"/>
      <c r="K919" s="22"/>
      <c r="L919" s="22"/>
      <c r="M919" s="22"/>
      <c r="N919" s="22"/>
      <c r="O919" s="22"/>
      <c r="P919" s="22"/>
      <c r="Q919" s="22"/>
      <c r="R919" s="22"/>
      <c r="S919" s="22"/>
      <c r="T919" s="22"/>
      <c r="U919" s="2"/>
      <c r="V919" s="2"/>
      <c r="W919" s="2"/>
      <c r="X919" s="2"/>
      <c r="Y919" s="2"/>
      <c r="Z919" s="2"/>
    </row>
    <row r="920" spans="1:26" ht="12.75">
      <c r="A920" s="22"/>
      <c r="B920" s="22"/>
      <c r="C920" s="22"/>
      <c r="D920" s="22"/>
      <c r="E920" s="22"/>
      <c r="F920" s="22"/>
      <c r="G920" s="22"/>
      <c r="H920" s="22"/>
      <c r="I920" s="22"/>
      <c r="J920" s="22"/>
      <c r="K920" s="22"/>
      <c r="L920" s="22"/>
      <c r="M920" s="22"/>
      <c r="N920" s="22"/>
      <c r="O920" s="22"/>
      <c r="P920" s="22"/>
      <c r="Q920" s="22"/>
      <c r="R920" s="22"/>
      <c r="S920" s="22"/>
      <c r="T920" s="22"/>
      <c r="U920" s="2"/>
      <c r="V920" s="2"/>
      <c r="W920" s="2"/>
      <c r="X920" s="2"/>
      <c r="Y920" s="2"/>
      <c r="Z920" s="2"/>
    </row>
    <row r="921" spans="1:26" ht="12.75">
      <c r="A921" s="22"/>
      <c r="B921" s="22"/>
      <c r="C921" s="22"/>
      <c r="D921" s="22"/>
      <c r="E921" s="22"/>
      <c r="F921" s="22"/>
      <c r="G921" s="22"/>
      <c r="H921" s="22"/>
      <c r="I921" s="22"/>
      <c r="J921" s="22"/>
      <c r="K921" s="22"/>
      <c r="L921" s="22"/>
      <c r="M921" s="22"/>
      <c r="N921" s="22"/>
      <c r="O921" s="22"/>
      <c r="P921" s="22"/>
      <c r="Q921" s="22"/>
      <c r="R921" s="22"/>
      <c r="S921" s="22"/>
      <c r="T921" s="22"/>
      <c r="U921" s="2"/>
      <c r="V921" s="2"/>
      <c r="W921" s="2"/>
      <c r="X921" s="2"/>
      <c r="Y921" s="2"/>
      <c r="Z921" s="2"/>
    </row>
    <row r="922" spans="1:26" ht="12.75">
      <c r="A922" s="22"/>
      <c r="B922" s="22"/>
      <c r="C922" s="22"/>
      <c r="D922" s="22"/>
      <c r="E922" s="22"/>
      <c r="F922" s="22"/>
      <c r="G922" s="22"/>
      <c r="H922" s="22"/>
      <c r="I922" s="22"/>
      <c r="J922" s="22"/>
      <c r="K922" s="22"/>
      <c r="L922" s="22"/>
      <c r="M922" s="22"/>
      <c r="N922" s="22"/>
      <c r="O922" s="22"/>
      <c r="P922" s="22"/>
      <c r="Q922" s="22"/>
      <c r="R922" s="22"/>
      <c r="S922" s="22"/>
      <c r="T922" s="22"/>
      <c r="U922" s="2"/>
      <c r="V922" s="2"/>
      <c r="W922" s="2"/>
      <c r="X922" s="2"/>
      <c r="Y922" s="2"/>
      <c r="Z922" s="2"/>
    </row>
    <row r="923" spans="1:26" ht="12.75">
      <c r="A923" s="22"/>
      <c r="B923" s="22"/>
      <c r="C923" s="22"/>
      <c r="D923" s="22"/>
      <c r="E923" s="22"/>
      <c r="F923" s="22"/>
      <c r="G923" s="22"/>
      <c r="H923" s="22"/>
      <c r="I923" s="22"/>
      <c r="J923" s="22"/>
      <c r="K923" s="22"/>
      <c r="L923" s="22"/>
      <c r="M923" s="22"/>
      <c r="N923" s="22"/>
      <c r="O923" s="22"/>
      <c r="P923" s="22"/>
      <c r="Q923" s="22"/>
      <c r="R923" s="22"/>
      <c r="S923" s="22"/>
      <c r="T923" s="22"/>
      <c r="U923" s="2"/>
      <c r="V923" s="2"/>
      <c r="W923" s="2"/>
      <c r="X923" s="2"/>
      <c r="Y923" s="2"/>
      <c r="Z923" s="2"/>
    </row>
    <row r="924" spans="1:26" ht="12.75">
      <c r="A924" s="22"/>
      <c r="B924" s="22"/>
      <c r="C924" s="22"/>
      <c r="D924" s="22"/>
      <c r="E924" s="22"/>
      <c r="F924" s="22"/>
      <c r="G924" s="22"/>
      <c r="H924" s="22"/>
      <c r="I924" s="22"/>
      <c r="J924" s="22"/>
      <c r="K924" s="22"/>
      <c r="L924" s="22"/>
      <c r="M924" s="22"/>
      <c r="N924" s="22"/>
      <c r="O924" s="22"/>
      <c r="P924" s="22"/>
      <c r="Q924" s="22"/>
      <c r="R924" s="22"/>
      <c r="S924" s="22"/>
      <c r="T924" s="22"/>
      <c r="U924" s="2"/>
      <c r="V924" s="2"/>
      <c r="W924" s="2"/>
      <c r="X924" s="2"/>
      <c r="Y924" s="2"/>
      <c r="Z924" s="2"/>
    </row>
    <row r="925" spans="1:26" ht="12.75">
      <c r="A925" s="22"/>
      <c r="B925" s="22"/>
      <c r="C925" s="22"/>
      <c r="D925" s="22"/>
      <c r="E925" s="22"/>
      <c r="F925" s="22"/>
      <c r="G925" s="22"/>
      <c r="H925" s="22"/>
      <c r="I925" s="22"/>
      <c r="J925" s="22"/>
      <c r="K925" s="22"/>
      <c r="L925" s="22"/>
      <c r="M925" s="22"/>
      <c r="N925" s="22"/>
      <c r="O925" s="22"/>
      <c r="P925" s="22"/>
      <c r="Q925" s="22"/>
      <c r="R925" s="22"/>
      <c r="S925" s="22"/>
      <c r="T925" s="22"/>
      <c r="U925" s="2"/>
      <c r="V925" s="2"/>
      <c r="W925" s="2"/>
      <c r="X925" s="2"/>
      <c r="Y925" s="2"/>
      <c r="Z925" s="2"/>
    </row>
    <row r="926" spans="1:26" ht="12.75">
      <c r="A926" s="22"/>
      <c r="B926" s="22"/>
      <c r="C926" s="22"/>
      <c r="D926" s="22"/>
      <c r="E926" s="22"/>
      <c r="F926" s="22"/>
      <c r="G926" s="22"/>
      <c r="H926" s="22"/>
      <c r="I926" s="22"/>
      <c r="J926" s="22"/>
      <c r="K926" s="22"/>
      <c r="L926" s="22"/>
      <c r="M926" s="22"/>
      <c r="N926" s="22"/>
      <c r="O926" s="22"/>
      <c r="P926" s="22"/>
      <c r="Q926" s="22"/>
      <c r="R926" s="22"/>
      <c r="S926" s="22"/>
      <c r="T926" s="22"/>
      <c r="U926" s="2"/>
      <c r="V926" s="2"/>
      <c r="W926" s="2"/>
      <c r="X926" s="2"/>
      <c r="Y926" s="2"/>
      <c r="Z926" s="2"/>
    </row>
    <row r="927" spans="1:26" ht="12.75">
      <c r="A927" s="22"/>
      <c r="B927" s="22"/>
      <c r="C927" s="22"/>
      <c r="D927" s="22"/>
      <c r="E927" s="22"/>
      <c r="F927" s="22"/>
      <c r="G927" s="22"/>
      <c r="H927" s="22"/>
      <c r="I927" s="22"/>
      <c r="J927" s="22"/>
      <c r="K927" s="22"/>
      <c r="L927" s="22"/>
      <c r="M927" s="22"/>
      <c r="N927" s="22"/>
      <c r="O927" s="22"/>
      <c r="P927" s="22"/>
      <c r="Q927" s="22"/>
      <c r="R927" s="22"/>
      <c r="S927" s="22"/>
      <c r="T927" s="22"/>
      <c r="U927" s="2"/>
      <c r="V927" s="2"/>
      <c r="W927" s="2"/>
      <c r="X927" s="2"/>
      <c r="Y927" s="2"/>
      <c r="Z927" s="2"/>
    </row>
    <row r="928" spans="1:26" ht="12.75">
      <c r="A928" s="22"/>
      <c r="B928" s="22"/>
      <c r="C928" s="22"/>
      <c r="D928" s="22"/>
      <c r="E928" s="22"/>
      <c r="F928" s="22"/>
      <c r="G928" s="22"/>
      <c r="H928" s="22"/>
      <c r="I928" s="22"/>
      <c r="J928" s="22"/>
      <c r="K928" s="22"/>
      <c r="L928" s="22"/>
      <c r="M928" s="22"/>
      <c r="N928" s="22"/>
      <c r="O928" s="22"/>
      <c r="P928" s="22"/>
      <c r="Q928" s="22"/>
      <c r="R928" s="22"/>
      <c r="S928" s="22"/>
      <c r="T928" s="22"/>
      <c r="U928" s="2"/>
      <c r="V928" s="2"/>
      <c r="W928" s="2"/>
      <c r="X928" s="2"/>
      <c r="Y928" s="2"/>
      <c r="Z928" s="2"/>
    </row>
    <row r="929" spans="1:26" ht="12.75">
      <c r="A929" s="22"/>
      <c r="B929" s="22"/>
      <c r="C929" s="22"/>
      <c r="D929" s="22"/>
      <c r="E929" s="22"/>
      <c r="F929" s="22"/>
      <c r="G929" s="22"/>
      <c r="H929" s="22"/>
      <c r="I929" s="22"/>
      <c r="J929" s="22"/>
      <c r="K929" s="22"/>
      <c r="L929" s="22"/>
      <c r="M929" s="22"/>
      <c r="N929" s="22"/>
      <c r="O929" s="22"/>
      <c r="P929" s="22"/>
      <c r="Q929" s="22"/>
      <c r="R929" s="22"/>
      <c r="S929" s="22"/>
      <c r="T929" s="22"/>
      <c r="U929" s="2"/>
      <c r="V929" s="2"/>
      <c r="W929" s="2"/>
      <c r="X929" s="2"/>
      <c r="Y929" s="2"/>
      <c r="Z929" s="2"/>
    </row>
    <row r="930" spans="1:26" ht="12.75">
      <c r="A930" s="22"/>
      <c r="B930" s="22"/>
      <c r="C930" s="22"/>
      <c r="D930" s="22"/>
      <c r="E930" s="22"/>
      <c r="F930" s="22"/>
      <c r="G930" s="22"/>
      <c r="H930" s="22"/>
      <c r="I930" s="22"/>
      <c r="J930" s="22"/>
      <c r="K930" s="22"/>
      <c r="L930" s="22"/>
      <c r="M930" s="22"/>
      <c r="N930" s="22"/>
      <c r="O930" s="22"/>
      <c r="P930" s="22"/>
      <c r="Q930" s="22"/>
      <c r="R930" s="22"/>
      <c r="S930" s="22"/>
      <c r="T930" s="22"/>
      <c r="U930" s="2"/>
      <c r="V930" s="2"/>
      <c r="W930" s="2"/>
      <c r="X930" s="2"/>
      <c r="Y930" s="2"/>
      <c r="Z930" s="2"/>
    </row>
    <row r="931" spans="1:26" ht="12.75">
      <c r="A931" s="22"/>
      <c r="B931" s="22"/>
      <c r="C931" s="22"/>
      <c r="D931" s="22"/>
      <c r="E931" s="22"/>
      <c r="F931" s="22"/>
      <c r="G931" s="22"/>
      <c r="H931" s="22"/>
      <c r="I931" s="22"/>
      <c r="J931" s="22"/>
      <c r="K931" s="22"/>
      <c r="L931" s="22"/>
      <c r="M931" s="22"/>
      <c r="N931" s="22"/>
      <c r="O931" s="22"/>
      <c r="P931" s="22"/>
      <c r="Q931" s="22"/>
      <c r="R931" s="22"/>
      <c r="S931" s="22"/>
      <c r="T931" s="22"/>
      <c r="U931" s="2"/>
      <c r="V931" s="2"/>
      <c r="W931" s="2"/>
      <c r="X931" s="2"/>
      <c r="Y931" s="2"/>
      <c r="Z931" s="2"/>
    </row>
    <row r="932" spans="1:26" ht="12.75">
      <c r="A932" s="22"/>
      <c r="B932" s="22"/>
      <c r="C932" s="22"/>
      <c r="D932" s="22"/>
      <c r="E932" s="22"/>
      <c r="F932" s="22"/>
      <c r="G932" s="22"/>
      <c r="H932" s="22"/>
      <c r="I932" s="22"/>
      <c r="J932" s="22"/>
      <c r="K932" s="22"/>
      <c r="L932" s="22"/>
      <c r="M932" s="22"/>
      <c r="N932" s="22"/>
      <c r="O932" s="22"/>
      <c r="P932" s="22"/>
      <c r="Q932" s="22"/>
      <c r="R932" s="22"/>
      <c r="S932" s="22"/>
      <c r="T932" s="22"/>
      <c r="U932" s="2"/>
      <c r="V932" s="2"/>
      <c r="W932" s="2"/>
      <c r="X932" s="2"/>
      <c r="Y932" s="2"/>
      <c r="Z932" s="2"/>
    </row>
    <row r="933" spans="1:26" ht="12.75">
      <c r="A933" s="22"/>
      <c r="B933" s="22"/>
      <c r="C933" s="22"/>
      <c r="D933" s="22"/>
      <c r="E933" s="22"/>
      <c r="F933" s="22"/>
      <c r="G933" s="22"/>
      <c r="H933" s="22"/>
      <c r="I933" s="22"/>
      <c r="J933" s="22"/>
      <c r="K933" s="22"/>
      <c r="L933" s="22"/>
      <c r="M933" s="22"/>
      <c r="N933" s="22"/>
      <c r="O933" s="22"/>
      <c r="P933" s="22"/>
      <c r="Q933" s="22"/>
      <c r="R933" s="22"/>
      <c r="S933" s="22"/>
      <c r="T933" s="22"/>
      <c r="U933" s="2"/>
      <c r="V933" s="2"/>
      <c r="W933" s="2"/>
      <c r="X933" s="2"/>
      <c r="Y933" s="2"/>
      <c r="Z933" s="2"/>
    </row>
    <row r="934" spans="1:26" ht="12.75">
      <c r="A934" s="22"/>
      <c r="B934" s="22"/>
      <c r="C934" s="22"/>
      <c r="D934" s="22"/>
      <c r="E934" s="22"/>
      <c r="F934" s="22"/>
      <c r="G934" s="22"/>
      <c r="H934" s="22"/>
      <c r="I934" s="22"/>
      <c r="J934" s="22"/>
      <c r="K934" s="22"/>
      <c r="L934" s="22"/>
      <c r="M934" s="22"/>
      <c r="N934" s="22"/>
      <c r="O934" s="22"/>
      <c r="P934" s="22"/>
      <c r="Q934" s="22"/>
      <c r="R934" s="22"/>
      <c r="S934" s="22"/>
      <c r="T934" s="22"/>
      <c r="U934" s="2"/>
      <c r="V934" s="2"/>
      <c r="W934" s="2"/>
      <c r="X934" s="2"/>
      <c r="Y934" s="2"/>
      <c r="Z934" s="2"/>
    </row>
    <row r="935" spans="1:26" ht="12.75">
      <c r="A935" s="22"/>
      <c r="B935" s="22"/>
      <c r="C935" s="22"/>
      <c r="D935" s="22"/>
      <c r="E935" s="22"/>
      <c r="F935" s="22"/>
      <c r="G935" s="22"/>
      <c r="H935" s="22"/>
      <c r="I935" s="22"/>
      <c r="J935" s="22"/>
      <c r="K935" s="22"/>
      <c r="L935" s="22"/>
      <c r="M935" s="22"/>
      <c r="N935" s="22"/>
      <c r="O935" s="22"/>
      <c r="P935" s="22"/>
      <c r="Q935" s="22"/>
      <c r="R935" s="22"/>
      <c r="S935" s="22"/>
      <c r="T935" s="22"/>
      <c r="U935" s="2"/>
      <c r="V935" s="2"/>
      <c r="W935" s="2"/>
      <c r="X935" s="2"/>
      <c r="Y935" s="2"/>
      <c r="Z935" s="2"/>
    </row>
    <row r="936" spans="1:26" ht="12.75">
      <c r="A936" s="22"/>
      <c r="B936" s="22"/>
      <c r="C936" s="22"/>
      <c r="D936" s="22"/>
      <c r="E936" s="22"/>
      <c r="F936" s="22"/>
      <c r="G936" s="22"/>
      <c r="H936" s="22"/>
      <c r="I936" s="22"/>
      <c r="J936" s="22"/>
      <c r="K936" s="22"/>
      <c r="L936" s="22"/>
      <c r="M936" s="22"/>
      <c r="N936" s="22"/>
      <c r="O936" s="22"/>
      <c r="P936" s="22"/>
      <c r="Q936" s="22"/>
      <c r="R936" s="22"/>
      <c r="S936" s="22"/>
      <c r="T936" s="22"/>
      <c r="U936" s="2"/>
      <c r="V936" s="2"/>
      <c r="W936" s="2"/>
      <c r="X936" s="2"/>
      <c r="Y936" s="2"/>
      <c r="Z936" s="2"/>
    </row>
    <row r="937" spans="1:26" ht="12.75">
      <c r="A937" s="22"/>
      <c r="B937" s="22"/>
      <c r="C937" s="22"/>
      <c r="D937" s="22"/>
      <c r="E937" s="22"/>
      <c r="F937" s="22"/>
      <c r="G937" s="22"/>
      <c r="H937" s="22"/>
      <c r="I937" s="22"/>
      <c r="J937" s="22"/>
      <c r="K937" s="22"/>
      <c r="L937" s="22"/>
      <c r="M937" s="22"/>
      <c r="N937" s="22"/>
      <c r="O937" s="22"/>
      <c r="P937" s="22"/>
      <c r="Q937" s="22"/>
      <c r="R937" s="22"/>
      <c r="S937" s="22"/>
      <c r="T937" s="22"/>
      <c r="U937" s="2"/>
      <c r="V937" s="2"/>
      <c r="W937" s="2"/>
      <c r="X937" s="2"/>
      <c r="Y937" s="2"/>
      <c r="Z937" s="2"/>
    </row>
    <row r="938" spans="1:26" ht="12.75">
      <c r="A938" s="22"/>
      <c r="B938" s="22"/>
      <c r="C938" s="22"/>
      <c r="D938" s="22"/>
      <c r="E938" s="22"/>
      <c r="F938" s="22"/>
      <c r="G938" s="22"/>
      <c r="H938" s="22"/>
      <c r="I938" s="22"/>
      <c r="J938" s="22"/>
      <c r="K938" s="22"/>
      <c r="L938" s="22"/>
      <c r="M938" s="22"/>
      <c r="N938" s="22"/>
      <c r="O938" s="22"/>
      <c r="P938" s="22"/>
      <c r="Q938" s="22"/>
      <c r="R938" s="22"/>
      <c r="S938" s="22"/>
      <c r="T938" s="22"/>
      <c r="U938" s="2"/>
      <c r="V938" s="2"/>
      <c r="W938" s="2"/>
      <c r="X938" s="2"/>
      <c r="Y938" s="2"/>
      <c r="Z938" s="2"/>
    </row>
    <row r="939" spans="1:26" ht="12.75">
      <c r="A939" s="22"/>
      <c r="B939" s="22"/>
      <c r="C939" s="22"/>
      <c r="D939" s="22"/>
      <c r="E939" s="22"/>
      <c r="F939" s="22"/>
      <c r="G939" s="22"/>
      <c r="H939" s="22"/>
      <c r="I939" s="22"/>
      <c r="J939" s="22"/>
      <c r="K939" s="22"/>
      <c r="L939" s="22"/>
      <c r="M939" s="22"/>
      <c r="N939" s="22"/>
      <c r="O939" s="22"/>
      <c r="P939" s="22"/>
      <c r="Q939" s="22"/>
      <c r="R939" s="22"/>
      <c r="S939" s="22"/>
      <c r="T939" s="22"/>
      <c r="U939" s="2"/>
      <c r="V939" s="2"/>
      <c r="W939" s="2"/>
      <c r="X939" s="2"/>
      <c r="Y939" s="2"/>
      <c r="Z939" s="2"/>
    </row>
    <row r="940" spans="1:26" ht="12.75">
      <c r="A940" s="22"/>
      <c r="B940" s="22"/>
      <c r="C940" s="22"/>
      <c r="D940" s="22"/>
      <c r="E940" s="22"/>
      <c r="F940" s="22"/>
      <c r="G940" s="22"/>
      <c r="H940" s="22"/>
      <c r="I940" s="22"/>
      <c r="J940" s="22"/>
      <c r="K940" s="22"/>
      <c r="L940" s="22"/>
      <c r="M940" s="22"/>
      <c r="N940" s="22"/>
      <c r="O940" s="22"/>
      <c r="P940" s="22"/>
      <c r="Q940" s="22"/>
      <c r="R940" s="22"/>
      <c r="S940" s="22"/>
      <c r="T940" s="22"/>
      <c r="U940" s="2"/>
      <c r="V940" s="2"/>
      <c r="W940" s="2"/>
      <c r="X940" s="2"/>
      <c r="Y940" s="2"/>
      <c r="Z940" s="2"/>
    </row>
    <row r="941" spans="1:26" ht="12.75">
      <c r="A941" s="22"/>
      <c r="B941" s="22"/>
      <c r="C941" s="22"/>
      <c r="D941" s="22"/>
      <c r="E941" s="22"/>
      <c r="F941" s="22"/>
      <c r="G941" s="22"/>
      <c r="H941" s="22"/>
      <c r="I941" s="22"/>
      <c r="J941" s="22"/>
      <c r="K941" s="22"/>
      <c r="L941" s="22"/>
      <c r="M941" s="22"/>
      <c r="N941" s="22"/>
      <c r="O941" s="22"/>
      <c r="P941" s="22"/>
      <c r="Q941" s="22"/>
      <c r="R941" s="22"/>
      <c r="S941" s="22"/>
      <c r="T941" s="22"/>
      <c r="U941" s="2"/>
      <c r="V941" s="2"/>
      <c r="W941" s="2"/>
      <c r="X941" s="2"/>
      <c r="Y941" s="2"/>
      <c r="Z941" s="2"/>
    </row>
    <row r="942" spans="1:26" ht="12.75">
      <c r="A942" s="22"/>
      <c r="B942" s="22"/>
      <c r="C942" s="22"/>
      <c r="D942" s="22"/>
      <c r="E942" s="22"/>
      <c r="F942" s="22"/>
      <c r="G942" s="22"/>
      <c r="H942" s="22"/>
      <c r="I942" s="22"/>
      <c r="J942" s="22"/>
      <c r="K942" s="22"/>
      <c r="L942" s="22"/>
      <c r="M942" s="22"/>
      <c r="N942" s="22"/>
      <c r="O942" s="22"/>
      <c r="P942" s="22"/>
      <c r="Q942" s="22"/>
      <c r="R942" s="22"/>
      <c r="S942" s="22"/>
      <c r="T942" s="22"/>
      <c r="U942" s="2"/>
      <c r="V942" s="2"/>
      <c r="W942" s="2"/>
      <c r="X942" s="2"/>
      <c r="Y942" s="2"/>
      <c r="Z942" s="2"/>
    </row>
    <row r="943" spans="1:26" ht="12.75">
      <c r="A943" s="22"/>
      <c r="B943" s="22"/>
      <c r="C943" s="22"/>
      <c r="D943" s="22"/>
      <c r="E943" s="22"/>
      <c r="F943" s="22"/>
      <c r="G943" s="22"/>
      <c r="H943" s="22"/>
      <c r="I943" s="22"/>
      <c r="J943" s="22"/>
      <c r="K943" s="22"/>
      <c r="L943" s="22"/>
      <c r="M943" s="22"/>
      <c r="N943" s="22"/>
      <c r="O943" s="22"/>
      <c r="P943" s="22"/>
      <c r="Q943" s="22"/>
      <c r="R943" s="22"/>
      <c r="S943" s="22"/>
      <c r="T943" s="22"/>
      <c r="U943" s="2"/>
      <c r="V943" s="2"/>
      <c r="W943" s="2"/>
      <c r="X943" s="2"/>
      <c r="Y943" s="2"/>
      <c r="Z943" s="2"/>
    </row>
    <row r="944" spans="1:26" ht="12.75">
      <c r="A944" s="22"/>
      <c r="B944" s="22"/>
      <c r="C944" s="22"/>
      <c r="D944" s="22"/>
      <c r="E944" s="22"/>
      <c r="F944" s="22"/>
      <c r="G944" s="22"/>
      <c r="H944" s="22"/>
      <c r="I944" s="22"/>
      <c r="J944" s="22"/>
      <c r="K944" s="22"/>
      <c r="L944" s="22"/>
      <c r="M944" s="22"/>
      <c r="N944" s="22"/>
      <c r="O944" s="22"/>
      <c r="P944" s="22"/>
      <c r="Q944" s="22"/>
      <c r="R944" s="22"/>
      <c r="S944" s="22"/>
      <c r="T944" s="22"/>
      <c r="U944" s="2"/>
      <c r="V944" s="2"/>
      <c r="W944" s="2"/>
      <c r="X944" s="2"/>
      <c r="Y944" s="2"/>
      <c r="Z944" s="2"/>
    </row>
    <row r="945" spans="1:26" ht="12.75">
      <c r="A945" s="22"/>
      <c r="B945" s="22"/>
      <c r="C945" s="22"/>
      <c r="D945" s="22"/>
      <c r="E945" s="22"/>
      <c r="F945" s="22"/>
      <c r="G945" s="22"/>
      <c r="H945" s="22"/>
      <c r="I945" s="22"/>
      <c r="J945" s="22"/>
      <c r="K945" s="22"/>
      <c r="L945" s="22"/>
      <c r="M945" s="22"/>
      <c r="N945" s="22"/>
      <c r="O945" s="22"/>
      <c r="P945" s="22"/>
      <c r="Q945" s="22"/>
      <c r="R945" s="22"/>
      <c r="S945" s="22"/>
      <c r="T945" s="22"/>
      <c r="U945" s="2"/>
      <c r="V945" s="2"/>
      <c r="W945" s="2"/>
      <c r="X945" s="2"/>
      <c r="Y945" s="2"/>
      <c r="Z945" s="2"/>
    </row>
    <row r="946" spans="1:26" ht="12.75">
      <c r="A946" s="22"/>
      <c r="B946" s="22"/>
      <c r="C946" s="22"/>
      <c r="D946" s="22"/>
      <c r="E946" s="22"/>
      <c r="F946" s="22"/>
      <c r="G946" s="22"/>
      <c r="H946" s="22"/>
      <c r="I946" s="22"/>
      <c r="J946" s="22"/>
      <c r="K946" s="22"/>
      <c r="L946" s="22"/>
      <c r="M946" s="22"/>
      <c r="N946" s="22"/>
      <c r="O946" s="22"/>
      <c r="P946" s="22"/>
      <c r="Q946" s="22"/>
      <c r="R946" s="22"/>
      <c r="S946" s="22"/>
      <c r="T946" s="22"/>
      <c r="U946" s="2"/>
      <c r="V946" s="2"/>
      <c r="W946" s="2"/>
      <c r="X946" s="2"/>
      <c r="Y946" s="2"/>
      <c r="Z946" s="2"/>
    </row>
    <row r="947" spans="1:26" ht="12.75">
      <c r="A947" s="22"/>
      <c r="B947" s="22"/>
      <c r="C947" s="22"/>
      <c r="D947" s="22"/>
      <c r="E947" s="22"/>
      <c r="F947" s="22"/>
      <c r="G947" s="22"/>
      <c r="H947" s="22"/>
      <c r="I947" s="22"/>
      <c r="J947" s="22"/>
      <c r="K947" s="22"/>
      <c r="L947" s="22"/>
      <c r="M947" s="22"/>
      <c r="N947" s="22"/>
      <c r="O947" s="22"/>
      <c r="P947" s="22"/>
      <c r="Q947" s="22"/>
      <c r="R947" s="22"/>
      <c r="S947" s="22"/>
      <c r="T947" s="22"/>
      <c r="U947" s="2"/>
      <c r="V947" s="2"/>
      <c r="W947" s="2"/>
      <c r="X947" s="2"/>
      <c r="Y947" s="2"/>
      <c r="Z947" s="2"/>
    </row>
    <row r="948" spans="1:26" ht="12.75">
      <c r="A948" s="22"/>
      <c r="B948" s="22"/>
      <c r="C948" s="22"/>
      <c r="D948" s="22"/>
      <c r="E948" s="22"/>
      <c r="F948" s="22"/>
      <c r="G948" s="22"/>
      <c r="H948" s="22"/>
      <c r="I948" s="22"/>
      <c r="J948" s="22"/>
      <c r="K948" s="22"/>
      <c r="L948" s="22"/>
      <c r="M948" s="22"/>
      <c r="N948" s="22"/>
      <c r="O948" s="22"/>
      <c r="P948" s="22"/>
      <c r="Q948" s="22"/>
      <c r="R948" s="22"/>
      <c r="S948" s="22"/>
      <c r="T948" s="22"/>
      <c r="U948" s="2"/>
      <c r="V948" s="2"/>
      <c r="W948" s="2"/>
      <c r="X948" s="2"/>
      <c r="Y948" s="2"/>
      <c r="Z948" s="2"/>
    </row>
    <row r="949" spans="1:26" ht="12.75">
      <c r="A949" s="22"/>
      <c r="B949" s="22"/>
      <c r="C949" s="22"/>
      <c r="D949" s="22"/>
      <c r="E949" s="22"/>
      <c r="F949" s="22"/>
      <c r="G949" s="22"/>
      <c r="H949" s="22"/>
      <c r="I949" s="22"/>
      <c r="J949" s="22"/>
      <c r="K949" s="22"/>
      <c r="L949" s="22"/>
      <c r="M949" s="22"/>
      <c r="N949" s="22"/>
      <c r="O949" s="22"/>
      <c r="P949" s="22"/>
      <c r="Q949" s="22"/>
      <c r="R949" s="22"/>
      <c r="S949" s="22"/>
      <c r="T949" s="22"/>
      <c r="U949" s="2"/>
      <c r="V949" s="2"/>
      <c r="W949" s="2"/>
      <c r="X949" s="2"/>
      <c r="Y949" s="2"/>
      <c r="Z949" s="2"/>
    </row>
    <row r="950" spans="1:26" ht="12.75">
      <c r="A950" s="22"/>
      <c r="B950" s="22"/>
      <c r="C950" s="22"/>
      <c r="D950" s="22"/>
      <c r="E950" s="22"/>
      <c r="F950" s="22"/>
      <c r="G950" s="22"/>
      <c r="H950" s="22"/>
      <c r="I950" s="22"/>
      <c r="J950" s="22"/>
      <c r="K950" s="22"/>
      <c r="L950" s="22"/>
      <c r="M950" s="22"/>
      <c r="N950" s="22"/>
      <c r="O950" s="22"/>
      <c r="P950" s="22"/>
      <c r="Q950" s="22"/>
      <c r="R950" s="22"/>
      <c r="S950" s="22"/>
      <c r="T950" s="22"/>
      <c r="U950" s="2"/>
      <c r="V950" s="2"/>
      <c r="W950" s="2"/>
      <c r="X950" s="2"/>
      <c r="Y950" s="2"/>
      <c r="Z950" s="2"/>
    </row>
    <row r="951" spans="1:26" ht="12.75">
      <c r="A951" s="22"/>
      <c r="B951" s="22"/>
      <c r="C951" s="22"/>
      <c r="D951" s="22"/>
      <c r="E951" s="22"/>
      <c r="F951" s="22"/>
      <c r="G951" s="22"/>
      <c r="H951" s="22"/>
      <c r="I951" s="22"/>
      <c r="J951" s="22"/>
      <c r="K951" s="22"/>
      <c r="L951" s="22"/>
      <c r="M951" s="22"/>
      <c r="N951" s="22"/>
      <c r="O951" s="22"/>
      <c r="P951" s="22"/>
      <c r="Q951" s="22"/>
      <c r="R951" s="22"/>
      <c r="S951" s="22"/>
      <c r="T951" s="22"/>
      <c r="U951" s="2"/>
      <c r="V951" s="2"/>
      <c r="W951" s="2"/>
      <c r="X951" s="2"/>
      <c r="Y951" s="2"/>
      <c r="Z951" s="2"/>
    </row>
    <row r="952" spans="1:26" ht="12.75">
      <c r="A952" s="22"/>
      <c r="B952" s="22"/>
      <c r="C952" s="22"/>
      <c r="D952" s="22"/>
      <c r="E952" s="22"/>
      <c r="F952" s="22"/>
      <c r="G952" s="22"/>
      <c r="H952" s="22"/>
      <c r="I952" s="22"/>
      <c r="J952" s="22"/>
      <c r="K952" s="22"/>
      <c r="L952" s="22"/>
      <c r="M952" s="22"/>
      <c r="N952" s="22"/>
      <c r="O952" s="22"/>
      <c r="P952" s="22"/>
      <c r="Q952" s="22"/>
      <c r="R952" s="22"/>
      <c r="S952" s="22"/>
      <c r="T952" s="22"/>
      <c r="U952" s="2"/>
      <c r="V952" s="2"/>
      <c r="W952" s="2"/>
      <c r="X952" s="2"/>
      <c r="Y952" s="2"/>
      <c r="Z952" s="2"/>
    </row>
    <row r="953" spans="1:26" ht="12.75">
      <c r="A953" s="22"/>
      <c r="B953" s="22"/>
      <c r="C953" s="22"/>
      <c r="D953" s="22"/>
      <c r="E953" s="22"/>
      <c r="F953" s="22"/>
      <c r="G953" s="22"/>
      <c r="H953" s="22"/>
      <c r="I953" s="22"/>
      <c r="J953" s="22"/>
      <c r="K953" s="22"/>
      <c r="L953" s="22"/>
      <c r="M953" s="22"/>
      <c r="N953" s="22"/>
      <c r="O953" s="22"/>
      <c r="P953" s="22"/>
      <c r="Q953" s="22"/>
      <c r="R953" s="22"/>
      <c r="S953" s="22"/>
      <c r="T953" s="22"/>
      <c r="U953" s="2"/>
      <c r="V953" s="2"/>
      <c r="W953" s="2"/>
      <c r="X953" s="2"/>
      <c r="Y953" s="2"/>
      <c r="Z953" s="2"/>
    </row>
    <row r="954" spans="1:26" ht="12.75">
      <c r="A954" s="22"/>
      <c r="B954" s="22"/>
      <c r="C954" s="22"/>
      <c r="D954" s="22"/>
      <c r="E954" s="22"/>
      <c r="F954" s="22"/>
      <c r="G954" s="22"/>
      <c r="H954" s="22"/>
      <c r="I954" s="22"/>
      <c r="J954" s="22"/>
      <c r="K954" s="22"/>
      <c r="L954" s="22"/>
      <c r="M954" s="22"/>
      <c r="N954" s="22"/>
      <c r="O954" s="22"/>
      <c r="P954" s="22"/>
      <c r="Q954" s="22"/>
      <c r="R954" s="22"/>
      <c r="S954" s="22"/>
      <c r="T954" s="22"/>
      <c r="U954" s="2"/>
      <c r="V954" s="2"/>
      <c r="W954" s="2"/>
      <c r="X954" s="2"/>
      <c r="Y954" s="2"/>
      <c r="Z954" s="2"/>
    </row>
    <row r="955" spans="1:26" ht="12.75">
      <c r="A955" s="22"/>
      <c r="B955" s="22"/>
      <c r="C955" s="22"/>
      <c r="D955" s="22"/>
      <c r="E955" s="22"/>
      <c r="F955" s="22"/>
      <c r="G955" s="22"/>
      <c r="H955" s="22"/>
      <c r="I955" s="22"/>
      <c r="J955" s="22"/>
      <c r="K955" s="22"/>
      <c r="L955" s="22"/>
      <c r="M955" s="22"/>
      <c r="N955" s="22"/>
      <c r="O955" s="22"/>
      <c r="P955" s="22"/>
      <c r="Q955" s="22"/>
      <c r="R955" s="22"/>
      <c r="S955" s="22"/>
      <c r="T955" s="22"/>
      <c r="U955" s="2"/>
      <c r="V955" s="2"/>
      <c r="W955" s="2"/>
      <c r="X955" s="2"/>
      <c r="Y955" s="2"/>
      <c r="Z955" s="2"/>
    </row>
    <row r="956" spans="1:26" ht="12.75">
      <c r="A956" s="22"/>
      <c r="B956" s="22"/>
      <c r="C956" s="22"/>
      <c r="D956" s="22"/>
      <c r="E956" s="22"/>
      <c r="F956" s="22"/>
      <c r="G956" s="22"/>
      <c r="H956" s="22"/>
      <c r="I956" s="22"/>
      <c r="J956" s="22"/>
      <c r="K956" s="22"/>
      <c r="L956" s="22"/>
      <c r="M956" s="22"/>
      <c r="N956" s="22"/>
      <c r="O956" s="22"/>
      <c r="P956" s="22"/>
      <c r="Q956" s="22"/>
      <c r="R956" s="22"/>
      <c r="S956" s="22"/>
      <c r="T956" s="22"/>
      <c r="U956" s="2"/>
      <c r="V956" s="2"/>
      <c r="W956" s="2"/>
      <c r="X956" s="2"/>
      <c r="Y956" s="2"/>
      <c r="Z956" s="2"/>
    </row>
    <row r="957" spans="1:26" ht="12.75">
      <c r="A957" s="22"/>
      <c r="B957" s="22"/>
      <c r="C957" s="22"/>
      <c r="D957" s="22"/>
      <c r="E957" s="22"/>
      <c r="F957" s="22"/>
      <c r="G957" s="22"/>
      <c r="H957" s="22"/>
      <c r="I957" s="22"/>
      <c r="J957" s="22"/>
      <c r="K957" s="22"/>
      <c r="L957" s="22"/>
      <c r="M957" s="22"/>
      <c r="N957" s="22"/>
      <c r="O957" s="22"/>
      <c r="P957" s="22"/>
      <c r="Q957" s="22"/>
      <c r="R957" s="22"/>
      <c r="S957" s="22"/>
      <c r="T957" s="22"/>
      <c r="U957" s="2"/>
      <c r="V957" s="2"/>
      <c r="W957" s="2"/>
      <c r="X957" s="2"/>
      <c r="Y957" s="2"/>
      <c r="Z957" s="2"/>
    </row>
    <row r="958" spans="1:26" ht="12.75">
      <c r="A958" s="22"/>
      <c r="B958" s="22"/>
      <c r="C958" s="22"/>
      <c r="D958" s="22"/>
      <c r="E958" s="22"/>
      <c r="F958" s="22"/>
      <c r="G958" s="22"/>
      <c r="H958" s="22"/>
      <c r="I958" s="22"/>
      <c r="J958" s="22"/>
      <c r="K958" s="22"/>
      <c r="L958" s="22"/>
      <c r="M958" s="22"/>
      <c r="N958" s="22"/>
      <c r="O958" s="22"/>
      <c r="P958" s="22"/>
      <c r="Q958" s="22"/>
      <c r="R958" s="22"/>
      <c r="S958" s="22"/>
      <c r="T958" s="22"/>
      <c r="U958" s="2"/>
      <c r="V958" s="2"/>
      <c r="W958" s="2"/>
      <c r="X958" s="2"/>
      <c r="Y958" s="2"/>
      <c r="Z958" s="2"/>
    </row>
    <row r="959" spans="1:26" ht="12.75">
      <c r="A959" s="22"/>
      <c r="B959" s="22"/>
      <c r="C959" s="22"/>
      <c r="D959" s="22"/>
      <c r="E959" s="22"/>
      <c r="F959" s="22"/>
      <c r="G959" s="22"/>
      <c r="H959" s="22"/>
      <c r="I959" s="22"/>
      <c r="J959" s="22"/>
      <c r="K959" s="22"/>
      <c r="L959" s="22"/>
      <c r="M959" s="22"/>
      <c r="N959" s="22"/>
      <c r="O959" s="22"/>
      <c r="P959" s="22"/>
      <c r="Q959" s="22"/>
      <c r="R959" s="22"/>
      <c r="S959" s="22"/>
      <c r="T959" s="22"/>
      <c r="U959" s="2"/>
      <c r="V959" s="2"/>
      <c r="W959" s="2"/>
      <c r="X959" s="2"/>
      <c r="Y959" s="2"/>
      <c r="Z959" s="2"/>
    </row>
    <row r="960" spans="1:26" ht="12.75">
      <c r="A960" s="22"/>
      <c r="B960" s="22"/>
      <c r="C960" s="22"/>
      <c r="D960" s="22"/>
      <c r="E960" s="22"/>
      <c r="F960" s="22"/>
      <c r="G960" s="22"/>
      <c r="H960" s="22"/>
      <c r="I960" s="22"/>
      <c r="J960" s="22"/>
      <c r="K960" s="22"/>
      <c r="L960" s="22"/>
      <c r="M960" s="22"/>
      <c r="N960" s="22"/>
      <c r="O960" s="22"/>
      <c r="P960" s="22"/>
      <c r="Q960" s="22"/>
      <c r="R960" s="22"/>
      <c r="S960" s="22"/>
      <c r="T960" s="22"/>
      <c r="U960" s="2"/>
      <c r="V960" s="2"/>
      <c r="W960" s="2"/>
      <c r="X960" s="2"/>
      <c r="Y960" s="2"/>
      <c r="Z960" s="2"/>
    </row>
    <row r="961" spans="1:26" ht="12.75">
      <c r="A961" s="22"/>
      <c r="B961" s="22"/>
      <c r="C961" s="22"/>
      <c r="D961" s="22"/>
      <c r="E961" s="22"/>
      <c r="F961" s="22"/>
      <c r="G961" s="22"/>
      <c r="H961" s="22"/>
      <c r="I961" s="22"/>
      <c r="J961" s="22"/>
      <c r="K961" s="22"/>
      <c r="L961" s="22"/>
      <c r="M961" s="22"/>
      <c r="N961" s="22"/>
      <c r="O961" s="22"/>
      <c r="P961" s="22"/>
      <c r="Q961" s="22"/>
      <c r="R961" s="22"/>
      <c r="S961" s="22"/>
      <c r="T961" s="22"/>
      <c r="U961" s="2"/>
      <c r="V961" s="2"/>
      <c r="W961" s="2"/>
      <c r="X961" s="2"/>
      <c r="Y961" s="2"/>
      <c r="Z961" s="2"/>
    </row>
    <row r="962" spans="1:26" ht="12.75">
      <c r="A962" s="22"/>
      <c r="B962" s="22"/>
      <c r="C962" s="22"/>
      <c r="D962" s="22"/>
      <c r="E962" s="22"/>
      <c r="F962" s="22"/>
      <c r="G962" s="22"/>
      <c r="H962" s="22"/>
      <c r="I962" s="22"/>
      <c r="J962" s="22"/>
      <c r="K962" s="22"/>
      <c r="L962" s="22"/>
      <c r="M962" s="22"/>
      <c r="N962" s="22"/>
      <c r="O962" s="22"/>
      <c r="P962" s="22"/>
      <c r="Q962" s="22"/>
      <c r="R962" s="22"/>
      <c r="S962" s="22"/>
      <c r="T962" s="22"/>
      <c r="U962" s="2"/>
      <c r="V962" s="2"/>
      <c r="W962" s="2"/>
      <c r="X962" s="2"/>
      <c r="Y962" s="2"/>
      <c r="Z962" s="2"/>
    </row>
    <row r="963" spans="1:26" ht="12.75">
      <c r="A963" s="22"/>
      <c r="B963" s="22"/>
      <c r="C963" s="22"/>
      <c r="D963" s="22"/>
      <c r="E963" s="22"/>
      <c r="F963" s="22"/>
      <c r="G963" s="22"/>
      <c r="H963" s="22"/>
      <c r="I963" s="22"/>
      <c r="J963" s="22"/>
      <c r="K963" s="22"/>
      <c r="L963" s="22"/>
      <c r="M963" s="22"/>
      <c r="N963" s="22"/>
      <c r="O963" s="22"/>
      <c r="P963" s="22"/>
      <c r="Q963" s="22"/>
      <c r="R963" s="22"/>
      <c r="S963" s="22"/>
      <c r="T963" s="22"/>
      <c r="U963" s="2"/>
      <c r="V963" s="2"/>
      <c r="W963" s="2"/>
      <c r="X963" s="2"/>
      <c r="Y963" s="2"/>
      <c r="Z963" s="2"/>
    </row>
    <row r="964" spans="1:26" ht="12.75">
      <c r="A964" s="22"/>
      <c r="B964" s="22"/>
      <c r="C964" s="22"/>
      <c r="D964" s="22"/>
      <c r="E964" s="22"/>
      <c r="F964" s="22"/>
      <c r="G964" s="22"/>
      <c r="H964" s="22"/>
      <c r="I964" s="22"/>
      <c r="J964" s="22"/>
      <c r="K964" s="22"/>
      <c r="L964" s="22"/>
      <c r="M964" s="22"/>
      <c r="N964" s="22"/>
      <c r="O964" s="22"/>
      <c r="P964" s="22"/>
      <c r="Q964" s="22"/>
      <c r="R964" s="22"/>
      <c r="S964" s="22"/>
      <c r="T964" s="22"/>
      <c r="U964" s="2"/>
      <c r="V964" s="2"/>
      <c r="W964" s="2"/>
      <c r="X964" s="2"/>
      <c r="Y964" s="2"/>
      <c r="Z964" s="2"/>
    </row>
    <row r="965" spans="1:26" ht="12.75">
      <c r="A965" s="22"/>
      <c r="B965" s="22"/>
      <c r="C965" s="22"/>
      <c r="D965" s="22"/>
      <c r="E965" s="22"/>
      <c r="F965" s="22"/>
      <c r="G965" s="22"/>
      <c r="H965" s="22"/>
      <c r="I965" s="22"/>
      <c r="J965" s="22"/>
      <c r="K965" s="22"/>
      <c r="L965" s="22"/>
      <c r="M965" s="22"/>
      <c r="N965" s="22"/>
      <c r="O965" s="22"/>
      <c r="P965" s="22"/>
      <c r="Q965" s="22"/>
      <c r="R965" s="22"/>
      <c r="S965" s="22"/>
      <c r="T965" s="22"/>
      <c r="U965" s="2"/>
      <c r="V965" s="2"/>
      <c r="W965" s="2"/>
      <c r="X965" s="2"/>
      <c r="Y965" s="2"/>
      <c r="Z965" s="2"/>
    </row>
    <row r="966" spans="1:26" ht="12.75">
      <c r="A966" s="22"/>
      <c r="B966" s="22"/>
      <c r="C966" s="22"/>
      <c r="D966" s="22"/>
      <c r="E966" s="22"/>
      <c r="F966" s="22"/>
      <c r="G966" s="22"/>
      <c r="H966" s="22"/>
      <c r="I966" s="22"/>
      <c r="J966" s="22"/>
      <c r="K966" s="22"/>
      <c r="L966" s="22"/>
      <c r="M966" s="22"/>
      <c r="N966" s="22"/>
      <c r="O966" s="22"/>
      <c r="P966" s="22"/>
      <c r="Q966" s="22"/>
      <c r="R966" s="22"/>
      <c r="S966" s="22"/>
      <c r="T966" s="22"/>
      <c r="U966" s="2"/>
      <c r="V966" s="2"/>
      <c r="W966" s="2"/>
      <c r="X966" s="2"/>
      <c r="Y966" s="2"/>
      <c r="Z966" s="2"/>
    </row>
    <row r="967" spans="1:26" ht="12.75">
      <c r="A967" s="22"/>
      <c r="B967" s="22"/>
      <c r="C967" s="22"/>
      <c r="D967" s="22"/>
      <c r="E967" s="22"/>
      <c r="F967" s="22"/>
      <c r="G967" s="22"/>
      <c r="H967" s="22"/>
      <c r="I967" s="22"/>
      <c r="J967" s="22"/>
      <c r="K967" s="22"/>
      <c r="L967" s="22"/>
      <c r="M967" s="22"/>
      <c r="N967" s="22"/>
      <c r="O967" s="22"/>
      <c r="P967" s="22"/>
      <c r="Q967" s="22"/>
      <c r="R967" s="22"/>
      <c r="S967" s="22"/>
      <c r="T967" s="22"/>
      <c r="U967" s="2"/>
      <c r="V967" s="2"/>
      <c r="W967" s="2"/>
      <c r="X967" s="2"/>
      <c r="Y967" s="2"/>
      <c r="Z967" s="2"/>
    </row>
    <row r="968" spans="1:26" ht="12.75">
      <c r="A968" s="22"/>
      <c r="B968" s="22"/>
      <c r="C968" s="22"/>
      <c r="D968" s="22"/>
      <c r="E968" s="22"/>
      <c r="F968" s="22"/>
      <c r="G968" s="22"/>
      <c r="H968" s="22"/>
      <c r="I968" s="22"/>
      <c r="J968" s="22"/>
      <c r="K968" s="22"/>
      <c r="L968" s="22"/>
      <c r="M968" s="22"/>
      <c r="N968" s="22"/>
      <c r="O968" s="22"/>
      <c r="P968" s="22"/>
      <c r="Q968" s="22"/>
      <c r="R968" s="22"/>
      <c r="S968" s="22"/>
      <c r="T968" s="22"/>
      <c r="U968" s="2"/>
      <c r="V968" s="2"/>
      <c r="W968" s="2"/>
      <c r="X968" s="2"/>
      <c r="Y968" s="2"/>
      <c r="Z968" s="2"/>
    </row>
    <row r="969" spans="1:26" ht="12.75">
      <c r="A969" s="22"/>
      <c r="B969" s="22"/>
      <c r="C969" s="22"/>
      <c r="D969" s="22"/>
      <c r="E969" s="22"/>
      <c r="F969" s="22"/>
      <c r="G969" s="22"/>
      <c r="H969" s="22"/>
      <c r="I969" s="22"/>
      <c r="J969" s="22"/>
      <c r="K969" s="22"/>
      <c r="L969" s="22"/>
      <c r="M969" s="22"/>
      <c r="N969" s="22"/>
      <c r="O969" s="22"/>
      <c r="P969" s="22"/>
      <c r="Q969" s="22"/>
      <c r="R969" s="22"/>
      <c r="S969" s="22"/>
      <c r="T969" s="22"/>
      <c r="U969" s="2"/>
      <c r="V969" s="2"/>
      <c r="W969" s="2"/>
      <c r="X969" s="2"/>
      <c r="Y969" s="2"/>
      <c r="Z969" s="2"/>
    </row>
    <row r="970" spans="1:26" ht="12.75">
      <c r="A970" s="22"/>
      <c r="B970" s="22"/>
      <c r="C970" s="22"/>
      <c r="D970" s="22"/>
      <c r="E970" s="22"/>
      <c r="F970" s="22"/>
      <c r="G970" s="22"/>
      <c r="H970" s="22"/>
      <c r="I970" s="22"/>
      <c r="J970" s="22"/>
      <c r="K970" s="22"/>
      <c r="L970" s="22"/>
      <c r="M970" s="22"/>
      <c r="N970" s="22"/>
      <c r="O970" s="22"/>
      <c r="P970" s="22"/>
      <c r="Q970" s="22"/>
      <c r="R970" s="22"/>
      <c r="S970" s="22"/>
      <c r="T970" s="22"/>
      <c r="U970" s="2"/>
      <c r="V970" s="2"/>
      <c r="W970" s="2"/>
      <c r="X970" s="2"/>
      <c r="Y970" s="2"/>
      <c r="Z970" s="2"/>
    </row>
    <row r="971" spans="1:26" ht="12.75">
      <c r="A971" s="22"/>
      <c r="B971" s="22"/>
      <c r="C971" s="22"/>
      <c r="D971" s="22"/>
      <c r="E971" s="22"/>
      <c r="F971" s="22"/>
      <c r="G971" s="22"/>
      <c r="H971" s="22"/>
      <c r="I971" s="22"/>
      <c r="J971" s="22"/>
      <c r="K971" s="22"/>
      <c r="L971" s="22"/>
      <c r="M971" s="22"/>
      <c r="N971" s="22"/>
      <c r="O971" s="22"/>
      <c r="P971" s="22"/>
      <c r="Q971" s="22"/>
      <c r="R971" s="22"/>
      <c r="S971" s="22"/>
      <c r="T971" s="22"/>
      <c r="U971" s="2"/>
      <c r="V971" s="2"/>
      <c r="W971" s="2"/>
      <c r="X971" s="2"/>
      <c r="Y971" s="2"/>
      <c r="Z971" s="2"/>
    </row>
    <row r="972" spans="1:26" ht="12.75">
      <c r="A972" s="22"/>
      <c r="B972" s="22"/>
      <c r="C972" s="22"/>
      <c r="D972" s="22"/>
      <c r="E972" s="22"/>
      <c r="F972" s="22"/>
      <c r="G972" s="22"/>
      <c r="H972" s="22"/>
      <c r="I972" s="22"/>
      <c r="J972" s="22"/>
      <c r="K972" s="22"/>
      <c r="L972" s="22"/>
      <c r="M972" s="22"/>
      <c r="N972" s="22"/>
      <c r="O972" s="22"/>
      <c r="P972" s="22"/>
      <c r="Q972" s="22"/>
      <c r="R972" s="22"/>
      <c r="S972" s="22"/>
      <c r="T972" s="22"/>
      <c r="U972" s="2"/>
      <c r="V972" s="2"/>
      <c r="W972" s="2"/>
      <c r="X972" s="2"/>
      <c r="Y972" s="2"/>
      <c r="Z972" s="2"/>
    </row>
    <row r="973" spans="1:26" ht="12.75">
      <c r="A973" s="22"/>
      <c r="B973" s="22"/>
      <c r="C973" s="22"/>
      <c r="D973" s="22"/>
      <c r="E973" s="22"/>
      <c r="F973" s="22"/>
      <c r="G973" s="22"/>
      <c r="H973" s="22"/>
      <c r="I973" s="22"/>
      <c r="J973" s="22"/>
      <c r="K973" s="22"/>
      <c r="L973" s="22"/>
      <c r="M973" s="22"/>
      <c r="N973" s="22"/>
      <c r="O973" s="22"/>
      <c r="P973" s="22"/>
      <c r="Q973" s="22"/>
      <c r="R973" s="22"/>
      <c r="S973" s="22"/>
      <c r="T973" s="22"/>
      <c r="U973" s="2"/>
      <c r="V973" s="2"/>
      <c r="W973" s="2"/>
      <c r="X973" s="2"/>
      <c r="Y973" s="2"/>
      <c r="Z973" s="2"/>
    </row>
    <row r="974" spans="1:26" ht="12.75">
      <c r="A974" s="22"/>
      <c r="B974" s="22"/>
      <c r="C974" s="22"/>
      <c r="D974" s="22"/>
      <c r="E974" s="22"/>
      <c r="F974" s="22"/>
      <c r="G974" s="22"/>
      <c r="H974" s="22"/>
      <c r="I974" s="22"/>
      <c r="J974" s="22"/>
      <c r="K974" s="22"/>
      <c r="L974" s="22"/>
      <c r="M974" s="22"/>
      <c r="N974" s="22"/>
      <c r="O974" s="22"/>
      <c r="P974" s="22"/>
      <c r="Q974" s="22"/>
      <c r="R974" s="22"/>
      <c r="S974" s="22"/>
      <c r="T974" s="22"/>
      <c r="U974" s="2"/>
      <c r="V974" s="2"/>
      <c r="W974" s="2"/>
      <c r="X974" s="2"/>
      <c r="Y974" s="2"/>
      <c r="Z974" s="2"/>
    </row>
    <row r="975" spans="1:26" ht="12.75">
      <c r="A975" s="22"/>
      <c r="B975" s="22"/>
      <c r="C975" s="22"/>
      <c r="D975" s="22"/>
      <c r="E975" s="22"/>
      <c r="F975" s="22"/>
      <c r="G975" s="22"/>
      <c r="H975" s="22"/>
      <c r="I975" s="22"/>
      <c r="J975" s="22"/>
      <c r="K975" s="22"/>
      <c r="L975" s="22"/>
      <c r="M975" s="22"/>
      <c r="N975" s="22"/>
      <c r="O975" s="22"/>
      <c r="P975" s="22"/>
      <c r="Q975" s="22"/>
      <c r="R975" s="22"/>
      <c r="S975" s="22"/>
      <c r="T975" s="22"/>
      <c r="U975" s="2"/>
      <c r="V975" s="2"/>
      <c r="W975" s="2"/>
      <c r="X975" s="2"/>
      <c r="Y975" s="2"/>
      <c r="Z975" s="2"/>
    </row>
    <row r="976" spans="1:26" ht="12.75">
      <c r="A976" s="22"/>
      <c r="B976" s="22"/>
      <c r="C976" s="22"/>
      <c r="D976" s="22"/>
      <c r="E976" s="22"/>
      <c r="F976" s="22"/>
      <c r="G976" s="22"/>
      <c r="H976" s="22"/>
      <c r="I976" s="22"/>
      <c r="J976" s="22"/>
      <c r="K976" s="22"/>
      <c r="L976" s="22"/>
      <c r="M976" s="22"/>
      <c r="N976" s="22"/>
      <c r="O976" s="22"/>
      <c r="P976" s="22"/>
      <c r="Q976" s="22"/>
      <c r="R976" s="22"/>
      <c r="S976" s="22"/>
      <c r="T976" s="22"/>
      <c r="U976" s="2"/>
      <c r="V976" s="2"/>
      <c r="W976" s="2"/>
      <c r="X976" s="2"/>
      <c r="Y976" s="2"/>
      <c r="Z976" s="2"/>
    </row>
    <row r="977" spans="1:26" ht="12.75">
      <c r="A977" s="22"/>
      <c r="B977" s="22"/>
      <c r="C977" s="22"/>
      <c r="D977" s="22"/>
      <c r="E977" s="22"/>
      <c r="F977" s="22"/>
      <c r="G977" s="22"/>
      <c r="H977" s="22"/>
      <c r="I977" s="22"/>
      <c r="J977" s="22"/>
      <c r="K977" s="22"/>
      <c r="L977" s="22"/>
      <c r="M977" s="22"/>
      <c r="N977" s="22"/>
      <c r="O977" s="22"/>
      <c r="P977" s="22"/>
      <c r="Q977" s="22"/>
      <c r="R977" s="22"/>
      <c r="S977" s="22"/>
      <c r="T977" s="22"/>
      <c r="U977" s="2"/>
      <c r="V977" s="2"/>
      <c r="W977" s="2"/>
      <c r="X977" s="2"/>
      <c r="Y977" s="2"/>
      <c r="Z977" s="2"/>
    </row>
    <row r="978" spans="1:26" ht="12.75">
      <c r="A978" s="22"/>
      <c r="B978" s="22"/>
      <c r="C978" s="22"/>
      <c r="D978" s="22"/>
      <c r="E978" s="22"/>
      <c r="F978" s="22"/>
      <c r="G978" s="22"/>
      <c r="H978" s="22"/>
      <c r="I978" s="22"/>
      <c r="J978" s="22"/>
      <c r="K978" s="22"/>
      <c r="L978" s="22"/>
      <c r="M978" s="22"/>
      <c r="N978" s="22"/>
      <c r="O978" s="22"/>
      <c r="P978" s="22"/>
      <c r="Q978" s="22"/>
      <c r="R978" s="22"/>
      <c r="S978" s="22"/>
      <c r="T978" s="22"/>
      <c r="U978" s="2"/>
      <c r="V978" s="2"/>
      <c r="W978" s="2"/>
      <c r="X978" s="2"/>
      <c r="Y978" s="2"/>
      <c r="Z978" s="2"/>
    </row>
    <row r="979" spans="1:26" ht="12.75">
      <c r="A979" s="22"/>
      <c r="B979" s="22"/>
      <c r="C979" s="22"/>
      <c r="D979" s="22"/>
      <c r="E979" s="22"/>
      <c r="F979" s="22"/>
      <c r="G979" s="22"/>
      <c r="H979" s="22"/>
      <c r="I979" s="22"/>
      <c r="J979" s="22"/>
      <c r="K979" s="22"/>
      <c r="L979" s="22"/>
      <c r="M979" s="22"/>
      <c r="N979" s="22"/>
      <c r="O979" s="22"/>
      <c r="P979" s="22"/>
      <c r="Q979" s="22"/>
      <c r="R979" s="22"/>
      <c r="S979" s="22"/>
      <c r="T979" s="22"/>
      <c r="U979" s="2"/>
      <c r="V979" s="2"/>
      <c r="W979" s="2"/>
      <c r="X979" s="2"/>
      <c r="Y979" s="2"/>
      <c r="Z979" s="2"/>
    </row>
    <row r="980" spans="1:26" ht="12.75">
      <c r="A980" s="22"/>
      <c r="B980" s="22"/>
      <c r="C980" s="22"/>
      <c r="D980" s="22"/>
      <c r="E980" s="22"/>
      <c r="F980" s="22"/>
      <c r="G980" s="22"/>
      <c r="H980" s="22"/>
      <c r="I980" s="22"/>
      <c r="J980" s="22"/>
      <c r="K980" s="22"/>
      <c r="L980" s="22"/>
      <c r="M980" s="22"/>
      <c r="N980" s="22"/>
      <c r="O980" s="22"/>
      <c r="P980" s="22"/>
      <c r="Q980" s="22"/>
      <c r="R980" s="22"/>
      <c r="S980" s="22"/>
      <c r="T980" s="22"/>
      <c r="U980" s="2"/>
      <c r="V980" s="2"/>
      <c r="W980" s="2"/>
      <c r="X980" s="2"/>
      <c r="Y980" s="2"/>
      <c r="Z980" s="2"/>
    </row>
    <row r="981" spans="1:26" ht="12.75">
      <c r="A981" s="22"/>
      <c r="B981" s="22"/>
      <c r="C981" s="22"/>
      <c r="D981" s="22"/>
      <c r="E981" s="22"/>
      <c r="F981" s="22"/>
      <c r="G981" s="22"/>
      <c r="H981" s="22"/>
      <c r="I981" s="22"/>
      <c r="J981" s="22"/>
      <c r="K981" s="22"/>
      <c r="L981" s="22"/>
      <c r="M981" s="22"/>
      <c r="N981" s="22"/>
      <c r="O981" s="22"/>
      <c r="P981" s="22"/>
      <c r="Q981" s="22"/>
      <c r="R981" s="22"/>
      <c r="S981" s="22"/>
      <c r="T981" s="22"/>
      <c r="U981" s="2"/>
      <c r="V981" s="2"/>
      <c r="W981" s="2"/>
      <c r="X981" s="2"/>
      <c r="Y981" s="2"/>
      <c r="Z981" s="2"/>
    </row>
    <row r="982" spans="1:26" ht="12.75">
      <c r="A982" s="22"/>
      <c r="B982" s="22"/>
      <c r="C982" s="22"/>
      <c r="D982" s="22"/>
      <c r="E982" s="22"/>
      <c r="F982" s="22"/>
      <c r="G982" s="22"/>
      <c r="H982" s="22"/>
      <c r="I982" s="22"/>
      <c r="J982" s="22"/>
      <c r="K982" s="22"/>
      <c r="L982" s="22"/>
      <c r="M982" s="22"/>
      <c r="N982" s="22"/>
      <c r="O982" s="22"/>
      <c r="P982" s="22"/>
      <c r="Q982" s="22"/>
      <c r="R982" s="22"/>
      <c r="S982" s="22"/>
      <c r="T982" s="22"/>
      <c r="U982" s="2"/>
      <c r="V982" s="2"/>
      <c r="W982" s="2"/>
      <c r="X982" s="2"/>
      <c r="Y982" s="2"/>
      <c r="Z982" s="2"/>
    </row>
    <row r="983" spans="1:26" ht="12.75">
      <c r="A983" s="22"/>
      <c r="B983" s="22"/>
      <c r="C983" s="22"/>
      <c r="D983" s="22"/>
      <c r="E983" s="22"/>
      <c r="F983" s="22"/>
      <c r="G983" s="22"/>
      <c r="H983" s="22"/>
      <c r="I983" s="22"/>
      <c r="J983" s="22"/>
      <c r="K983" s="22"/>
      <c r="L983" s="22"/>
      <c r="M983" s="22"/>
      <c r="N983" s="22"/>
      <c r="O983" s="22"/>
      <c r="P983" s="22"/>
      <c r="Q983" s="22"/>
      <c r="R983" s="22"/>
      <c r="S983" s="22"/>
      <c r="T983" s="22"/>
      <c r="U983" s="2"/>
      <c r="V983" s="2"/>
      <c r="W983" s="2"/>
      <c r="X983" s="2"/>
      <c r="Y983" s="2"/>
      <c r="Z983" s="2"/>
    </row>
    <row r="984" spans="1:26" ht="12.75">
      <c r="A984" s="22"/>
      <c r="B984" s="22"/>
      <c r="C984" s="22"/>
      <c r="D984" s="22"/>
      <c r="E984" s="22"/>
      <c r="F984" s="22"/>
      <c r="G984" s="22"/>
      <c r="H984" s="22"/>
      <c r="I984" s="22"/>
      <c r="J984" s="22"/>
      <c r="K984" s="22"/>
      <c r="L984" s="22"/>
      <c r="M984" s="22"/>
      <c r="N984" s="22"/>
      <c r="O984" s="22"/>
      <c r="P984" s="22"/>
      <c r="Q984" s="22"/>
      <c r="R984" s="22"/>
      <c r="S984" s="22"/>
      <c r="T984" s="22"/>
      <c r="U984" s="2"/>
      <c r="V984" s="2"/>
      <c r="W984" s="2"/>
      <c r="X984" s="2"/>
      <c r="Y984" s="2"/>
      <c r="Z984" s="2"/>
    </row>
    <row r="985" spans="1:26" ht="12.75">
      <c r="A985" s="22"/>
      <c r="B985" s="22"/>
      <c r="C985" s="22"/>
      <c r="D985" s="22"/>
      <c r="E985" s="22"/>
      <c r="F985" s="22"/>
      <c r="G985" s="22"/>
      <c r="H985" s="22"/>
      <c r="I985" s="22"/>
      <c r="J985" s="22"/>
      <c r="K985" s="22"/>
      <c r="L985" s="22"/>
      <c r="M985" s="22"/>
      <c r="N985" s="22"/>
      <c r="O985" s="22"/>
      <c r="P985" s="22"/>
      <c r="Q985" s="22"/>
      <c r="R985" s="22"/>
      <c r="S985" s="22"/>
      <c r="T985" s="2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6">
    <mergeCell ref="A4:A40"/>
    <mergeCell ref="A41:A57"/>
    <mergeCell ref="A58:A70"/>
    <mergeCell ref="A71:A81"/>
    <mergeCell ref="A82:A90"/>
    <mergeCell ref="B4:B40"/>
    <mergeCell ref="B41:B57"/>
    <mergeCell ref="B58:B70"/>
    <mergeCell ref="B71:B81"/>
    <mergeCell ref="B82:B90"/>
    <mergeCell ref="C4:C40"/>
    <mergeCell ref="C41:C57"/>
    <mergeCell ref="C58:C70"/>
    <mergeCell ref="C71:C81"/>
    <mergeCell ref="C82:C84"/>
    <mergeCell ref="C85:C87"/>
    <mergeCell ref="C88:C90"/>
    <mergeCell ref="D4:D25"/>
    <mergeCell ref="D26:D27"/>
    <mergeCell ref="D28:D34"/>
    <mergeCell ref="D35:D36"/>
    <mergeCell ref="D37:D38"/>
    <mergeCell ref="D39:D40"/>
    <mergeCell ref="D41:D57"/>
    <mergeCell ref="D58:D65"/>
    <mergeCell ref="D66:D70"/>
    <mergeCell ref="D71:D76"/>
    <mergeCell ref="D77:D81"/>
    <mergeCell ref="D82:D84"/>
    <mergeCell ref="D85:D87"/>
    <mergeCell ref="D88:D90"/>
    <mergeCell ref="L4:L34"/>
    <mergeCell ref="L35:L38"/>
    <mergeCell ref="L39:L40"/>
    <mergeCell ref="L41:L57"/>
    <mergeCell ref="L71:L81"/>
  </mergeCells>
  <hyperlinks>
    <hyperlink ref="L4" r:id="rId1" location="gid=932921817" xr:uid="{00000000-0004-0000-0000-000000000000}"/>
    <hyperlink ref="L39" r:id="rId2" location="gid=1772611494" xr:uid="{00000000-0004-0000-0000-000001000000}"/>
    <hyperlink ref="L41" r:id="rId3" location="gid=1083304853" xr:uid="{00000000-0004-0000-0000-000002000000}"/>
    <hyperlink ref="L71" r:id="rId4" location="gid=601773322"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1183"/>
  <sheetViews>
    <sheetView zoomScale="85" zoomScaleNormal="85" workbookViewId="0">
      <pane xSplit="2" ySplit="1" topLeftCell="D450" activePane="bottomRight" state="frozen"/>
      <selection pane="topRight"/>
      <selection pane="bottomLeft"/>
      <selection pane="bottomRight" activeCell="M453" sqref="M453"/>
    </sheetView>
  </sheetViews>
  <sheetFormatPr defaultColWidth="12.5703125" defaultRowHeight="12.75"/>
  <cols>
    <col min="1" max="1" width="8.5703125" customWidth="1"/>
    <col min="2" max="2" width="9.42578125" customWidth="1"/>
    <col min="3" max="3" width="8.7109375" style="203" customWidth="1"/>
    <col min="4" max="4" width="24.28515625" style="203" customWidth="1"/>
    <col min="5" max="5" width="11.42578125" style="203" customWidth="1"/>
    <col min="6" max="6" width="17.140625" style="203" customWidth="1"/>
    <col min="7" max="7" width="12" hidden="1" customWidth="1"/>
    <col min="8" max="8" width="40.7109375" style="204" customWidth="1"/>
    <col min="9" max="9" width="18.42578125" style="203" customWidth="1"/>
    <col min="10" max="10" width="14.140625" style="203" customWidth="1"/>
    <col min="11" max="12" width="12.28515625" customWidth="1"/>
    <col min="13" max="13" width="26.140625" style="201" customWidth="1"/>
    <col min="14" max="14" width="19.42578125" style="205" customWidth="1"/>
    <col min="15" max="15" width="14.140625" customWidth="1"/>
    <col min="16" max="16" width="12.7109375" customWidth="1"/>
    <col min="17" max="17" width="16.140625" customWidth="1"/>
  </cols>
  <sheetData>
    <row r="1" spans="1:17" ht="25.5">
      <c r="A1" s="39" t="s">
        <v>142</v>
      </c>
      <c r="B1" s="39" t="s">
        <v>143</v>
      </c>
      <c r="C1" s="39" t="s">
        <v>144</v>
      </c>
      <c r="D1" s="39" t="s">
        <v>145</v>
      </c>
      <c r="E1" s="40" t="s">
        <v>146</v>
      </c>
      <c r="F1" s="39" t="s">
        <v>147</v>
      </c>
      <c r="G1" s="39" t="s">
        <v>187</v>
      </c>
      <c r="H1" s="39" t="s">
        <v>188</v>
      </c>
      <c r="I1" s="39" t="s">
        <v>189</v>
      </c>
      <c r="J1" s="40" t="s">
        <v>190</v>
      </c>
      <c r="K1" s="39" t="s">
        <v>148</v>
      </c>
      <c r="L1" s="39" t="s">
        <v>6</v>
      </c>
      <c r="M1" s="172" t="s">
        <v>149</v>
      </c>
      <c r="N1" s="39" t="s">
        <v>191</v>
      </c>
      <c r="O1" s="39" t="s">
        <v>192</v>
      </c>
      <c r="P1" s="39" t="s">
        <v>193</v>
      </c>
      <c r="Q1" s="115"/>
    </row>
    <row r="2" spans="1:17" ht="51">
      <c r="A2" s="41">
        <v>1</v>
      </c>
      <c r="B2" s="41">
        <f t="shared" ref="B2:B28" si="0">YEAR(E2)</f>
        <v>2016</v>
      </c>
      <c r="C2" s="41" t="s">
        <v>165</v>
      </c>
      <c r="D2" s="41" t="s">
        <v>194</v>
      </c>
      <c r="E2" s="42">
        <v>42735</v>
      </c>
      <c r="F2" s="41" t="s">
        <v>151</v>
      </c>
      <c r="G2" s="41" t="s">
        <v>195</v>
      </c>
      <c r="H2" s="41" t="s">
        <v>777</v>
      </c>
      <c r="I2" s="41" t="s">
        <v>196</v>
      </c>
      <c r="J2" s="42">
        <v>42781</v>
      </c>
      <c r="K2" s="41" t="s">
        <v>153</v>
      </c>
      <c r="L2" s="41"/>
      <c r="M2" s="173" t="s">
        <v>194</v>
      </c>
      <c r="N2" s="41"/>
      <c r="O2" s="41"/>
      <c r="P2" s="41">
        <v>2016</v>
      </c>
      <c r="Q2" s="115"/>
    </row>
    <row r="3" spans="1:17" ht="51">
      <c r="A3" s="41">
        <f>A2+1</f>
        <v>2</v>
      </c>
      <c r="B3" s="41">
        <f t="shared" si="0"/>
        <v>2016</v>
      </c>
      <c r="C3" s="41" t="s">
        <v>154</v>
      </c>
      <c r="D3" s="41" t="s">
        <v>197</v>
      </c>
      <c r="E3" s="42">
        <v>42732</v>
      </c>
      <c r="F3" s="41" t="s">
        <v>198</v>
      </c>
      <c r="G3" s="41" t="str">
        <f>LEFT(H3,FIND(CHAR(160),SUBSTITUTE(H3," ",CHAR(160),2))-1)</f>
        <v>Thông tư</v>
      </c>
      <c r="H3" s="41" t="s">
        <v>750</v>
      </c>
      <c r="I3" s="41" t="s">
        <v>199</v>
      </c>
      <c r="J3" s="42">
        <v>42777</v>
      </c>
      <c r="K3" s="41" t="s">
        <v>153</v>
      </c>
      <c r="L3" s="41"/>
      <c r="M3" s="173" t="s">
        <v>197</v>
      </c>
      <c r="N3" s="41"/>
      <c r="O3" s="41"/>
      <c r="P3" s="41">
        <v>2016</v>
      </c>
      <c r="Q3" s="115"/>
    </row>
    <row r="4" spans="1:17" ht="51">
      <c r="A4" s="41">
        <f t="shared" ref="A4:A67" si="1">A3+1</f>
        <v>3</v>
      </c>
      <c r="B4" s="41">
        <f t="shared" si="0"/>
        <v>2016</v>
      </c>
      <c r="C4" s="41" t="s">
        <v>154</v>
      </c>
      <c r="D4" s="41" t="s">
        <v>200</v>
      </c>
      <c r="E4" s="42">
        <v>42732</v>
      </c>
      <c r="F4" s="41" t="s">
        <v>170</v>
      </c>
      <c r="G4" s="41" t="s">
        <v>158</v>
      </c>
      <c r="H4" s="41" t="s">
        <v>751</v>
      </c>
      <c r="I4" s="41" t="s">
        <v>201</v>
      </c>
      <c r="J4" s="42">
        <v>42732</v>
      </c>
      <c r="K4" s="41" t="s">
        <v>160</v>
      </c>
      <c r="L4" s="41"/>
      <c r="M4" s="173" t="s">
        <v>200</v>
      </c>
      <c r="N4" s="41"/>
      <c r="O4" s="41"/>
      <c r="P4" s="41">
        <v>2016</v>
      </c>
      <c r="Q4" s="115"/>
    </row>
    <row r="5" spans="1:17" ht="51">
      <c r="A5" s="43">
        <f t="shared" si="1"/>
        <v>4</v>
      </c>
      <c r="B5" s="44">
        <f t="shared" si="0"/>
        <v>2017</v>
      </c>
      <c r="C5" s="44" t="s">
        <v>161</v>
      </c>
      <c r="D5" s="44" t="s">
        <v>202</v>
      </c>
      <c r="E5" s="45">
        <v>42776</v>
      </c>
      <c r="F5" s="44" t="s">
        <v>151</v>
      </c>
      <c r="G5" s="44" t="s">
        <v>195</v>
      </c>
      <c r="H5" s="44" t="s">
        <v>778</v>
      </c>
      <c r="I5" s="44" t="s">
        <v>196</v>
      </c>
      <c r="J5" s="45">
        <v>42776</v>
      </c>
      <c r="K5" s="43" t="s">
        <v>160</v>
      </c>
      <c r="L5" s="44"/>
      <c r="M5" s="174" t="s">
        <v>202</v>
      </c>
      <c r="N5" s="44"/>
      <c r="O5" s="44"/>
      <c r="P5" s="44">
        <v>2017</v>
      </c>
      <c r="Q5" s="115"/>
    </row>
    <row r="6" spans="1:17" ht="89.25">
      <c r="A6" s="43">
        <f t="shared" si="1"/>
        <v>5</v>
      </c>
      <c r="B6" s="44">
        <f t="shared" si="0"/>
        <v>2017</v>
      </c>
      <c r="C6" s="44" t="s">
        <v>163</v>
      </c>
      <c r="D6" s="44" t="s">
        <v>203</v>
      </c>
      <c r="E6" s="45">
        <v>42760</v>
      </c>
      <c r="F6" s="44" t="s">
        <v>151</v>
      </c>
      <c r="G6" s="44" t="s">
        <v>204</v>
      </c>
      <c r="H6" s="44" t="s">
        <v>771</v>
      </c>
      <c r="I6" s="44" t="s">
        <v>196</v>
      </c>
      <c r="J6" s="45">
        <v>42760</v>
      </c>
      <c r="K6" s="43" t="s">
        <v>160</v>
      </c>
      <c r="L6" s="44"/>
      <c r="M6" s="174" t="s">
        <v>203</v>
      </c>
      <c r="N6" s="44"/>
      <c r="O6" s="44"/>
      <c r="P6" s="44">
        <v>2017</v>
      </c>
      <c r="Q6" s="115"/>
    </row>
    <row r="7" spans="1:17" ht="25.5">
      <c r="A7" s="43">
        <f t="shared" si="1"/>
        <v>6</v>
      </c>
      <c r="B7" s="44">
        <f t="shared" si="0"/>
        <v>2017</v>
      </c>
      <c r="C7" s="44" t="s">
        <v>161</v>
      </c>
      <c r="D7" s="44" t="s">
        <v>205</v>
      </c>
      <c r="E7" s="45">
        <v>42776</v>
      </c>
      <c r="F7" s="44" t="s">
        <v>170</v>
      </c>
      <c r="G7" s="44" t="s">
        <v>206</v>
      </c>
      <c r="H7" s="44" t="s">
        <v>752</v>
      </c>
      <c r="I7" s="44" t="s">
        <v>207</v>
      </c>
      <c r="J7" s="45">
        <v>42776</v>
      </c>
      <c r="K7" s="43" t="s">
        <v>160</v>
      </c>
      <c r="L7" s="44"/>
      <c r="M7" s="174" t="s">
        <v>205</v>
      </c>
      <c r="N7" s="44"/>
      <c r="O7" s="44"/>
      <c r="P7" s="44">
        <v>2017</v>
      </c>
      <c r="Q7" s="115"/>
    </row>
    <row r="8" spans="1:17" ht="38.25">
      <c r="A8" s="43">
        <f t="shared" si="1"/>
        <v>7</v>
      </c>
      <c r="B8" s="44">
        <f t="shared" si="0"/>
        <v>2017</v>
      </c>
      <c r="C8" s="44" t="s">
        <v>150</v>
      </c>
      <c r="D8" s="44" t="s">
        <v>208</v>
      </c>
      <c r="E8" s="45">
        <v>42804</v>
      </c>
      <c r="F8" s="44" t="s">
        <v>151</v>
      </c>
      <c r="G8" s="44" t="s">
        <v>209</v>
      </c>
      <c r="H8" s="44" t="s">
        <v>779</v>
      </c>
      <c r="I8" s="44" t="s">
        <v>210</v>
      </c>
      <c r="J8" s="45">
        <v>42804</v>
      </c>
      <c r="K8" s="43" t="s">
        <v>160</v>
      </c>
      <c r="L8" s="44"/>
      <c r="M8" s="174" t="s">
        <v>208</v>
      </c>
      <c r="N8" s="44"/>
      <c r="O8" s="44"/>
      <c r="P8" s="44">
        <v>2017</v>
      </c>
      <c r="Q8" s="115"/>
    </row>
    <row r="9" spans="1:17" ht="63.75">
      <c r="A9" s="43">
        <f t="shared" si="1"/>
        <v>8</v>
      </c>
      <c r="B9" s="44">
        <f t="shared" si="0"/>
        <v>2017</v>
      </c>
      <c r="C9" s="44" t="s">
        <v>154</v>
      </c>
      <c r="D9" s="44" t="s">
        <v>211</v>
      </c>
      <c r="E9" s="45">
        <v>42802</v>
      </c>
      <c r="F9" s="44" t="s">
        <v>198</v>
      </c>
      <c r="G9" s="44" t="s">
        <v>198</v>
      </c>
      <c r="H9" s="44" t="s">
        <v>772</v>
      </c>
      <c r="I9" s="44" t="s">
        <v>199</v>
      </c>
      <c r="J9" s="45">
        <v>42856</v>
      </c>
      <c r="K9" s="43" t="s">
        <v>160</v>
      </c>
      <c r="L9" s="44"/>
      <c r="M9" s="174" t="s">
        <v>211</v>
      </c>
      <c r="N9" s="44"/>
      <c r="O9" s="44"/>
      <c r="P9" s="44">
        <v>2017</v>
      </c>
      <c r="Q9" s="115"/>
    </row>
    <row r="10" spans="1:17" ht="38.25">
      <c r="A10" s="43">
        <f t="shared" si="1"/>
        <v>9</v>
      </c>
      <c r="B10" s="44">
        <f t="shared" si="0"/>
        <v>2017</v>
      </c>
      <c r="C10" s="44" t="s">
        <v>154</v>
      </c>
      <c r="D10" s="44" t="s">
        <v>212</v>
      </c>
      <c r="E10" s="45">
        <v>42804</v>
      </c>
      <c r="F10" s="44" t="s">
        <v>198</v>
      </c>
      <c r="G10" s="44" t="s">
        <v>198</v>
      </c>
      <c r="H10" s="44" t="s">
        <v>773</v>
      </c>
      <c r="I10" s="44" t="s">
        <v>199</v>
      </c>
      <c r="J10" s="45">
        <v>42917</v>
      </c>
      <c r="K10" s="43" t="s">
        <v>160</v>
      </c>
      <c r="L10" s="44"/>
      <c r="M10" s="174" t="s">
        <v>212</v>
      </c>
      <c r="N10" s="44"/>
      <c r="O10" s="44"/>
      <c r="P10" s="44">
        <v>2017</v>
      </c>
      <c r="Q10" s="115"/>
    </row>
    <row r="11" spans="1:17" ht="38.25">
      <c r="A11" s="43">
        <f t="shared" si="1"/>
        <v>10</v>
      </c>
      <c r="B11" s="44">
        <f t="shared" si="0"/>
        <v>2017</v>
      </c>
      <c r="C11" s="44" t="s">
        <v>154</v>
      </c>
      <c r="D11" s="44" t="s">
        <v>213</v>
      </c>
      <c r="E11" s="45">
        <v>42804</v>
      </c>
      <c r="F11" s="44" t="s">
        <v>198</v>
      </c>
      <c r="G11" s="44" t="s">
        <v>198</v>
      </c>
      <c r="H11" s="44" t="s">
        <v>686</v>
      </c>
      <c r="I11" s="44" t="s">
        <v>199</v>
      </c>
      <c r="J11" s="45">
        <v>42856</v>
      </c>
      <c r="K11" s="43" t="s">
        <v>153</v>
      </c>
      <c r="L11" s="44"/>
      <c r="M11" s="174" t="s">
        <v>213</v>
      </c>
      <c r="N11" s="44"/>
      <c r="O11" s="44"/>
      <c r="P11" s="44">
        <v>2017</v>
      </c>
      <c r="Q11" s="115"/>
    </row>
    <row r="12" spans="1:17" ht="38.25">
      <c r="A12" s="43">
        <f t="shared" si="1"/>
        <v>11</v>
      </c>
      <c r="B12" s="44">
        <f t="shared" si="0"/>
        <v>2017</v>
      </c>
      <c r="C12" s="44" t="s">
        <v>154</v>
      </c>
      <c r="D12" s="44" t="s">
        <v>214</v>
      </c>
      <c r="E12" s="45">
        <v>42839</v>
      </c>
      <c r="F12" s="44" t="s">
        <v>215</v>
      </c>
      <c r="G12" s="44" t="s">
        <v>215</v>
      </c>
      <c r="H12" s="44" t="s">
        <v>774</v>
      </c>
      <c r="I12" s="44" t="s">
        <v>196</v>
      </c>
      <c r="J12" s="45">
        <v>42887</v>
      </c>
      <c r="K12" s="43" t="s">
        <v>153</v>
      </c>
      <c r="L12" s="44"/>
      <c r="M12" s="174" t="s">
        <v>214</v>
      </c>
      <c r="N12" s="44"/>
      <c r="O12" s="44"/>
      <c r="P12" s="44">
        <v>2017</v>
      </c>
      <c r="Q12" s="115"/>
    </row>
    <row r="13" spans="1:17" ht="38.25">
      <c r="A13" s="43">
        <f t="shared" si="1"/>
        <v>12</v>
      </c>
      <c r="B13" s="44">
        <f t="shared" si="0"/>
        <v>2017</v>
      </c>
      <c r="C13" s="44" t="s">
        <v>150</v>
      </c>
      <c r="D13" s="44" t="s">
        <v>216</v>
      </c>
      <c r="E13" s="45">
        <v>42846</v>
      </c>
      <c r="F13" s="44" t="s">
        <v>215</v>
      </c>
      <c r="G13" s="44" t="s">
        <v>215</v>
      </c>
      <c r="H13" s="44" t="s">
        <v>775</v>
      </c>
      <c r="I13" s="44" t="s">
        <v>196</v>
      </c>
      <c r="J13" s="45">
        <v>42846</v>
      </c>
      <c r="K13" s="43" t="s">
        <v>153</v>
      </c>
      <c r="L13" s="44"/>
      <c r="M13" s="174" t="s">
        <v>216</v>
      </c>
      <c r="N13" s="44"/>
      <c r="O13" s="44"/>
      <c r="P13" s="44">
        <v>2017</v>
      </c>
      <c r="Q13" s="115"/>
    </row>
    <row r="14" spans="1:17" ht="38.25">
      <c r="A14" s="43">
        <f t="shared" si="1"/>
        <v>13</v>
      </c>
      <c r="B14" s="44">
        <f t="shared" si="0"/>
        <v>2017</v>
      </c>
      <c r="C14" s="44" t="s">
        <v>154</v>
      </c>
      <c r="D14" s="44" t="s">
        <v>217</v>
      </c>
      <c r="E14" s="45">
        <v>42849</v>
      </c>
      <c r="F14" s="44" t="s">
        <v>215</v>
      </c>
      <c r="G14" s="44" t="s">
        <v>215</v>
      </c>
      <c r="H14" s="44" t="s">
        <v>776</v>
      </c>
      <c r="I14" s="44" t="s">
        <v>196</v>
      </c>
      <c r="J14" s="45">
        <v>42917</v>
      </c>
      <c r="K14" s="43" t="s">
        <v>153</v>
      </c>
      <c r="L14" s="44"/>
      <c r="M14" s="174" t="s">
        <v>217</v>
      </c>
      <c r="N14" s="44"/>
      <c r="O14" s="44"/>
      <c r="P14" s="44">
        <v>2017</v>
      </c>
      <c r="Q14" s="115"/>
    </row>
    <row r="15" spans="1:17" ht="38.25">
      <c r="A15" s="43">
        <f t="shared" si="1"/>
        <v>14</v>
      </c>
      <c r="B15" s="44">
        <f t="shared" si="0"/>
        <v>2017</v>
      </c>
      <c r="C15" s="44" t="s">
        <v>154</v>
      </c>
      <c r="D15" s="44" t="s">
        <v>218</v>
      </c>
      <c r="E15" s="45">
        <v>42843</v>
      </c>
      <c r="F15" s="44" t="s">
        <v>151</v>
      </c>
      <c r="G15" s="44" t="s">
        <v>151</v>
      </c>
      <c r="H15" s="44" t="s">
        <v>685</v>
      </c>
      <c r="I15" s="44" t="s">
        <v>196</v>
      </c>
      <c r="J15" s="45">
        <v>42843</v>
      </c>
      <c r="K15" s="43" t="s">
        <v>160</v>
      </c>
      <c r="L15" s="44"/>
      <c r="M15" s="174" t="s">
        <v>218</v>
      </c>
      <c r="N15" s="44"/>
      <c r="O15" s="44"/>
      <c r="P15" s="44">
        <v>2017</v>
      </c>
      <c r="Q15" s="115"/>
    </row>
    <row r="16" spans="1:17" ht="38.25">
      <c r="A16" s="43">
        <f t="shared" si="1"/>
        <v>15</v>
      </c>
      <c r="B16" s="44">
        <f t="shared" si="0"/>
        <v>2017</v>
      </c>
      <c r="C16" s="44" t="s">
        <v>154</v>
      </c>
      <c r="D16" s="44" t="s">
        <v>219</v>
      </c>
      <c r="E16" s="45">
        <v>42825</v>
      </c>
      <c r="F16" s="44" t="s">
        <v>151</v>
      </c>
      <c r="G16" s="44" t="s">
        <v>215</v>
      </c>
      <c r="H16" s="44" t="s">
        <v>780</v>
      </c>
      <c r="I16" s="44" t="s">
        <v>196</v>
      </c>
      <c r="J16" s="45">
        <v>42825</v>
      </c>
      <c r="K16" s="43" t="s">
        <v>160</v>
      </c>
      <c r="L16" s="44"/>
      <c r="M16" s="174" t="s">
        <v>219</v>
      </c>
      <c r="N16" s="44"/>
      <c r="O16" s="44"/>
      <c r="P16" s="44">
        <v>2017</v>
      </c>
      <c r="Q16" s="115"/>
    </row>
    <row r="17" spans="1:17" ht="51">
      <c r="A17" s="43">
        <f t="shared" si="1"/>
        <v>16</v>
      </c>
      <c r="B17" s="44">
        <f t="shared" si="0"/>
        <v>2017</v>
      </c>
      <c r="C17" s="44" t="s">
        <v>154</v>
      </c>
      <c r="D17" s="44" t="s">
        <v>220</v>
      </c>
      <c r="E17" s="45">
        <v>42880</v>
      </c>
      <c r="F17" s="44" t="s">
        <v>151</v>
      </c>
      <c r="G17" s="44" t="s">
        <v>159</v>
      </c>
      <c r="H17" s="44" t="s">
        <v>781</v>
      </c>
      <c r="I17" s="44" t="s">
        <v>196</v>
      </c>
      <c r="J17" s="45">
        <v>42880</v>
      </c>
      <c r="K17" s="43" t="s">
        <v>160</v>
      </c>
      <c r="L17" s="44"/>
      <c r="M17" s="174" t="s">
        <v>220</v>
      </c>
      <c r="N17" s="44"/>
      <c r="O17" s="44"/>
      <c r="P17" s="44">
        <v>2017</v>
      </c>
      <c r="Q17" s="115"/>
    </row>
    <row r="18" spans="1:17" ht="63.75">
      <c r="A18" s="43">
        <f t="shared" si="1"/>
        <v>17</v>
      </c>
      <c r="B18" s="44">
        <f t="shared" si="0"/>
        <v>2017</v>
      </c>
      <c r="C18" s="44" t="s">
        <v>168</v>
      </c>
      <c r="D18" s="44" t="s">
        <v>221</v>
      </c>
      <c r="E18" s="45">
        <v>42885</v>
      </c>
      <c r="F18" s="44" t="s">
        <v>151</v>
      </c>
      <c r="G18" s="44" t="s">
        <v>183</v>
      </c>
      <c r="H18" s="44" t="s">
        <v>684</v>
      </c>
      <c r="I18" s="44" t="s">
        <v>196</v>
      </c>
      <c r="J18" s="45">
        <v>42901</v>
      </c>
      <c r="K18" s="43" t="s">
        <v>160</v>
      </c>
      <c r="L18" s="44"/>
      <c r="M18" s="174" t="s">
        <v>221</v>
      </c>
      <c r="N18" s="44"/>
      <c r="O18" s="44"/>
      <c r="P18" s="44">
        <v>2017</v>
      </c>
      <c r="Q18" s="115"/>
    </row>
    <row r="19" spans="1:17" ht="38.25">
      <c r="A19" s="43">
        <f t="shared" si="1"/>
        <v>18</v>
      </c>
      <c r="B19" s="44">
        <f t="shared" si="0"/>
        <v>2017</v>
      </c>
      <c r="C19" s="44" t="s">
        <v>161</v>
      </c>
      <c r="D19" s="44" t="s">
        <v>222</v>
      </c>
      <c r="E19" s="45">
        <v>42886</v>
      </c>
      <c r="F19" s="44" t="s">
        <v>151</v>
      </c>
      <c r="G19" s="44" t="s">
        <v>151</v>
      </c>
      <c r="H19" s="44" t="s">
        <v>812</v>
      </c>
      <c r="I19" s="44" t="s">
        <v>196</v>
      </c>
      <c r="J19" s="45">
        <v>42931</v>
      </c>
      <c r="K19" s="43" t="s">
        <v>160</v>
      </c>
      <c r="L19" s="44"/>
      <c r="M19" s="174" t="s">
        <v>222</v>
      </c>
      <c r="N19" s="44"/>
      <c r="O19" s="44"/>
      <c r="P19" s="44">
        <v>2017</v>
      </c>
      <c r="Q19" s="115"/>
    </row>
    <row r="20" spans="1:17" ht="38.25">
      <c r="A20" s="43">
        <f t="shared" si="1"/>
        <v>19</v>
      </c>
      <c r="B20" s="44">
        <f t="shared" si="0"/>
        <v>2017</v>
      </c>
      <c r="C20" s="44" t="s">
        <v>155</v>
      </c>
      <c r="D20" s="44" t="s">
        <v>223</v>
      </c>
      <c r="E20" s="45">
        <v>42933</v>
      </c>
      <c r="F20" s="44" t="s">
        <v>215</v>
      </c>
      <c r="G20" s="44" t="s">
        <v>215</v>
      </c>
      <c r="H20" s="44" t="s">
        <v>813</v>
      </c>
      <c r="I20" s="44" t="s">
        <v>196</v>
      </c>
      <c r="J20" s="45">
        <v>42983</v>
      </c>
      <c r="K20" s="44" t="s">
        <v>160</v>
      </c>
      <c r="L20" s="44"/>
      <c r="M20" s="174" t="s">
        <v>223</v>
      </c>
      <c r="N20" s="44"/>
      <c r="O20" s="44"/>
      <c r="P20" s="44">
        <v>2017</v>
      </c>
      <c r="Q20" s="115"/>
    </row>
    <row r="21" spans="1:17" ht="63.75">
      <c r="A21" s="43">
        <f t="shared" si="1"/>
        <v>20</v>
      </c>
      <c r="B21" s="44">
        <f t="shared" si="0"/>
        <v>2017</v>
      </c>
      <c r="C21" s="44" t="s">
        <v>154</v>
      </c>
      <c r="D21" s="44" t="s">
        <v>224</v>
      </c>
      <c r="E21" s="45">
        <v>42943</v>
      </c>
      <c r="F21" s="44" t="s">
        <v>215</v>
      </c>
      <c r="G21" s="44" t="s">
        <v>215</v>
      </c>
      <c r="H21" s="44" t="s">
        <v>814</v>
      </c>
      <c r="I21" s="44" t="s">
        <v>196</v>
      </c>
      <c r="J21" s="45">
        <v>42993</v>
      </c>
      <c r="K21" s="44" t="s">
        <v>153</v>
      </c>
      <c r="L21" s="44"/>
      <c r="M21" s="174" t="s">
        <v>224</v>
      </c>
      <c r="N21" s="44"/>
      <c r="O21" s="44"/>
      <c r="P21" s="44">
        <v>2017</v>
      </c>
      <c r="Q21" s="115"/>
    </row>
    <row r="22" spans="1:17" ht="25.5">
      <c r="A22" s="43">
        <f t="shared" si="1"/>
        <v>21</v>
      </c>
      <c r="B22" s="44">
        <f t="shared" si="0"/>
        <v>2017</v>
      </c>
      <c r="C22" s="44" t="s">
        <v>154</v>
      </c>
      <c r="D22" s="44" t="s">
        <v>225</v>
      </c>
      <c r="E22" s="45">
        <v>42979</v>
      </c>
      <c r="F22" s="44" t="s">
        <v>215</v>
      </c>
      <c r="G22" s="44" t="s">
        <v>215</v>
      </c>
      <c r="H22" s="44" t="s">
        <v>815</v>
      </c>
      <c r="I22" s="44" t="s">
        <v>196</v>
      </c>
      <c r="J22" s="45">
        <v>43029</v>
      </c>
      <c r="K22" s="44" t="s">
        <v>160</v>
      </c>
      <c r="L22" s="44"/>
      <c r="M22" s="174" t="s">
        <v>225</v>
      </c>
      <c r="N22" s="44"/>
      <c r="O22" s="44"/>
      <c r="P22" s="44">
        <v>2017</v>
      </c>
      <c r="Q22" s="115"/>
    </row>
    <row r="23" spans="1:17" ht="38.25">
      <c r="A23" s="43">
        <f t="shared" si="1"/>
        <v>22</v>
      </c>
      <c r="B23" s="44">
        <f t="shared" si="0"/>
        <v>2017</v>
      </c>
      <c r="C23" s="44" t="s">
        <v>154</v>
      </c>
      <c r="D23" s="44" t="s">
        <v>226</v>
      </c>
      <c r="E23" s="45">
        <v>42947</v>
      </c>
      <c r="F23" s="44" t="s">
        <v>215</v>
      </c>
      <c r="G23" s="44" t="s">
        <v>215</v>
      </c>
      <c r="H23" s="44" t="s">
        <v>816</v>
      </c>
      <c r="I23" s="44" t="s">
        <v>196</v>
      </c>
      <c r="J23" s="45">
        <v>43009</v>
      </c>
      <c r="K23" s="44" t="s">
        <v>153</v>
      </c>
      <c r="L23" s="44"/>
      <c r="M23" s="174" t="s">
        <v>226</v>
      </c>
      <c r="N23" s="44"/>
      <c r="O23" s="44"/>
      <c r="P23" s="44">
        <v>2017</v>
      </c>
      <c r="Q23" s="115"/>
    </row>
    <row r="24" spans="1:17" ht="51">
      <c r="A24" s="43">
        <f t="shared" si="1"/>
        <v>23</v>
      </c>
      <c r="B24" s="44">
        <f t="shared" si="0"/>
        <v>2017</v>
      </c>
      <c r="C24" s="44" t="s">
        <v>154</v>
      </c>
      <c r="D24" s="44" t="s">
        <v>227</v>
      </c>
      <c r="E24" s="45">
        <v>42991</v>
      </c>
      <c r="F24" s="44" t="s">
        <v>172</v>
      </c>
      <c r="G24" s="44" t="s">
        <v>172</v>
      </c>
      <c r="H24" s="44" t="s">
        <v>817</v>
      </c>
      <c r="I24" s="44" t="s">
        <v>196</v>
      </c>
      <c r="J24" s="45">
        <v>42991</v>
      </c>
      <c r="K24" s="44" t="s">
        <v>160</v>
      </c>
      <c r="L24" s="44"/>
      <c r="M24" s="174" t="s">
        <v>227</v>
      </c>
      <c r="N24" s="44"/>
      <c r="O24" s="44"/>
      <c r="P24" s="44">
        <v>2017</v>
      </c>
      <c r="Q24" s="115"/>
    </row>
    <row r="25" spans="1:17" ht="63.75">
      <c r="A25" s="43">
        <f t="shared" si="1"/>
        <v>24</v>
      </c>
      <c r="B25" s="44">
        <f t="shared" si="0"/>
        <v>2017</v>
      </c>
      <c r="C25" s="44" t="s">
        <v>154</v>
      </c>
      <c r="D25" s="44" t="s">
        <v>228</v>
      </c>
      <c r="E25" s="45">
        <v>43033</v>
      </c>
      <c r="F25" s="44" t="s">
        <v>172</v>
      </c>
      <c r="G25" s="44" t="s">
        <v>172</v>
      </c>
      <c r="H25" s="44" t="s">
        <v>818</v>
      </c>
      <c r="I25" s="44" t="s">
        <v>196</v>
      </c>
      <c r="J25" s="45">
        <v>43033</v>
      </c>
      <c r="K25" s="44" t="s">
        <v>160</v>
      </c>
      <c r="L25" s="44"/>
      <c r="M25" s="174" t="s">
        <v>228</v>
      </c>
      <c r="N25" s="44"/>
      <c r="O25" s="44"/>
      <c r="P25" s="44">
        <v>2017</v>
      </c>
      <c r="Q25" s="115"/>
    </row>
    <row r="26" spans="1:17" ht="38.25">
      <c r="A26" s="43">
        <f t="shared" si="1"/>
        <v>25</v>
      </c>
      <c r="B26" s="44">
        <f t="shared" si="0"/>
        <v>2017</v>
      </c>
      <c r="C26" s="44" t="s">
        <v>154</v>
      </c>
      <c r="D26" s="44" t="s">
        <v>229</v>
      </c>
      <c r="E26" s="45">
        <v>43038</v>
      </c>
      <c r="F26" s="44" t="s">
        <v>151</v>
      </c>
      <c r="G26" s="44" t="s">
        <v>151</v>
      </c>
      <c r="H26" s="44" t="s">
        <v>683</v>
      </c>
      <c r="I26" s="44" t="s">
        <v>196</v>
      </c>
      <c r="J26" s="45">
        <v>43038</v>
      </c>
      <c r="K26" s="44" t="s">
        <v>160</v>
      </c>
      <c r="L26" s="44"/>
      <c r="M26" s="174" t="s">
        <v>229</v>
      </c>
      <c r="N26" s="44"/>
      <c r="O26" s="44"/>
      <c r="P26" s="44">
        <v>2017</v>
      </c>
      <c r="Q26" s="115"/>
    </row>
    <row r="27" spans="1:17" ht="38.25">
      <c r="A27" s="43">
        <f t="shared" si="1"/>
        <v>26</v>
      </c>
      <c r="B27" s="44">
        <f t="shared" si="0"/>
        <v>2017</v>
      </c>
      <c r="C27" s="44" t="s">
        <v>150</v>
      </c>
      <c r="D27" s="44" t="s">
        <v>230</v>
      </c>
      <c r="E27" s="45">
        <v>43074</v>
      </c>
      <c r="F27" s="44" t="s">
        <v>215</v>
      </c>
      <c r="G27" s="44" t="s">
        <v>215</v>
      </c>
      <c r="H27" s="44" t="s">
        <v>819</v>
      </c>
      <c r="I27" s="44" t="s">
        <v>196</v>
      </c>
      <c r="J27" s="45">
        <v>43120</v>
      </c>
      <c r="K27" s="44" t="s">
        <v>153</v>
      </c>
      <c r="L27" s="44"/>
      <c r="M27" s="174" t="s">
        <v>230</v>
      </c>
      <c r="N27" s="44"/>
      <c r="O27" s="44"/>
      <c r="P27" s="44">
        <v>2017</v>
      </c>
      <c r="Q27" s="115"/>
    </row>
    <row r="28" spans="1:17" ht="38.25">
      <c r="A28" s="43">
        <f t="shared" si="1"/>
        <v>27</v>
      </c>
      <c r="B28" s="44">
        <f t="shared" si="0"/>
        <v>2017</v>
      </c>
      <c r="C28" s="44" t="s">
        <v>154</v>
      </c>
      <c r="D28" s="44" t="s">
        <v>231</v>
      </c>
      <c r="E28" s="45">
        <v>43054</v>
      </c>
      <c r="F28" s="44" t="s">
        <v>172</v>
      </c>
      <c r="G28" s="44" t="s">
        <v>232</v>
      </c>
      <c r="H28" s="44" t="s">
        <v>820</v>
      </c>
      <c r="I28" s="44" t="s">
        <v>233</v>
      </c>
      <c r="J28" s="45">
        <v>43054</v>
      </c>
      <c r="K28" s="44" t="s">
        <v>153</v>
      </c>
      <c r="L28" s="44"/>
      <c r="M28" s="174" t="s">
        <v>231</v>
      </c>
      <c r="N28" s="44"/>
      <c r="O28" s="44"/>
      <c r="P28" s="44">
        <v>2017</v>
      </c>
      <c r="Q28" s="115"/>
    </row>
    <row r="29" spans="1:17" ht="102">
      <c r="A29" s="38">
        <f t="shared" si="1"/>
        <v>28</v>
      </c>
      <c r="B29" s="38">
        <v>2018</v>
      </c>
      <c r="C29" s="38" t="s">
        <v>154</v>
      </c>
      <c r="D29" s="38" t="s">
        <v>234</v>
      </c>
      <c r="E29" s="46">
        <v>43124</v>
      </c>
      <c r="F29" s="38" t="s">
        <v>215</v>
      </c>
      <c r="G29" s="38" t="s">
        <v>215</v>
      </c>
      <c r="H29" s="38" t="s">
        <v>821</v>
      </c>
      <c r="I29" s="38" t="s">
        <v>196</v>
      </c>
      <c r="J29" s="46">
        <v>43124</v>
      </c>
      <c r="K29" s="47" t="s">
        <v>160</v>
      </c>
      <c r="L29" s="38"/>
      <c r="M29" s="173" t="s">
        <v>234</v>
      </c>
      <c r="N29" s="38"/>
      <c r="O29" s="38"/>
      <c r="P29" s="38">
        <v>2018</v>
      </c>
      <c r="Q29" s="115"/>
    </row>
    <row r="30" spans="1:17" ht="63.75">
      <c r="A30" s="38">
        <f t="shared" si="1"/>
        <v>29</v>
      </c>
      <c r="B30" s="38">
        <v>2018</v>
      </c>
      <c r="C30" s="38" t="s">
        <v>165</v>
      </c>
      <c r="D30" s="38" t="s">
        <v>235</v>
      </c>
      <c r="E30" s="46">
        <v>43140</v>
      </c>
      <c r="F30" s="38" t="s">
        <v>151</v>
      </c>
      <c r="G30" s="38" t="s">
        <v>152</v>
      </c>
      <c r="H30" s="38" t="s">
        <v>682</v>
      </c>
      <c r="I30" s="38" t="s">
        <v>196</v>
      </c>
      <c r="J30" s="46">
        <v>43140</v>
      </c>
      <c r="K30" s="47" t="s">
        <v>160</v>
      </c>
      <c r="L30" s="38"/>
      <c r="M30" s="173" t="s">
        <v>235</v>
      </c>
      <c r="N30" s="38"/>
      <c r="O30" s="38"/>
      <c r="P30" s="38">
        <v>2018</v>
      </c>
      <c r="Q30" s="115"/>
    </row>
    <row r="31" spans="1:17" ht="63.75">
      <c r="A31" s="38">
        <f t="shared" si="1"/>
        <v>30</v>
      </c>
      <c r="B31" s="38">
        <v>2018</v>
      </c>
      <c r="C31" s="38" t="s">
        <v>150</v>
      </c>
      <c r="D31" s="38" t="s">
        <v>678</v>
      </c>
      <c r="E31" s="46">
        <v>43154</v>
      </c>
      <c r="F31" s="38" t="s">
        <v>215</v>
      </c>
      <c r="G31" s="38" t="s">
        <v>215</v>
      </c>
      <c r="H31" s="38" t="s">
        <v>822</v>
      </c>
      <c r="I31" s="38" t="s">
        <v>196</v>
      </c>
      <c r="J31" s="46">
        <v>43200</v>
      </c>
      <c r="K31" s="47" t="s">
        <v>153</v>
      </c>
      <c r="L31" s="38"/>
      <c r="M31" s="173" t="s">
        <v>236</v>
      </c>
      <c r="N31" s="38"/>
      <c r="O31" s="38"/>
      <c r="P31" s="38">
        <v>2018</v>
      </c>
      <c r="Q31" s="115"/>
    </row>
    <row r="32" spans="1:17" ht="38.25">
      <c r="A32" s="38">
        <f t="shared" si="1"/>
        <v>31</v>
      </c>
      <c r="B32" s="38">
        <v>2018</v>
      </c>
      <c r="C32" s="38" t="s">
        <v>154</v>
      </c>
      <c r="D32" s="38" t="s">
        <v>679</v>
      </c>
      <c r="E32" s="46">
        <v>43235</v>
      </c>
      <c r="F32" s="38" t="s">
        <v>215</v>
      </c>
      <c r="G32" s="38" t="s">
        <v>215</v>
      </c>
      <c r="H32" s="38" t="s">
        <v>823</v>
      </c>
      <c r="I32" s="38" t="s">
        <v>196</v>
      </c>
      <c r="J32" s="46">
        <v>43282</v>
      </c>
      <c r="K32" s="47" t="s">
        <v>153</v>
      </c>
      <c r="L32" s="38"/>
      <c r="M32" s="173" t="s">
        <v>237</v>
      </c>
      <c r="N32" s="38"/>
      <c r="O32" s="38"/>
      <c r="P32" s="38">
        <v>2018</v>
      </c>
      <c r="Q32" s="115"/>
    </row>
    <row r="33" spans="1:17" ht="38.25">
      <c r="A33" s="38">
        <f t="shared" si="1"/>
        <v>32</v>
      </c>
      <c r="B33" s="38">
        <v>2018</v>
      </c>
      <c r="C33" s="38" t="s">
        <v>156</v>
      </c>
      <c r="D33" s="38" t="s">
        <v>681</v>
      </c>
      <c r="E33" s="46">
        <v>43257</v>
      </c>
      <c r="F33" s="38" t="s">
        <v>215</v>
      </c>
      <c r="G33" s="38" t="s">
        <v>215</v>
      </c>
      <c r="H33" s="38" t="s">
        <v>824</v>
      </c>
      <c r="I33" s="38" t="s">
        <v>196</v>
      </c>
      <c r="J33" s="46">
        <v>43313</v>
      </c>
      <c r="K33" s="47" t="s">
        <v>160</v>
      </c>
      <c r="L33" s="38"/>
      <c r="M33" s="173" t="s">
        <v>238</v>
      </c>
      <c r="N33" s="38"/>
      <c r="O33" s="38"/>
      <c r="P33" s="38">
        <v>2018</v>
      </c>
      <c r="Q33" s="115"/>
    </row>
    <row r="34" spans="1:17" ht="38.25">
      <c r="A34" s="38">
        <f t="shared" si="1"/>
        <v>33</v>
      </c>
      <c r="B34" s="38">
        <v>2018</v>
      </c>
      <c r="C34" s="38" t="s">
        <v>150</v>
      </c>
      <c r="D34" s="38" t="s">
        <v>680</v>
      </c>
      <c r="E34" s="46">
        <v>43293</v>
      </c>
      <c r="F34" s="38" t="s">
        <v>151</v>
      </c>
      <c r="G34" s="38" t="s">
        <v>151</v>
      </c>
      <c r="H34" s="38" t="s">
        <v>677</v>
      </c>
      <c r="I34" s="38" t="s">
        <v>196</v>
      </c>
      <c r="J34" s="46">
        <v>43349</v>
      </c>
      <c r="K34" s="47" t="s">
        <v>160</v>
      </c>
      <c r="L34" s="38"/>
      <c r="M34" s="173" t="s">
        <v>239</v>
      </c>
      <c r="N34" s="38"/>
      <c r="O34" s="38"/>
      <c r="P34" s="38">
        <v>2018</v>
      </c>
      <c r="Q34" s="115"/>
    </row>
    <row r="35" spans="1:17" ht="38.25">
      <c r="A35" s="38">
        <f t="shared" si="1"/>
        <v>34</v>
      </c>
      <c r="B35" s="38">
        <v>2018</v>
      </c>
      <c r="C35" s="38" t="s">
        <v>154</v>
      </c>
      <c r="D35" s="38" t="s">
        <v>240</v>
      </c>
      <c r="E35" s="46">
        <v>43315</v>
      </c>
      <c r="F35" s="38" t="s">
        <v>170</v>
      </c>
      <c r="G35" s="38" t="s">
        <v>170</v>
      </c>
      <c r="H35" s="38" t="s">
        <v>753</v>
      </c>
      <c r="I35" s="38" t="s">
        <v>196</v>
      </c>
      <c r="J35" s="46">
        <v>43315</v>
      </c>
      <c r="K35" s="47" t="s">
        <v>160</v>
      </c>
      <c r="L35" s="38"/>
      <c r="M35" s="173" t="s">
        <v>240</v>
      </c>
      <c r="N35" s="38"/>
      <c r="O35" s="38"/>
      <c r="P35" s="38">
        <v>2018</v>
      </c>
      <c r="Q35" s="115"/>
    </row>
    <row r="36" spans="1:17" ht="51">
      <c r="A36" s="38">
        <f t="shared" si="1"/>
        <v>35</v>
      </c>
      <c r="B36" s="38">
        <v>2018</v>
      </c>
      <c r="C36" s="38" t="s">
        <v>156</v>
      </c>
      <c r="D36" s="38" t="s">
        <v>241</v>
      </c>
      <c r="E36" s="46">
        <v>43343</v>
      </c>
      <c r="F36" s="38" t="s">
        <v>215</v>
      </c>
      <c r="G36" s="38" t="s">
        <v>215</v>
      </c>
      <c r="H36" s="38" t="s">
        <v>825</v>
      </c>
      <c r="I36" s="38" t="s">
        <v>196</v>
      </c>
      <c r="J36" s="46">
        <v>43388</v>
      </c>
      <c r="K36" s="47" t="s">
        <v>153</v>
      </c>
      <c r="L36" s="38"/>
      <c r="M36" s="173" t="s">
        <v>241</v>
      </c>
      <c r="N36" s="38"/>
      <c r="O36" s="38"/>
      <c r="P36" s="38">
        <v>2018</v>
      </c>
      <c r="Q36" s="115"/>
    </row>
    <row r="37" spans="1:17" ht="38.25">
      <c r="A37" s="38">
        <f t="shared" si="1"/>
        <v>36</v>
      </c>
      <c r="B37" s="38">
        <v>2018</v>
      </c>
      <c r="C37" s="38" t="s">
        <v>154</v>
      </c>
      <c r="D37" s="38" t="s">
        <v>242</v>
      </c>
      <c r="E37" s="46">
        <v>43361</v>
      </c>
      <c r="F37" s="38" t="s">
        <v>206</v>
      </c>
      <c r="G37" s="38" t="s">
        <v>206</v>
      </c>
      <c r="H37" s="38" t="s">
        <v>826</v>
      </c>
      <c r="I37" s="38" t="s">
        <v>196</v>
      </c>
      <c r="J37" s="46">
        <v>43361</v>
      </c>
      <c r="K37" s="47" t="s">
        <v>160</v>
      </c>
      <c r="L37" s="38"/>
      <c r="M37" s="173" t="s">
        <v>242</v>
      </c>
      <c r="N37" s="38"/>
      <c r="O37" s="38"/>
      <c r="P37" s="38">
        <v>2018</v>
      </c>
      <c r="Q37" s="115"/>
    </row>
    <row r="38" spans="1:17" ht="76.5">
      <c r="A38" s="38">
        <f t="shared" si="1"/>
        <v>37</v>
      </c>
      <c r="B38" s="38">
        <v>2018</v>
      </c>
      <c r="C38" s="38" t="s">
        <v>168</v>
      </c>
      <c r="D38" s="46" t="s">
        <v>243</v>
      </c>
      <c r="E38" s="46">
        <v>43343</v>
      </c>
      <c r="F38" s="38" t="s">
        <v>151</v>
      </c>
      <c r="G38" s="38" t="s">
        <v>151</v>
      </c>
      <c r="H38" s="38" t="s">
        <v>782</v>
      </c>
      <c r="I38" s="38" t="s">
        <v>196</v>
      </c>
      <c r="J38" s="46">
        <v>43388</v>
      </c>
      <c r="K38" s="47" t="s">
        <v>160</v>
      </c>
      <c r="L38" s="38"/>
      <c r="M38" s="173" t="s">
        <v>243</v>
      </c>
      <c r="N38" s="38"/>
      <c r="O38" s="38"/>
      <c r="P38" s="38">
        <v>2018</v>
      </c>
      <c r="Q38" s="115"/>
    </row>
    <row r="39" spans="1:17" ht="63.75">
      <c r="A39" s="38">
        <f t="shared" si="1"/>
        <v>38</v>
      </c>
      <c r="B39" s="38">
        <v>2018</v>
      </c>
      <c r="C39" s="38" t="s">
        <v>154</v>
      </c>
      <c r="D39" s="46" t="s">
        <v>244</v>
      </c>
      <c r="E39" s="46">
        <v>43377</v>
      </c>
      <c r="F39" s="38" t="s">
        <v>215</v>
      </c>
      <c r="G39" s="38" t="s">
        <v>215</v>
      </c>
      <c r="H39" s="38" t="s">
        <v>676</v>
      </c>
      <c r="I39" s="38" t="s">
        <v>196</v>
      </c>
      <c r="J39" s="46">
        <v>43424</v>
      </c>
      <c r="K39" s="47" t="s">
        <v>153</v>
      </c>
      <c r="L39" s="38"/>
      <c r="M39" s="173" t="s">
        <v>244</v>
      </c>
      <c r="N39" s="38"/>
      <c r="O39" s="38"/>
      <c r="P39" s="38">
        <v>2018</v>
      </c>
      <c r="Q39" s="115"/>
    </row>
    <row r="40" spans="1:17" ht="63.75">
      <c r="A40" s="38">
        <f t="shared" si="1"/>
        <v>39</v>
      </c>
      <c r="B40" s="38">
        <v>2018</v>
      </c>
      <c r="C40" s="38" t="s">
        <v>154</v>
      </c>
      <c r="D40" s="46" t="s">
        <v>245</v>
      </c>
      <c r="E40" s="46">
        <v>43388</v>
      </c>
      <c r="F40" s="38" t="s">
        <v>215</v>
      </c>
      <c r="G40" s="38" t="s">
        <v>215</v>
      </c>
      <c r="H40" s="38" t="s">
        <v>827</v>
      </c>
      <c r="I40" s="38" t="s">
        <v>196</v>
      </c>
      <c r="J40" s="46">
        <v>43435</v>
      </c>
      <c r="K40" s="47" t="s">
        <v>153</v>
      </c>
      <c r="L40" s="38"/>
      <c r="M40" s="173" t="s">
        <v>245</v>
      </c>
      <c r="N40" s="38"/>
      <c r="O40" s="38"/>
      <c r="P40" s="38">
        <v>2018</v>
      </c>
      <c r="Q40" s="115"/>
    </row>
    <row r="41" spans="1:17" ht="63.75">
      <c r="A41" s="38">
        <f t="shared" si="1"/>
        <v>40</v>
      </c>
      <c r="B41" s="48">
        <v>2018</v>
      </c>
      <c r="C41" s="48" t="s">
        <v>154</v>
      </c>
      <c r="D41" s="48" t="s">
        <v>246</v>
      </c>
      <c r="E41" s="49">
        <v>43397</v>
      </c>
      <c r="F41" s="48" t="s">
        <v>215</v>
      </c>
      <c r="G41" s="48" t="s">
        <v>151</v>
      </c>
      <c r="H41" s="48" t="s">
        <v>828</v>
      </c>
      <c r="I41" s="48" t="s">
        <v>196</v>
      </c>
      <c r="J41" s="49">
        <v>43449</v>
      </c>
      <c r="K41" s="47" t="s">
        <v>153</v>
      </c>
      <c r="L41" s="48"/>
      <c r="M41" s="175" t="s">
        <v>246</v>
      </c>
      <c r="N41" s="48"/>
      <c r="O41" s="48"/>
      <c r="P41" s="48">
        <v>2018</v>
      </c>
      <c r="Q41" s="115"/>
    </row>
    <row r="42" spans="1:17" ht="38.25">
      <c r="A42" s="38">
        <f t="shared" si="1"/>
        <v>41</v>
      </c>
      <c r="B42" s="38">
        <v>2018</v>
      </c>
      <c r="C42" s="38" t="s">
        <v>150</v>
      </c>
      <c r="D42" s="46" t="s">
        <v>247</v>
      </c>
      <c r="E42" s="46">
        <v>43376</v>
      </c>
      <c r="F42" s="38" t="s">
        <v>151</v>
      </c>
      <c r="G42" s="38" t="s">
        <v>215</v>
      </c>
      <c r="H42" s="38" t="s">
        <v>829</v>
      </c>
      <c r="I42" s="38" t="s">
        <v>196</v>
      </c>
      <c r="J42" s="46">
        <v>43376</v>
      </c>
      <c r="K42" s="47" t="s">
        <v>160</v>
      </c>
      <c r="L42" s="38"/>
      <c r="M42" s="173" t="s">
        <v>247</v>
      </c>
      <c r="N42" s="38"/>
      <c r="O42" s="38"/>
      <c r="P42" s="38">
        <v>2018</v>
      </c>
      <c r="Q42" s="115"/>
    </row>
    <row r="43" spans="1:17" ht="38.25">
      <c r="A43" s="38">
        <f t="shared" si="1"/>
        <v>42</v>
      </c>
      <c r="B43" s="38">
        <v>2018</v>
      </c>
      <c r="C43" s="38" t="s">
        <v>154</v>
      </c>
      <c r="D43" s="46" t="s">
        <v>248</v>
      </c>
      <c r="E43" s="46">
        <v>43390</v>
      </c>
      <c r="F43" s="38" t="s">
        <v>198</v>
      </c>
      <c r="G43" s="38" t="s">
        <v>198</v>
      </c>
      <c r="H43" s="38" t="s">
        <v>830</v>
      </c>
      <c r="I43" s="38" t="s">
        <v>199</v>
      </c>
      <c r="J43" s="46">
        <v>43466</v>
      </c>
      <c r="K43" s="47" t="s">
        <v>153</v>
      </c>
      <c r="L43" s="38"/>
      <c r="M43" s="173" t="s">
        <v>248</v>
      </c>
      <c r="N43" s="38"/>
      <c r="O43" s="38"/>
      <c r="P43" s="38">
        <v>2018</v>
      </c>
      <c r="Q43" s="115"/>
    </row>
    <row r="44" spans="1:17" ht="38.25">
      <c r="A44" s="38">
        <f t="shared" si="1"/>
        <v>43</v>
      </c>
      <c r="B44" s="38">
        <v>2018</v>
      </c>
      <c r="C44" s="38" t="s">
        <v>154</v>
      </c>
      <c r="D44" s="46" t="s">
        <v>249</v>
      </c>
      <c r="E44" s="46">
        <v>43390</v>
      </c>
      <c r="F44" s="38" t="s">
        <v>215</v>
      </c>
      <c r="G44" s="38" t="s">
        <v>215</v>
      </c>
      <c r="H44" s="38" t="s">
        <v>831</v>
      </c>
      <c r="I44" s="38" t="s">
        <v>196</v>
      </c>
      <c r="J44" s="46">
        <v>43112</v>
      </c>
      <c r="K44" s="47" t="s">
        <v>153</v>
      </c>
      <c r="L44" s="38"/>
      <c r="M44" s="173" t="s">
        <v>249</v>
      </c>
      <c r="N44" s="38"/>
      <c r="O44" s="38"/>
      <c r="P44" s="38">
        <v>2018</v>
      </c>
      <c r="Q44" s="115"/>
    </row>
    <row r="45" spans="1:17" ht="76.5">
      <c r="A45" s="38">
        <f t="shared" si="1"/>
        <v>44</v>
      </c>
      <c r="B45" s="38">
        <v>2018</v>
      </c>
      <c r="C45" s="38" t="s">
        <v>161</v>
      </c>
      <c r="D45" s="46" t="s">
        <v>250</v>
      </c>
      <c r="E45" s="46">
        <v>43411</v>
      </c>
      <c r="F45" s="38" t="s">
        <v>215</v>
      </c>
      <c r="G45" s="38" t="s">
        <v>204</v>
      </c>
      <c r="H45" s="38" t="s">
        <v>832</v>
      </c>
      <c r="I45" s="38" t="s">
        <v>196</v>
      </c>
      <c r="J45" s="46">
        <v>43458</v>
      </c>
      <c r="K45" s="47" t="s">
        <v>160</v>
      </c>
      <c r="L45" s="38"/>
      <c r="M45" s="173" t="s">
        <v>250</v>
      </c>
      <c r="N45" s="38"/>
      <c r="O45" s="38"/>
      <c r="P45" s="38">
        <v>2018</v>
      </c>
      <c r="Q45" s="115"/>
    </row>
    <row r="46" spans="1:17" ht="216.75">
      <c r="A46" s="38">
        <f t="shared" si="1"/>
        <v>45</v>
      </c>
      <c r="B46" s="38">
        <v>2018</v>
      </c>
      <c r="C46" s="38" t="s">
        <v>154</v>
      </c>
      <c r="D46" s="46" t="s">
        <v>251</v>
      </c>
      <c r="E46" s="46">
        <v>43398</v>
      </c>
      <c r="F46" s="38" t="s">
        <v>198</v>
      </c>
      <c r="G46" s="38" t="s">
        <v>198</v>
      </c>
      <c r="H46" s="38" t="s">
        <v>833</v>
      </c>
      <c r="I46" s="38" t="s">
        <v>252</v>
      </c>
      <c r="J46" s="46">
        <v>43444</v>
      </c>
      <c r="K46" s="47" t="s">
        <v>160</v>
      </c>
      <c r="L46" s="38"/>
      <c r="M46" s="173" t="s">
        <v>251</v>
      </c>
      <c r="N46" s="38"/>
      <c r="O46" s="38"/>
      <c r="P46" s="38">
        <v>2018</v>
      </c>
      <c r="Q46" s="115"/>
    </row>
    <row r="47" spans="1:17" ht="89.25">
      <c r="A47" s="38">
        <f t="shared" si="1"/>
        <v>46</v>
      </c>
      <c r="B47" s="38">
        <v>2018</v>
      </c>
      <c r="C47" s="38" t="s">
        <v>154</v>
      </c>
      <c r="D47" s="46" t="s">
        <v>253</v>
      </c>
      <c r="E47" s="46">
        <v>43433</v>
      </c>
      <c r="F47" s="38" t="s">
        <v>215</v>
      </c>
      <c r="G47" s="38" t="s">
        <v>215</v>
      </c>
      <c r="H47" s="38" t="s">
        <v>834</v>
      </c>
      <c r="I47" s="38" t="s">
        <v>196</v>
      </c>
      <c r="J47" s="46">
        <v>43480</v>
      </c>
      <c r="K47" s="47" t="s">
        <v>153</v>
      </c>
      <c r="L47" s="38"/>
      <c r="M47" s="173" t="s">
        <v>253</v>
      </c>
      <c r="N47" s="38"/>
      <c r="O47" s="38"/>
      <c r="P47" s="38">
        <v>2018</v>
      </c>
      <c r="Q47" s="115"/>
    </row>
    <row r="48" spans="1:17" ht="38.25">
      <c r="A48" s="50">
        <f t="shared" si="1"/>
        <v>47</v>
      </c>
      <c r="B48" s="51">
        <v>2019</v>
      </c>
      <c r="C48" s="51" t="s">
        <v>155</v>
      </c>
      <c r="D48" s="51" t="s">
        <v>254</v>
      </c>
      <c r="E48" s="52">
        <v>43480</v>
      </c>
      <c r="F48" s="51" t="s">
        <v>151</v>
      </c>
      <c r="G48" s="51" t="s">
        <v>204</v>
      </c>
      <c r="H48" s="51" t="s">
        <v>835</v>
      </c>
      <c r="I48" s="51" t="s">
        <v>196</v>
      </c>
      <c r="J48" s="52">
        <v>43480</v>
      </c>
      <c r="K48" s="51" t="s">
        <v>160</v>
      </c>
      <c r="L48" s="51"/>
      <c r="M48" s="174" t="s">
        <v>254</v>
      </c>
      <c r="N48" s="51"/>
      <c r="O48" s="51"/>
      <c r="P48" s="51">
        <v>2019</v>
      </c>
      <c r="Q48" s="115"/>
    </row>
    <row r="49" spans="1:17" ht="38.25">
      <c r="A49" s="50">
        <f t="shared" si="1"/>
        <v>48</v>
      </c>
      <c r="B49" s="51">
        <v>2019</v>
      </c>
      <c r="C49" s="51" t="s">
        <v>154</v>
      </c>
      <c r="D49" s="51" t="s">
        <v>255</v>
      </c>
      <c r="E49" s="52">
        <v>43495</v>
      </c>
      <c r="F49" s="51" t="s">
        <v>215</v>
      </c>
      <c r="G49" s="51" t="s">
        <v>215</v>
      </c>
      <c r="H49" s="51" t="s">
        <v>836</v>
      </c>
      <c r="I49" s="51" t="s">
        <v>196</v>
      </c>
      <c r="J49" s="52">
        <v>43539</v>
      </c>
      <c r="K49" s="51" t="s">
        <v>160</v>
      </c>
      <c r="L49" s="51"/>
      <c r="M49" s="174" t="s">
        <v>255</v>
      </c>
      <c r="N49" s="51"/>
      <c r="O49" s="51"/>
      <c r="P49" s="51">
        <v>2019</v>
      </c>
      <c r="Q49" s="115"/>
    </row>
    <row r="50" spans="1:17" ht="25.5">
      <c r="A50" s="50">
        <f t="shared" si="1"/>
        <v>49</v>
      </c>
      <c r="B50" s="51">
        <v>2019</v>
      </c>
      <c r="C50" s="51" t="s">
        <v>154</v>
      </c>
      <c r="D50" s="51" t="s">
        <v>256</v>
      </c>
      <c r="E50" s="52">
        <v>43497</v>
      </c>
      <c r="F50" s="51" t="s">
        <v>215</v>
      </c>
      <c r="G50" s="51" t="s">
        <v>215</v>
      </c>
      <c r="H50" s="51" t="s">
        <v>674</v>
      </c>
      <c r="I50" s="51" t="s">
        <v>196</v>
      </c>
      <c r="J50" s="52">
        <v>43544</v>
      </c>
      <c r="K50" s="51" t="s">
        <v>153</v>
      </c>
      <c r="L50" s="51"/>
      <c r="M50" s="174" t="s">
        <v>256</v>
      </c>
      <c r="N50" s="51"/>
      <c r="O50" s="51"/>
      <c r="P50" s="51">
        <v>2019</v>
      </c>
      <c r="Q50" s="115"/>
    </row>
    <row r="51" spans="1:17" ht="76.5">
      <c r="A51" s="50">
        <f t="shared" si="1"/>
        <v>50</v>
      </c>
      <c r="B51" s="51">
        <v>2019</v>
      </c>
      <c r="C51" s="51" t="s">
        <v>154</v>
      </c>
      <c r="D51" s="51" t="s">
        <v>257</v>
      </c>
      <c r="E51" s="52">
        <v>43497</v>
      </c>
      <c r="F51" s="51" t="s">
        <v>215</v>
      </c>
      <c r="G51" s="51" t="s">
        <v>215</v>
      </c>
      <c r="H51" s="51" t="s">
        <v>837</v>
      </c>
      <c r="I51" s="51" t="s">
        <v>196</v>
      </c>
      <c r="J51" s="52">
        <v>43497</v>
      </c>
      <c r="K51" s="51" t="s">
        <v>153</v>
      </c>
      <c r="L51" s="51"/>
      <c r="M51" s="174" t="s">
        <v>257</v>
      </c>
      <c r="N51" s="51"/>
      <c r="O51" s="51"/>
      <c r="P51" s="51">
        <v>2019</v>
      </c>
      <c r="Q51" s="115"/>
    </row>
    <row r="52" spans="1:17" ht="25.5">
      <c r="A52" s="50">
        <f t="shared" si="1"/>
        <v>51</v>
      </c>
      <c r="B52" s="51">
        <v>2019</v>
      </c>
      <c r="C52" s="51" t="s">
        <v>154</v>
      </c>
      <c r="D52" s="51" t="s">
        <v>258</v>
      </c>
      <c r="E52" s="52">
        <v>43487</v>
      </c>
      <c r="F52" s="51" t="s">
        <v>215</v>
      </c>
      <c r="G52" s="51" t="s">
        <v>215</v>
      </c>
      <c r="H52" s="51" t="s">
        <v>673</v>
      </c>
      <c r="I52" s="51" t="s">
        <v>196</v>
      </c>
      <c r="J52" s="52">
        <v>43556</v>
      </c>
      <c r="K52" s="51" t="s">
        <v>160</v>
      </c>
      <c r="L52" s="51"/>
      <c r="M52" s="174" t="s">
        <v>258</v>
      </c>
      <c r="N52" s="51"/>
      <c r="O52" s="51"/>
      <c r="P52" s="51">
        <v>2019</v>
      </c>
      <c r="Q52" s="115"/>
    </row>
    <row r="53" spans="1:17" ht="38.25">
      <c r="A53" s="50">
        <f t="shared" si="1"/>
        <v>52</v>
      </c>
      <c r="B53" s="51">
        <v>2019</v>
      </c>
      <c r="C53" s="51" t="s">
        <v>156</v>
      </c>
      <c r="D53" s="51" t="s">
        <v>259</v>
      </c>
      <c r="E53" s="52">
        <v>43565</v>
      </c>
      <c r="F53" s="51" t="s">
        <v>215</v>
      </c>
      <c r="G53" s="51" t="s">
        <v>215</v>
      </c>
      <c r="H53" s="51" t="s">
        <v>838</v>
      </c>
      <c r="I53" s="51" t="s">
        <v>196</v>
      </c>
      <c r="J53" s="52">
        <v>43613</v>
      </c>
      <c r="K53" s="51" t="s">
        <v>160</v>
      </c>
      <c r="L53" s="51"/>
      <c r="M53" s="174" t="s">
        <v>259</v>
      </c>
      <c r="N53" s="51"/>
      <c r="O53" s="51"/>
      <c r="P53" s="51">
        <v>2019</v>
      </c>
      <c r="Q53" s="115"/>
    </row>
    <row r="54" spans="1:17" ht="38.25">
      <c r="A54" s="50">
        <f t="shared" si="1"/>
        <v>53</v>
      </c>
      <c r="B54" s="51">
        <v>2019</v>
      </c>
      <c r="C54" s="51" t="s">
        <v>156</v>
      </c>
      <c r="D54" s="51" t="s">
        <v>260</v>
      </c>
      <c r="E54" s="52">
        <v>43594</v>
      </c>
      <c r="F54" s="51" t="s">
        <v>215</v>
      </c>
      <c r="G54" s="51" t="s">
        <v>215</v>
      </c>
      <c r="H54" s="51" t="s">
        <v>839</v>
      </c>
      <c r="I54" s="51" t="s">
        <v>196</v>
      </c>
      <c r="J54" s="52">
        <v>43647</v>
      </c>
      <c r="K54" s="51" t="s">
        <v>153</v>
      </c>
      <c r="L54" s="51"/>
      <c r="M54" s="174" t="s">
        <v>260</v>
      </c>
      <c r="N54" s="51"/>
      <c r="O54" s="51"/>
      <c r="P54" s="51">
        <v>2019</v>
      </c>
      <c r="Q54" s="115"/>
    </row>
    <row r="55" spans="1:17" ht="76.5">
      <c r="A55" s="50">
        <f t="shared" si="1"/>
        <v>54</v>
      </c>
      <c r="B55" s="51">
        <v>2019</v>
      </c>
      <c r="C55" s="51" t="s">
        <v>161</v>
      </c>
      <c r="D55" s="51" t="s">
        <v>261</v>
      </c>
      <c r="E55" s="52">
        <v>43605</v>
      </c>
      <c r="F55" s="51" t="s">
        <v>170</v>
      </c>
      <c r="G55" s="51" t="s">
        <v>174</v>
      </c>
      <c r="H55" s="51" t="s">
        <v>754</v>
      </c>
      <c r="I55" s="51" t="s">
        <v>262</v>
      </c>
      <c r="J55" s="52">
        <v>43605</v>
      </c>
      <c r="K55" s="51" t="s">
        <v>160</v>
      </c>
      <c r="L55" s="51"/>
      <c r="M55" s="174" t="s">
        <v>261</v>
      </c>
      <c r="N55" s="51"/>
      <c r="O55" s="51"/>
      <c r="P55" s="51">
        <v>2019</v>
      </c>
      <c r="Q55" s="115"/>
    </row>
    <row r="56" spans="1:17" ht="38.25">
      <c r="A56" s="50">
        <f t="shared" si="1"/>
        <v>55</v>
      </c>
      <c r="B56" s="51">
        <v>2019</v>
      </c>
      <c r="C56" s="51" t="s">
        <v>165</v>
      </c>
      <c r="D56" s="51" t="s">
        <v>263</v>
      </c>
      <c r="E56" s="52">
        <v>43627</v>
      </c>
      <c r="F56" s="51" t="s">
        <v>151</v>
      </c>
      <c r="G56" s="51" t="s">
        <v>166</v>
      </c>
      <c r="H56" s="51" t="s">
        <v>783</v>
      </c>
      <c r="I56" s="51" t="s">
        <v>264</v>
      </c>
      <c r="J56" s="52">
        <v>43627</v>
      </c>
      <c r="K56" s="51" t="s">
        <v>153</v>
      </c>
      <c r="L56" s="51"/>
      <c r="M56" s="174" t="s">
        <v>263</v>
      </c>
      <c r="N56" s="51"/>
      <c r="O56" s="51"/>
      <c r="P56" s="51">
        <v>2019</v>
      </c>
      <c r="Q56" s="115"/>
    </row>
    <row r="57" spans="1:17" ht="38.25">
      <c r="A57" s="50">
        <f t="shared" si="1"/>
        <v>56</v>
      </c>
      <c r="B57" s="51">
        <v>2019</v>
      </c>
      <c r="C57" s="51" t="s">
        <v>154</v>
      </c>
      <c r="D57" s="51" t="s">
        <v>265</v>
      </c>
      <c r="E57" s="52">
        <v>43647</v>
      </c>
      <c r="F57" s="51" t="s">
        <v>215</v>
      </c>
      <c r="G57" s="51" t="s">
        <v>215</v>
      </c>
      <c r="H57" s="51" t="s">
        <v>840</v>
      </c>
      <c r="I57" s="51" t="s">
        <v>196</v>
      </c>
      <c r="J57" s="52">
        <v>43692</v>
      </c>
      <c r="K57" s="51" t="s">
        <v>160</v>
      </c>
      <c r="L57" s="51"/>
      <c r="M57" s="174" t="s">
        <v>265</v>
      </c>
      <c r="N57" s="51"/>
      <c r="O57" s="51"/>
      <c r="P57" s="51">
        <v>2019</v>
      </c>
      <c r="Q57" s="115"/>
    </row>
    <row r="58" spans="1:17" ht="63.75">
      <c r="A58" s="50">
        <f t="shared" si="1"/>
        <v>57</v>
      </c>
      <c r="B58" s="51">
        <v>2019</v>
      </c>
      <c r="C58" s="51" t="s">
        <v>155</v>
      </c>
      <c r="D58" s="51" t="s">
        <v>266</v>
      </c>
      <c r="E58" s="52">
        <v>43657</v>
      </c>
      <c r="F58" s="51" t="s">
        <v>215</v>
      </c>
      <c r="G58" s="51" t="s">
        <v>215</v>
      </c>
      <c r="H58" s="51" t="s">
        <v>841</v>
      </c>
      <c r="I58" s="51" t="s">
        <v>196</v>
      </c>
      <c r="J58" s="52">
        <v>43709</v>
      </c>
      <c r="K58" s="51" t="s">
        <v>160</v>
      </c>
      <c r="L58" s="51"/>
      <c r="M58" s="174" t="s">
        <v>266</v>
      </c>
      <c r="N58" s="51"/>
      <c r="O58" s="51"/>
      <c r="P58" s="51">
        <v>2019</v>
      </c>
      <c r="Q58" s="115"/>
    </row>
    <row r="59" spans="1:17" ht="76.5">
      <c r="A59" s="50">
        <f t="shared" si="1"/>
        <v>58</v>
      </c>
      <c r="B59" s="51">
        <v>2019</v>
      </c>
      <c r="C59" s="51" t="s">
        <v>154</v>
      </c>
      <c r="D59" s="51" t="s">
        <v>267</v>
      </c>
      <c r="E59" s="52">
        <v>43651</v>
      </c>
      <c r="F59" s="51" t="s">
        <v>215</v>
      </c>
      <c r="G59" s="51" t="s">
        <v>215</v>
      </c>
      <c r="H59" s="51" t="s">
        <v>842</v>
      </c>
      <c r="I59" s="51" t="s">
        <v>196</v>
      </c>
      <c r="J59" s="52">
        <v>43724</v>
      </c>
      <c r="K59" s="51" t="s">
        <v>153</v>
      </c>
      <c r="L59" s="51"/>
      <c r="M59" s="174" t="s">
        <v>267</v>
      </c>
      <c r="N59" s="51"/>
      <c r="O59" s="51"/>
      <c r="P59" s="51">
        <v>2019</v>
      </c>
      <c r="Q59" s="115"/>
    </row>
    <row r="60" spans="1:17" ht="38.25">
      <c r="A60" s="50">
        <f t="shared" si="1"/>
        <v>59</v>
      </c>
      <c r="B60" s="51">
        <v>2019</v>
      </c>
      <c r="C60" s="51" t="s">
        <v>150</v>
      </c>
      <c r="D60" s="51" t="s">
        <v>268</v>
      </c>
      <c r="E60" s="52">
        <v>43691</v>
      </c>
      <c r="F60" s="51" t="s">
        <v>215</v>
      </c>
      <c r="G60" s="51" t="s">
        <v>215</v>
      </c>
      <c r="H60" s="51" t="s">
        <v>843</v>
      </c>
      <c r="I60" s="51" t="s">
        <v>196</v>
      </c>
      <c r="J60" s="52">
        <v>43739</v>
      </c>
      <c r="K60" s="51" t="s">
        <v>153</v>
      </c>
      <c r="L60" s="51"/>
      <c r="M60" s="174" t="s">
        <v>268</v>
      </c>
      <c r="N60" s="51"/>
      <c r="O60" s="51"/>
      <c r="P60" s="51">
        <v>2019</v>
      </c>
      <c r="Q60" s="115"/>
    </row>
    <row r="61" spans="1:17" ht="51">
      <c r="A61" s="50">
        <f t="shared" si="1"/>
        <v>60</v>
      </c>
      <c r="B61" s="51">
        <v>2019</v>
      </c>
      <c r="C61" s="51" t="s">
        <v>154</v>
      </c>
      <c r="D61" s="51" t="s">
        <v>269</v>
      </c>
      <c r="E61" s="52">
        <v>43788</v>
      </c>
      <c r="F61" s="51" t="s">
        <v>151</v>
      </c>
      <c r="G61" s="51" t="s">
        <v>204</v>
      </c>
      <c r="H61" s="51" t="s">
        <v>672</v>
      </c>
      <c r="I61" s="51" t="s">
        <v>196</v>
      </c>
      <c r="J61" s="52">
        <v>43788</v>
      </c>
      <c r="K61" s="51" t="s">
        <v>160</v>
      </c>
      <c r="L61" s="51"/>
      <c r="M61" s="174" t="s">
        <v>269</v>
      </c>
      <c r="N61" s="51"/>
      <c r="O61" s="51"/>
      <c r="P61" s="51">
        <v>2019</v>
      </c>
      <c r="Q61" s="115"/>
    </row>
    <row r="62" spans="1:17" ht="25.5">
      <c r="A62" s="50">
        <f t="shared" si="1"/>
        <v>61</v>
      </c>
      <c r="B62" s="51">
        <v>2019</v>
      </c>
      <c r="C62" s="51" t="s">
        <v>156</v>
      </c>
      <c r="D62" s="51" t="s">
        <v>270</v>
      </c>
      <c r="E62" s="52">
        <v>43788</v>
      </c>
      <c r="F62" s="51" t="s">
        <v>151</v>
      </c>
      <c r="G62" s="51" t="s">
        <v>151</v>
      </c>
      <c r="H62" s="51" t="s">
        <v>671</v>
      </c>
      <c r="I62" s="51" t="s">
        <v>196</v>
      </c>
      <c r="J62" s="52">
        <v>43800</v>
      </c>
      <c r="K62" s="51" t="s">
        <v>153</v>
      </c>
      <c r="L62" s="51"/>
      <c r="M62" s="174" t="s">
        <v>270</v>
      </c>
      <c r="N62" s="51"/>
      <c r="O62" s="51"/>
      <c r="P62" s="51">
        <v>2019</v>
      </c>
      <c r="Q62" s="115"/>
    </row>
    <row r="63" spans="1:17" ht="51">
      <c r="A63" s="50">
        <f t="shared" si="1"/>
        <v>62</v>
      </c>
      <c r="B63" s="51">
        <v>2019</v>
      </c>
      <c r="C63" s="51" t="s">
        <v>155</v>
      </c>
      <c r="D63" s="51" t="s">
        <v>271</v>
      </c>
      <c r="E63" s="52">
        <v>43829</v>
      </c>
      <c r="F63" s="51" t="s">
        <v>215</v>
      </c>
      <c r="G63" s="51" t="s">
        <v>215</v>
      </c>
      <c r="H63" s="51" t="s">
        <v>844</v>
      </c>
      <c r="I63" s="51" t="s">
        <v>196</v>
      </c>
      <c r="J63" s="52">
        <v>43876</v>
      </c>
      <c r="K63" s="51" t="s">
        <v>160</v>
      </c>
      <c r="L63" s="51"/>
      <c r="M63" s="174" t="s">
        <v>271</v>
      </c>
      <c r="N63" s="51"/>
      <c r="O63" s="51"/>
      <c r="P63" s="51">
        <v>2019</v>
      </c>
      <c r="Q63" s="115"/>
    </row>
    <row r="64" spans="1:17" ht="38.25">
      <c r="A64" s="50">
        <f t="shared" si="1"/>
        <v>63</v>
      </c>
      <c r="B64" s="51">
        <v>2019</v>
      </c>
      <c r="C64" s="51" t="s">
        <v>154</v>
      </c>
      <c r="D64" s="51" t="s">
        <v>272</v>
      </c>
      <c r="E64" s="52">
        <v>43825</v>
      </c>
      <c r="F64" s="51" t="s">
        <v>198</v>
      </c>
      <c r="G64" s="51" t="s">
        <v>198</v>
      </c>
      <c r="H64" s="51" t="s">
        <v>845</v>
      </c>
      <c r="I64" s="51" t="s">
        <v>273</v>
      </c>
      <c r="J64" s="52">
        <v>43876</v>
      </c>
      <c r="K64" s="51" t="s">
        <v>153</v>
      </c>
      <c r="L64" s="51"/>
      <c r="M64" s="174" t="s">
        <v>272</v>
      </c>
      <c r="N64" s="51"/>
      <c r="O64" s="51"/>
      <c r="P64" s="51">
        <v>2019</v>
      </c>
      <c r="Q64" s="115"/>
    </row>
    <row r="65" spans="1:17" ht="51">
      <c r="A65" s="53">
        <f t="shared" si="1"/>
        <v>64</v>
      </c>
      <c r="B65" s="53">
        <v>2020</v>
      </c>
      <c r="C65" s="53" t="s">
        <v>168</v>
      </c>
      <c r="D65" s="53" t="s">
        <v>274</v>
      </c>
      <c r="E65" s="54">
        <v>43854</v>
      </c>
      <c r="F65" s="53" t="s">
        <v>215</v>
      </c>
      <c r="G65" s="53" t="s">
        <v>215</v>
      </c>
      <c r="H65" s="53" t="s">
        <v>846</v>
      </c>
      <c r="I65" s="53" t="s">
        <v>196</v>
      </c>
      <c r="J65" s="54">
        <v>43905</v>
      </c>
      <c r="K65" s="55" t="s">
        <v>160</v>
      </c>
      <c r="L65" s="53"/>
      <c r="M65" s="173" t="s">
        <v>274</v>
      </c>
      <c r="N65" s="53"/>
      <c r="O65" s="53"/>
      <c r="P65" s="53">
        <v>2020</v>
      </c>
      <c r="Q65" s="115"/>
    </row>
    <row r="66" spans="1:17" ht="51">
      <c r="A66" s="53">
        <f t="shared" si="1"/>
        <v>65</v>
      </c>
      <c r="B66" s="53">
        <v>2020</v>
      </c>
      <c r="C66" s="53" t="s">
        <v>154</v>
      </c>
      <c r="D66" s="53" t="s">
        <v>275</v>
      </c>
      <c r="E66" s="54">
        <v>43891</v>
      </c>
      <c r="F66" s="53" t="s">
        <v>215</v>
      </c>
      <c r="G66" s="53" t="s">
        <v>215</v>
      </c>
      <c r="H66" s="53" t="s">
        <v>847</v>
      </c>
      <c r="I66" s="53" t="s">
        <v>196</v>
      </c>
      <c r="J66" s="54">
        <v>43936</v>
      </c>
      <c r="K66" s="55" t="s">
        <v>153</v>
      </c>
      <c r="L66" s="53"/>
      <c r="M66" s="173" t="s">
        <v>275</v>
      </c>
      <c r="N66" s="53"/>
      <c r="O66" s="53"/>
      <c r="P66" s="53">
        <v>2020</v>
      </c>
      <c r="Q66" s="115"/>
    </row>
    <row r="67" spans="1:17" ht="140.25">
      <c r="A67" s="53">
        <f t="shared" si="1"/>
        <v>66</v>
      </c>
      <c r="B67" s="53">
        <v>2020</v>
      </c>
      <c r="C67" s="53" t="s">
        <v>161</v>
      </c>
      <c r="D67" s="53" t="s">
        <v>276</v>
      </c>
      <c r="E67" s="54">
        <v>43891</v>
      </c>
      <c r="F67" s="53" t="s">
        <v>215</v>
      </c>
      <c r="G67" s="53" t="s">
        <v>215</v>
      </c>
      <c r="H67" s="53" t="s">
        <v>848</v>
      </c>
      <c r="I67" s="53" t="s">
        <v>196</v>
      </c>
      <c r="J67" s="54">
        <v>43936</v>
      </c>
      <c r="K67" s="55" t="s">
        <v>153</v>
      </c>
      <c r="L67" s="53"/>
      <c r="M67" s="173" t="s">
        <v>276</v>
      </c>
      <c r="N67" s="53"/>
      <c r="O67" s="53"/>
      <c r="P67" s="53">
        <v>2020</v>
      </c>
      <c r="Q67" s="115"/>
    </row>
    <row r="68" spans="1:17" ht="38.25">
      <c r="A68" s="53">
        <f t="shared" ref="A68:A131" si="2">A67+1</f>
        <v>67</v>
      </c>
      <c r="B68" s="53">
        <v>2020</v>
      </c>
      <c r="C68" s="53" t="s">
        <v>154</v>
      </c>
      <c r="D68" s="53" t="s">
        <v>277</v>
      </c>
      <c r="E68" s="54">
        <v>44029</v>
      </c>
      <c r="F68" s="53" t="s">
        <v>215</v>
      </c>
      <c r="G68" s="53" t="s">
        <v>215</v>
      </c>
      <c r="H68" s="53" t="s">
        <v>849</v>
      </c>
      <c r="I68" s="53" t="s">
        <v>196</v>
      </c>
      <c r="J68" s="54">
        <v>44075</v>
      </c>
      <c r="K68" s="55" t="s">
        <v>160</v>
      </c>
      <c r="L68" s="53"/>
      <c r="M68" s="173" t="s">
        <v>277</v>
      </c>
      <c r="N68" s="53"/>
      <c r="O68" s="53"/>
      <c r="P68" s="53">
        <v>2020</v>
      </c>
      <c r="Q68" s="115"/>
    </row>
    <row r="69" spans="1:17" ht="38.25">
      <c r="A69" s="53">
        <f t="shared" si="2"/>
        <v>68</v>
      </c>
      <c r="B69" s="53">
        <v>2020</v>
      </c>
      <c r="C69" s="53" t="s">
        <v>154</v>
      </c>
      <c r="D69" s="53" t="s">
        <v>278</v>
      </c>
      <c r="E69" s="54">
        <v>44056</v>
      </c>
      <c r="F69" s="53" t="s">
        <v>215</v>
      </c>
      <c r="G69" s="53" t="s">
        <v>215</v>
      </c>
      <c r="H69" s="53" t="s">
        <v>850</v>
      </c>
      <c r="I69" s="53" t="s">
        <v>196</v>
      </c>
      <c r="J69" s="54">
        <v>44063</v>
      </c>
      <c r="K69" s="55" t="s">
        <v>160</v>
      </c>
      <c r="L69" s="53"/>
      <c r="M69" s="173" t="s">
        <v>278</v>
      </c>
      <c r="N69" s="53"/>
      <c r="O69" s="53"/>
      <c r="P69" s="53">
        <v>2020</v>
      </c>
      <c r="Q69" s="115" t="s">
        <v>180</v>
      </c>
    </row>
    <row r="70" spans="1:17" ht="25.5">
      <c r="A70" s="53">
        <f t="shared" si="2"/>
        <v>69</v>
      </c>
      <c r="B70" s="53">
        <v>2020</v>
      </c>
      <c r="C70" s="53" t="s">
        <v>154</v>
      </c>
      <c r="D70" s="53" t="s">
        <v>279</v>
      </c>
      <c r="E70" s="54">
        <v>44092</v>
      </c>
      <c r="F70" s="53" t="s">
        <v>215</v>
      </c>
      <c r="G70" s="53" t="s">
        <v>215</v>
      </c>
      <c r="H70" s="53" t="s">
        <v>851</v>
      </c>
      <c r="I70" s="53" t="s">
        <v>196</v>
      </c>
      <c r="J70" s="54">
        <v>44094</v>
      </c>
      <c r="K70" s="55" t="s">
        <v>160</v>
      </c>
      <c r="L70" s="53"/>
      <c r="M70" s="173" t="s">
        <v>279</v>
      </c>
      <c r="N70" s="53"/>
      <c r="O70" s="53"/>
      <c r="P70" s="53">
        <v>2020</v>
      </c>
      <c r="Q70" s="115"/>
    </row>
    <row r="71" spans="1:17" ht="38.25">
      <c r="A71" s="53">
        <f t="shared" si="2"/>
        <v>70</v>
      </c>
      <c r="B71" s="53">
        <v>2020</v>
      </c>
      <c r="C71" s="53" t="s">
        <v>154</v>
      </c>
      <c r="D71" s="53" t="s">
        <v>280</v>
      </c>
      <c r="E71" s="54">
        <v>44099</v>
      </c>
      <c r="F71" s="53" t="s">
        <v>215</v>
      </c>
      <c r="G71" s="53" t="s">
        <v>215</v>
      </c>
      <c r="H71" s="53" t="s">
        <v>852</v>
      </c>
      <c r="I71" s="53" t="s">
        <v>196</v>
      </c>
      <c r="J71" s="54">
        <v>44103</v>
      </c>
      <c r="K71" s="55" t="s">
        <v>160</v>
      </c>
      <c r="L71" s="53"/>
      <c r="M71" s="173" t="s">
        <v>280</v>
      </c>
      <c r="N71" s="53"/>
      <c r="O71" s="53"/>
      <c r="P71" s="53">
        <v>2020</v>
      </c>
      <c r="Q71" s="115"/>
    </row>
    <row r="72" spans="1:17" ht="51">
      <c r="A72" s="53">
        <f t="shared" si="2"/>
        <v>71</v>
      </c>
      <c r="B72" s="53">
        <v>2020</v>
      </c>
      <c r="C72" s="53" t="s">
        <v>154</v>
      </c>
      <c r="D72" s="53" t="s">
        <v>281</v>
      </c>
      <c r="E72" s="54">
        <v>44089</v>
      </c>
      <c r="F72" s="53" t="s">
        <v>215</v>
      </c>
      <c r="G72" s="53" t="s">
        <v>215</v>
      </c>
      <c r="H72" s="53" t="s">
        <v>853</v>
      </c>
      <c r="I72" s="53" t="s">
        <v>196</v>
      </c>
      <c r="J72" s="54">
        <v>44136</v>
      </c>
      <c r="K72" s="55" t="s">
        <v>160</v>
      </c>
      <c r="L72" s="53"/>
      <c r="M72" s="173" t="s">
        <v>281</v>
      </c>
      <c r="N72" s="53"/>
      <c r="O72" s="53"/>
      <c r="P72" s="53">
        <v>2020</v>
      </c>
      <c r="Q72" s="115"/>
    </row>
    <row r="73" spans="1:17" ht="38.25">
      <c r="A73" s="53">
        <f t="shared" si="2"/>
        <v>72</v>
      </c>
      <c r="B73" s="53">
        <v>2020</v>
      </c>
      <c r="C73" s="53" t="s">
        <v>154</v>
      </c>
      <c r="D73" s="53" t="s">
        <v>282</v>
      </c>
      <c r="E73" s="54">
        <v>44111</v>
      </c>
      <c r="F73" s="53" t="s">
        <v>215</v>
      </c>
      <c r="G73" s="53" t="s">
        <v>215</v>
      </c>
      <c r="H73" s="53" t="s">
        <v>854</v>
      </c>
      <c r="I73" s="53" t="s">
        <v>196</v>
      </c>
      <c r="J73" s="54">
        <v>44166</v>
      </c>
      <c r="K73" s="55" t="s">
        <v>160</v>
      </c>
      <c r="L73" s="53"/>
      <c r="M73" s="173" t="s">
        <v>282</v>
      </c>
      <c r="N73" s="53"/>
      <c r="O73" s="53"/>
      <c r="P73" s="53">
        <v>2020</v>
      </c>
      <c r="Q73" s="115" t="s">
        <v>180</v>
      </c>
    </row>
    <row r="74" spans="1:17" ht="25.5">
      <c r="A74" s="53">
        <f t="shared" si="2"/>
        <v>73</v>
      </c>
      <c r="B74" s="53">
        <v>2020</v>
      </c>
      <c r="C74" s="53" t="s">
        <v>154</v>
      </c>
      <c r="D74" s="53" t="s">
        <v>283</v>
      </c>
      <c r="E74" s="54">
        <v>44153</v>
      </c>
      <c r="F74" s="53" t="s">
        <v>215</v>
      </c>
      <c r="G74" s="53" t="s">
        <v>215</v>
      </c>
      <c r="H74" s="53" t="s">
        <v>855</v>
      </c>
      <c r="I74" s="53" t="s">
        <v>196</v>
      </c>
      <c r="J74" s="54">
        <v>44197</v>
      </c>
      <c r="K74" s="55" t="s">
        <v>160</v>
      </c>
      <c r="L74" s="53"/>
      <c r="M74" s="173" t="s">
        <v>283</v>
      </c>
      <c r="N74" s="53"/>
      <c r="O74" s="53"/>
      <c r="P74" s="53">
        <v>2020</v>
      </c>
      <c r="Q74" s="115"/>
    </row>
    <row r="75" spans="1:17" ht="38.25">
      <c r="A75" s="53">
        <f t="shared" si="2"/>
        <v>74</v>
      </c>
      <c r="B75" s="53">
        <v>2020</v>
      </c>
      <c r="C75" s="53" t="s">
        <v>168</v>
      </c>
      <c r="D75" s="53" t="s">
        <v>284</v>
      </c>
      <c r="E75" s="54">
        <v>44055</v>
      </c>
      <c r="F75" s="53" t="s">
        <v>215</v>
      </c>
      <c r="G75" s="53" t="s">
        <v>215</v>
      </c>
      <c r="H75" s="53" t="s">
        <v>856</v>
      </c>
      <c r="I75" s="53" t="s">
        <v>196</v>
      </c>
      <c r="J75" s="54">
        <v>44219</v>
      </c>
      <c r="K75" s="55" t="s">
        <v>160</v>
      </c>
      <c r="L75" s="53"/>
      <c r="M75" s="173" t="s">
        <v>284</v>
      </c>
      <c r="N75" s="53"/>
      <c r="O75" s="53"/>
      <c r="P75" s="53">
        <v>2020</v>
      </c>
      <c r="Q75" s="115"/>
    </row>
    <row r="76" spans="1:17" ht="127.5">
      <c r="A76" s="53">
        <f t="shared" si="2"/>
        <v>75</v>
      </c>
      <c r="B76" s="53">
        <v>2020</v>
      </c>
      <c r="C76" s="53" t="s">
        <v>154</v>
      </c>
      <c r="D76" s="54" t="s">
        <v>733</v>
      </c>
      <c r="E76" s="54">
        <v>44175</v>
      </c>
      <c r="F76" s="53" t="s">
        <v>215</v>
      </c>
      <c r="G76" s="53" t="s">
        <v>215</v>
      </c>
      <c r="H76" s="53" t="s">
        <v>857</v>
      </c>
      <c r="I76" s="53" t="s">
        <v>196</v>
      </c>
      <c r="J76" s="54">
        <v>44175</v>
      </c>
      <c r="K76" s="55" t="s">
        <v>153</v>
      </c>
      <c r="L76" s="53"/>
      <c r="M76" s="173" t="s">
        <v>285</v>
      </c>
      <c r="N76" s="53"/>
      <c r="O76" s="53"/>
      <c r="P76" s="53">
        <v>2020</v>
      </c>
      <c r="Q76" s="115"/>
    </row>
    <row r="77" spans="1:17" ht="38.25">
      <c r="A77" s="53">
        <f t="shared" si="2"/>
        <v>76</v>
      </c>
      <c r="B77" s="53">
        <v>2020</v>
      </c>
      <c r="C77" s="53" t="s">
        <v>154</v>
      </c>
      <c r="D77" s="53" t="s">
        <v>286</v>
      </c>
      <c r="E77" s="54">
        <v>44190</v>
      </c>
      <c r="F77" s="53" t="s">
        <v>215</v>
      </c>
      <c r="G77" s="53" t="s">
        <v>215</v>
      </c>
      <c r="H77" s="53" t="s">
        <v>858</v>
      </c>
      <c r="I77" s="53" t="s">
        <v>196</v>
      </c>
      <c r="J77" s="54">
        <v>44242</v>
      </c>
      <c r="K77" s="55" t="s">
        <v>160</v>
      </c>
      <c r="L77" s="53"/>
      <c r="M77" s="173" t="s">
        <v>286</v>
      </c>
      <c r="N77" s="53"/>
      <c r="O77" s="53"/>
      <c r="P77" s="53">
        <v>2020</v>
      </c>
      <c r="Q77" s="115"/>
    </row>
    <row r="78" spans="1:17" ht="51">
      <c r="A78" s="56">
        <f t="shared" si="2"/>
        <v>77</v>
      </c>
      <c r="B78" s="57">
        <v>2021</v>
      </c>
      <c r="C78" s="57" t="s">
        <v>161</v>
      </c>
      <c r="D78" s="57" t="s">
        <v>287</v>
      </c>
      <c r="E78" s="58">
        <v>44197</v>
      </c>
      <c r="F78" s="57" t="s">
        <v>172</v>
      </c>
      <c r="G78" s="57" t="s">
        <v>172</v>
      </c>
      <c r="H78" s="57" t="s">
        <v>670</v>
      </c>
      <c r="I78" s="57" t="s">
        <v>196</v>
      </c>
      <c r="J78" s="58">
        <v>44197</v>
      </c>
      <c r="K78" s="57" t="s">
        <v>160</v>
      </c>
      <c r="L78" s="57"/>
      <c r="M78" s="174" t="s">
        <v>287</v>
      </c>
      <c r="N78" s="57"/>
      <c r="O78" s="57"/>
      <c r="P78" s="57">
        <v>2021</v>
      </c>
      <c r="Q78" s="115"/>
    </row>
    <row r="79" spans="1:17" ht="63.75">
      <c r="A79" s="56">
        <f t="shared" si="2"/>
        <v>78</v>
      </c>
      <c r="B79" s="57">
        <v>2021</v>
      </c>
      <c r="C79" s="57" t="s">
        <v>154</v>
      </c>
      <c r="D79" s="57" t="s">
        <v>288</v>
      </c>
      <c r="E79" s="58">
        <v>44195</v>
      </c>
      <c r="F79" s="57" t="s">
        <v>215</v>
      </c>
      <c r="G79" s="57" t="s">
        <v>215</v>
      </c>
      <c r="H79" s="57" t="s">
        <v>859</v>
      </c>
      <c r="I79" s="57" t="s">
        <v>196</v>
      </c>
      <c r="J79" s="58">
        <v>44242</v>
      </c>
      <c r="K79" s="57" t="s">
        <v>160</v>
      </c>
      <c r="L79" s="57"/>
      <c r="M79" s="174" t="s">
        <v>288</v>
      </c>
      <c r="N79" s="57"/>
      <c r="O79" s="57"/>
      <c r="P79" s="57">
        <v>2021</v>
      </c>
      <c r="Q79" s="115"/>
    </row>
    <row r="80" spans="1:17" ht="38.25">
      <c r="A80" s="56">
        <f t="shared" si="2"/>
        <v>79</v>
      </c>
      <c r="B80" s="57">
        <v>2021</v>
      </c>
      <c r="C80" s="57" t="s">
        <v>154</v>
      </c>
      <c r="D80" s="57" t="s">
        <v>289</v>
      </c>
      <c r="E80" s="58">
        <v>44218</v>
      </c>
      <c r="F80" s="57" t="s">
        <v>215</v>
      </c>
      <c r="G80" s="57" t="s">
        <v>215</v>
      </c>
      <c r="H80" s="57" t="s">
        <v>860</v>
      </c>
      <c r="I80" s="57" t="s">
        <v>196</v>
      </c>
      <c r="J80" s="58">
        <v>44265</v>
      </c>
      <c r="K80" s="57" t="s">
        <v>160</v>
      </c>
      <c r="L80" s="57"/>
      <c r="M80" s="174" t="s">
        <v>289</v>
      </c>
      <c r="N80" s="57"/>
      <c r="O80" s="57"/>
      <c r="P80" s="57">
        <v>2021</v>
      </c>
      <c r="Q80" s="115"/>
    </row>
    <row r="81" spans="1:17" ht="51">
      <c r="A81" s="56">
        <f t="shared" si="2"/>
        <v>80</v>
      </c>
      <c r="B81" s="57">
        <v>2021</v>
      </c>
      <c r="C81" s="57" t="s">
        <v>161</v>
      </c>
      <c r="D81" s="57" t="s">
        <v>290</v>
      </c>
      <c r="E81" s="58">
        <v>44222</v>
      </c>
      <c r="F81" s="57" t="s">
        <v>215</v>
      </c>
      <c r="G81" s="57" t="s">
        <v>215</v>
      </c>
      <c r="H81" s="57" t="s">
        <v>861</v>
      </c>
      <c r="I81" s="57" t="s">
        <v>196</v>
      </c>
      <c r="J81" s="58">
        <v>44222</v>
      </c>
      <c r="K81" s="57" t="s">
        <v>160</v>
      </c>
      <c r="L81" s="57"/>
      <c r="M81" s="174" t="s">
        <v>290</v>
      </c>
      <c r="N81" s="57"/>
      <c r="O81" s="57"/>
      <c r="P81" s="57">
        <v>2021</v>
      </c>
      <c r="Q81" s="115"/>
    </row>
    <row r="82" spans="1:17" ht="38.25">
      <c r="A82" s="56">
        <f t="shared" si="2"/>
        <v>81</v>
      </c>
      <c r="B82" s="57">
        <v>2021</v>
      </c>
      <c r="C82" s="57" t="s">
        <v>156</v>
      </c>
      <c r="D82" s="57" t="s">
        <v>291</v>
      </c>
      <c r="E82" s="58">
        <v>44225</v>
      </c>
      <c r="F82" s="57" t="s">
        <v>151</v>
      </c>
      <c r="G82" s="57" t="s">
        <v>151</v>
      </c>
      <c r="H82" s="57" t="s">
        <v>784</v>
      </c>
      <c r="I82" s="57" t="s">
        <v>196</v>
      </c>
      <c r="J82" s="58">
        <v>44270</v>
      </c>
      <c r="K82" s="57" t="s">
        <v>160</v>
      </c>
      <c r="L82" s="57"/>
      <c r="M82" s="174" t="s">
        <v>291</v>
      </c>
      <c r="N82" s="57"/>
      <c r="O82" s="57"/>
      <c r="P82" s="57">
        <v>2021</v>
      </c>
      <c r="Q82" s="115"/>
    </row>
    <row r="83" spans="1:17" ht="38.25">
      <c r="A83" s="56">
        <f t="shared" si="2"/>
        <v>82</v>
      </c>
      <c r="B83" s="57">
        <v>2021</v>
      </c>
      <c r="C83" s="57" t="s">
        <v>150</v>
      </c>
      <c r="D83" s="57" t="s">
        <v>292</v>
      </c>
      <c r="E83" s="58">
        <v>44258</v>
      </c>
      <c r="F83" s="57" t="s">
        <v>215</v>
      </c>
      <c r="G83" s="57" t="s">
        <v>215</v>
      </c>
      <c r="H83" s="57" t="s">
        <v>862</v>
      </c>
      <c r="I83" s="57" t="s">
        <v>196</v>
      </c>
      <c r="J83" s="58">
        <v>44258</v>
      </c>
      <c r="K83" s="57" t="s">
        <v>153</v>
      </c>
      <c r="L83" s="57"/>
      <c r="M83" s="174" t="s">
        <v>292</v>
      </c>
      <c r="N83" s="57"/>
      <c r="O83" s="57"/>
      <c r="P83" s="57">
        <v>2021</v>
      </c>
      <c r="Q83" s="115"/>
    </row>
    <row r="84" spans="1:17" ht="51">
      <c r="A84" s="56">
        <f t="shared" si="2"/>
        <v>83</v>
      </c>
      <c r="B84" s="57">
        <v>2021</v>
      </c>
      <c r="C84" s="57" t="s">
        <v>168</v>
      </c>
      <c r="D84" s="57" t="s">
        <v>293</v>
      </c>
      <c r="E84" s="58">
        <v>44274</v>
      </c>
      <c r="F84" s="57" t="s">
        <v>215</v>
      </c>
      <c r="G84" s="57" t="s">
        <v>215</v>
      </c>
      <c r="H84" s="57" t="s">
        <v>863</v>
      </c>
      <c r="I84" s="57" t="s">
        <v>196</v>
      </c>
      <c r="J84" s="58">
        <v>44348</v>
      </c>
      <c r="K84" s="57" t="s">
        <v>160</v>
      </c>
      <c r="L84" s="57"/>
      <c r="M84" s="174" t="s">
        <v>293</v>
      </c>
      <c r="N84" s="57"/>
      <c r="O84" s="57"/>
      <c r="P84" s="57">
        <v>2021</v>
      </c>
      <c r="Q84" s="115"/>
    </row>
    <row r="85" spans="1:17" ht="38.25">
      <c r="A85" s="56">
        <f t="shared" si="2"/>
        <v>84</v>
      </c>
      <c r="B85" s="57">
        <v>2021</v>
      </c>
      <c r="C85" s="57" t="s">
        <v>156</v>
      </c>
      <c r="D85" s="57" t="s">
        <v>294</v>
      </c>
      <c r="E85" s="58">
        <v>44273</v>
      </c>
      <c r="F85" s="57" t="s">
        <v>198</v>
      </c>
      <c r="G85" s="57" t="s">
        <v>198</v>
      </c>
      <c r="H85" s="57" t="s">
        <v>785</v>
      </c>
      <c r="I85" s="57" t="s">
        <v>252</v>
      </c>
      <c r="J85" s="58">
        <v>44273</v>
      </c>
      <c r="K85" s="57" t="s">
        <v>160</v>
      </c>
      <c r="L85" s="57"/>
      <c r="M85" s="174" t="s">
        <v>294</v>
      </c>
      <c r="N85" s="57"/>
      <c r="O85" s="57"/>
      <c r="P85" s="57">
        <v>2021</v>
      </c>
      <c r="Q85" s="115"/>
    </row>
    <row r="86" spans="1:17" ht="38.25">
      <c r="A86" s="59">
        <f t="shared" si="2"/>
        <v>85</v>
      </c>
      <c r="B86" s="59">
        <v>2022</v>
      </c>
      <c r="C86" s="59" t="s">
        <v>168</v>
      </c>
      <c r="D86" s="59" t="s">
        <v>295</v>
      </c>
      <c r="E86" s="60">
        <v>44925</v>
      </c>
      <c r="F86" s="59" t="s">
        <v>215</v>
      </c>
      <c r="G86" s="59" t="s">
        <v>215</v>
      </c>
      <c r="H86" s="59" t="s">
        <v>786</v>
      </c>
      <c r="I86" s="59" t="s">
        <v>196</v>
      </c>
      <c r="J86" s="60">
        <v>44986</v>
      </c>
      <c r="K86" s="61" t="s">
        <v>160</v>
      </c>
      <c r="L86" s="59"/>
      <c r="M86" s="173" t="s">
        <v>295</v>
      </c>
      <c r="N86" s="59"/>
      <c r="O86" s="59"/>
      <c r="P86" s="59">
        <v>2022</v>
      </c>
      <c r="Q86" s="115"/>
    </row>
    <row r="87" spans="1:17" ht="38.25">
      <c r="A87" s="59">
        <f t="shared" si="2"/>
        <v>86</v>
      </c>
      <c r="B87" s="59">
        <v>2022</v>
      </c>
      <c r="C87" s="59" t="s">
        <v>154</v>
      </c>
      <c r="D87" s="59" t="s">
        <v>296</v>
      </c>
      <c r="E87" s="60">
        <v>44925</v>
      </c>
      <c r="F87" s="59" t="s">
        <v>172</v>
      </c>
      <c r="G87" s="59" t="s">
        <v>172</v>
      </c>
      <c r="H87" s="59" t="s">
        <v>669</v>
      </c>
      <c r="I87" s="59" t="s">
        <v>196</v>
      </c>
      <c r="J87" s="60">
        <v>44979</v>
      </c>
      <c r="K87" s="61" t="s">
        <v>160</v>
      </c>
      <c r="L87" s="59"/>
      <c r="M87" s="173" t="s">
        <v>296</v>
      </c>
      <c r="N87" s="59"/>
      <c r="O87" s="59"/>
      <c r="P87" s="59">
        <v>2022</v>
      </c>
      <c r="Q87" s="115"/>
    </row>
    <row r="88" spans="1:17" ht="38.25">
      <c r="A88" s="62">
        <f t="shared" si="2"/>
        <v>87</v>
      </c>
      <c r="B88" s="63">
        <v>2023</v>
      </c>
      <c r="C88" s="63" t="s">
        <v>154</v>
      </c>
      <c r="D88" s="63" t="s">
        <v>297</v>
      </c>
      <c r="E88" s="64">
        <v>44964</v>
      </c>
      <c r="F88" s="63" t="s">
        <v>215</v>
      </c>
      <c r="G88" s="63" t="s">
        <v>215</v>
      </c>
      <c r="H88" s="63" t="s">
        <v>864</v>
      </c>
      <c r="I88" s="63" t="s">
        <v>196</v>
      </c>
      <c r="J88" s="64">
        <v>44964</v>
      </c>
      <c r="K88" s="63" t="s">
        <v>160</v>
      </c>
      <c r="L88" s="63"/>
      <c r="M88" s="174" t="s">
        <v>297</v>
      </c>
      <c r="N88" s="63"/>
      <c r="O88" s="63"/>
      <c r="P88" s="63">
        <v>2023</v>
      </c>
      <c r="Q88" s="115"/>
    </row>
    <row r="89" spans="1:17" ht="25.5">
      <c r="A89" s="62">
        <f t="shared" si="2"/>
        <v>88</v>
      </c>
      <c r="B89" s="63">
        <v>2023</v>
      </c>
      <c r="C89" s="63" t="s">
        <v>156</v>
      </c>
      <c r="D89" s="63" t="s">
        <v>298</v>
      </c>
      <c r="E89" s="64">
        <v>45033</v>
      </c>
      <c r="F89" s="63" t="s">
        <v>215</v>
      </c>
      <c r="G89" s="63" t="s">
        <v>206</v>
      </c>
      <c r="H89" s="63" t="s">
        <v>668</v>
      </c>
      <c r="I89" s="63" t="s">
        <v>196</v>
      </c>
      <c r="J89" s="64">
        <v>45108</v>
      </c>
      <c r="K89" s="63" t="s">
        <v>160</v>
      </c>
      <c r="L89" s="63"/>
      <c r="M89" s="174" t="s">
        <v>298</v>
      </c>
      <c r="N89" s="63"/>
      <c r="O89" s="63"/>
      <c r="P89" s="63">
        <v>2023</v>
      </c>
      <c r="Q89" s="115"/>
    </row>
    <row r="90" spans="1:17" ht="38.25">
      <c r="A90" s="62">
        <f t="shared" si="2"/>
        <v>89</v>
      </c>
      <c r="B90" s="63">
        <v>2023</v>
      </c>
      <c r="C90" s="63" t="s">
        <v>154</v>
      </c>
      <c r="D90" s="63" t="s">
        <v>299</v>
      </c>
      <c r="E90" s="64">
        <v>45796</v>
      </c>
      <c r="F90" s="63" t="s">
        <v>151</v>
      </c>
      <c r="G90" s="63" t="s">
        <v>151</v>
      </c>
      <c r="H90" s="63" t="s">
        <v>667</v>
      </c>
      <c r="I90" s="63" t="s">
        <v>196</v>
      </c>
      <c r="J90" s="64">
        <v>45796</v>
      </c>
      <c r="K90" s="63" t="s">
        <v>160</v>
      </c>
      <c r="L90" s="63"/>
      <c r="M90" s="174" t="s">
        <v>299</v>
      </c>
      <c r="N90" s="63"/>
      <c r="O90" s="63"/>
      <c r="P90" s="63">
        <v>2023</v>
      </c>
      <c r="Q90" s="115"/>
    </row>
    <row r="91" spans="1:17" ht="51">
      <c r="A91" s="62">
        <f t="shared" si="2"/>
        <v>90</v>
      </c>
      <c r="B91" s="63">
        <v>2023</v>
      </c>
      <c r="C91" s="63" t="s">
        <v>155</v>
      </c>
      <c r="D91" s="63" t="s">
        <v>300</v>
      </c>
      <c r="E91" s="64">
        <v>45075</v>
      </c>
      <c r="F91" s="63" t="s">
        <v>206</v>
      </c>
      <c r="G91" s="63" t="s">
        <v>206</v>
      </c>
      <c r="H91" s="63" t="s">
        <v>865</v>
      </c>
      <c r="I91" s="63" t="s">
        <v>196</v>
      </c>
      <c r="J91" s="64">
        <v>45075</v>
      </c>
      <c r="K91" s="63" t="s">
        <v>160</v>
      </c>
      <c r="L91" s="63"/>
      <c r="M91" s="174" t="s">
        <v>300</v>
      </c>
      <c r="N91" s="63"/>
      <c r="O91" s="63"/>
      <c r="P91" s="63">
        <v>2023</v>
      </c>
      <c r="Q91" s="115"/>
    </row>
    <row r="92" spans="1:17" ht="38.25">
      <c r="A92" s="62">
        <f t="shared" si="2"/>
        <v>91</v>
      </c>
      <c r="B92" s="63">
        <v>2023</v>
      </c>
      <c r="C92" s="63" t="s">
        <v>154</v>
      </c>
      <c r="D92" s="63" t="s">
        <v>608</v>
      </c>
      <c r="E92" s="64">
        <v>45106</v>
      </c>
      <c r="F92" s="63" t="s">
        <v>215</v>
      </c>
      <c r="G92" s="63" t="s">
        <v>215</v>
      </c>
      <c r="H92" s="63" t="s">
        <v>666</v>
      </c>
      <c r="I92" s="63" t="s">
        <v>196</v>
      </c>
      <c r="J92" s="64">
        <v>45152</v>
      </c>
      <c r="K92" s="63" t="s">
        <v>153</v>
      </c>
      <c r="L92" s="63"/>
      <c r="M92" s="174" t="s">
        <v>301</v>
      </c>
      <c r="N92" s="63"/>
      <c r="O92" s="63"/>
      <c r="P92" s="63">
        <v>2023</v>
      </c>
      <c r="Q92" s="115"/>
    </row>
    <row r="93" spans="1:17" ht="51">
      <c r="A93" s="62">
        <f t="shared" si="2"/>
        <v>92</v>
      </c>
      <c r="B93" s="63">
        <v>2023</v>
      </c>
      <c r="C93" s="63" t="s">
        <v>161</v>
      </c>
      <c r="D93" s="63" t="s">
        <v>302</v>
      </c>
      <c r="E93" s="64">
        <v>45163</v>
      </c>
      <c r="F93" s="63" t="s">
        <v>174</v>
      </c>
      <c r="G93" s="63" t="s">
        <v>174</v>
      </c>
      <c r="H93" s="63" t="s">
        <v>665</v>
      </c>
      <c r="I93" s="63" t="s">
        <v>303</v>
      </c>
      <c r="J93" s="64">
        <v>45163</v>
      </c>
      <c r="K93" s="63" t="s">
        <v>160</v>
      </c>
      <c r="L93" s="63"/>
      <c r="M93" s="174" t="s">
        <v>302</v>
      </c>
      <c r="N93" s="63"/>
      <c r="O93" s="63"/>
      <c r="P93" s="63">
        <v>2023</v>
      </c>
      <c r="Q93" s="115"/>
    </row>
    <row r="94" spans="1:17" ht="51">
      <c r="A94" s="62">
        <f t="shared" si="2"/>
        <v>93</v>
      </c>
      <c r="B94" s="63">
        <v>2023</v>
      </c>
      <c r="C94" s="63" t="s">
        <v>154</v>
      </c>
      <c r="D94" s="63" t="s">
        <v>304</v>
      </c>
      <c r="E94" s="64">
        <v>45189</v>
      </c>
      <c r="F94" s="63" t="s">
        <v>215</v>
      </c>
      <c r="G94" s="63" t="s">
        <v>215</v>
      </c>
      <c r="H94" s="63" t="s">
        <v>664</v>
      </c>
      <c r="I94" s="63" t="s">
        <v>196</v>
      </c>
      <c r="J94" s="64">
        <v>45189</v>
      </c>
      <c r="K94" s="63" t="s">
        <v>160</v>
      </c>
      <c r="L94" s="63"/>
      <c r="M94" s="174" t="s">
        <v>304</v>
      </c>
      <c r="N94" s="63"/>
      <c r="O94" s="63"/>
      <c r="P94" s="63">
        <v>2023</v>
      </c>
      <c r="Q94" s="115"/>
    </row>
    <row r="95" spans="1:17" ht="63.75">
      <c r="A95" s="62">
        <f t="shared" si="2"/>
        <v>94</v>
      </c>
      <c r="B95" s="63">
        <v>2023</v>
      </c>
      <c r="C95" s="63" t="s">
        <v>154</v>
      </c>
      <c r="D95" s="63" t="s">
        <v>305</v>
      </c>
      <c r="E95" s="64">
        <v>45124</v>
      </c>
      <c r="F95" s="63" t="s">
        <v>215</v>
      </c>
      <c r="G95" s="63" t="s">
        <v>215</v>
      </c>
      <c r="H95" s="63" t="s">
        <v>866</v>
      </c>
      <c r="I95" s="63" t="s">
        <v>196</v>
      </c>
      <c r="J95" s="64">
        <v>45184</v>
      </c>
      <c r="K95" s="63" t="s">
        <v>160</v>
      </c>
      <c r="L95" s="63"/>
      <c r="M95" s="174" t="s">
        <v>305</v>
      </c>
      <c r="N95" s="63"/>
      <c r="O95" s="63"/>
      <c r="P95" s="63">
        <v>2023</v>
      </c>
      <c r="Q95" s="115"/>
    </row>
    <row r="96" spans="1:17" ht="25.5">
      <c r="A96" s="62">
        <f t="shared" si="2"/>
        <v>95</v>
      </c>
      <c r="B96" s="63">
        <v>2023</v>
      </c>
      <c r="C96" s="63" t="s">
        <v>150</v>
      </c>
      <c r="D96" s="63" t="s">
        <v>306</v>
      </c>
      <c r="E96" s="64">
        <v>45195</v>
      </c>
      <c r="F96" s="63" t="s">
        <v>215</v>
      </c>
      <c r="G96" s="63" t="s">
        <v>172</v>
      </c>
      <c r="H96" s="63" t="s">
        <v>867</v>
      </c>
      <c r="I96" s="63" t="s">
        <v>196</v>
      </c>
      <c r="J96" s="64">
        <v>45210</v>
      </c>
      <c r="K96" s="63" t="s">
        <v>160</v>
      </c>
      <c r="L96" s="63"/>
      <c r="M96" s="174" t="s">
        <v>306</v>
      </c>
      <c r="N96" s="63"/>
      <c r="O96" s="63"/>
      <c r="P96" s="63">
        <v>2023</v>
      </c>
      <c r="Q96" s="115"/>
    </row>
    <row r="97" spans="1:17" ht="38.25">
      <c r="A97" s="62">
        <f t="shared" si="2"/>
        <v>96</v>
      </c>
      <c r="B97" s="63">
        <v>2023</v>
      </c>
      <c r="C97" s="63" t="s">
        <v>155</v>
      </c>
      <c r="D97" s="63" t="s">
        <v>607</v>
      </c>
      <c r="E97" s="64">
        <v>45194</v>
      </c>
      <c r="F97" s="63" t="s">
        <v>151</v>
      </c>
      <c r="G97" s="63" t="s">
        <v>151</v>
      </c>
      <c r="H97" s="63" t="s">
        <v>663</v>
      </c>
      <c r="I97" s="63" t="s">
        <v>196</v>
      </c>
      <c r="J97" s="64">
        <v>45194</v>
      </c>
      <c r="K97" s="63" t="s">
        <v>160</v>
      </c>
      <c r="L97" s="63"/>
      <c r="M97" s="174" t="s">
        <v>307</v>
      </c>
      <c r="N97" s="63"/>
      <c r="O97" s="63"/>
      <c r="P97" s="63">
        <v>2023</v>
      </c>
      <c r="Q97" s="115"/>
    </row>
    <row r="98" spans="1:17" ht="76.5">
      <c r="A98" s="62">
        <f t="shared" si="2"/>
        <v>97</v>
      </c>
      <c r="B98" s="63">
        <v>2023</v>
      </c>
      <c r="C98" s="63" t="s">
        <v>168</v>
      </c>
      <c r="D98" s="63" t="s">
        <v>308</v>
      </c>
      <c r="E98" s="64">
        <v>45250</v>
      </c>
      <c r="F98" s="63" t="s">
        <v>172</v>
      </c>
      <c r="G98" s="63" t="s">
        <v>172</v>
      </c>
      <c r="H98" s="63" t="s">
        <v>662</v>
      </c>
      <c r="I98" s="63" t="s">
        <v>196</v>
      </c>
      <c r="J98" s="64">
        <v>45250</v>
      </c>
      <c r="K98" s="62" t="s">
        <v>160</v>
      </c>
      <c r="L98" s="63"/>
      <c r="M98" s="174" t="s">
        <v>308</v>
      </c>
      <c r="N98" s="63"/>
      <c r="O98" s="63"/>
      <c r="P98" s="63">
        <v>2023</v>
      </c>
      <c r="Q98" s="115"/>
    </row>
    <row r="99" spans="1:17" ht="25.5">
      <c r="A99" s="62">
        <f t="shared" si="2"/>
        <v>98</v>
      </c>
      <c r="B99" s="63">
        <v>2023</v>
      </c>
      <c r="C99" s="63" t="s">
        <v>154</v>
      </c>
      <c r="D99" s="63" t="s">
        <v>309</v>
      </c>
      <c r="E99" s="64">
        <v>45233</v>
      </c>
      <c r="F99" s="63" t="s">
        <v>170</v>
      </c>
      <c r="G99" s="63" t="s">
        <v>170</v>
      </c>
      <c r="H99" s="63" t="s">
        <v>755</v>
      </c>
      <c r="I99" s="63" t="s">
        <v>303</v>
      </c>
      <c r="J99" s="64">
        <v>44996</v>
      </c>
      <c r="K99" s="62" t="s">
        <v>160</v>
      </c>
      <c r="L99" s="63"/>
      <c r="M99" s="174" t="s">
        <v>309</v>
      </c>
      <c r="N99" s="63"/>
      <c r="O99" s="63"/>
      <c r="P99" s="63">
        <v>2023</v>
      </c>
      <c r="Q99" s="115"/>
    </row>
    <row r="100" spans="1:17" ht="51">
      <c r="A100" s="62">
        <f t="shared" si="2"/>
        <v>99</v>
      </c>
      <c r="B100" s="63">
        <v>2023</v>
      </c>
      <c r="C100" s="63" t="s">
        <v>154</v>
      </c>
      <c r="D100" s="63" t="s">
        <v>310</v>
      </c>
      <c r="E100" s="64">
        <v>45267</v>
      </c>
      <c r="F100" s="63" t="s">
        <v>215</v>
      </c>
      <c r="G100" s="63" t="s">
        <v>215</v>
      </c>
      <c r="H100" s="63" t="s">
        <v>661</v>
      </c>
      <c r="I100" s="63" t="s">
        <v>196</v>
      </c>
      <c r="J100" s="64">
        <v>45119</v>
      </c>
      <c r="K100" s="62" t="s">
        <v>160</v>
      </c>
      <c r="L100" s="63"/>
      <c r="M100" s="175" t="s">
        <v>310</v>
      </c>
      <c r="N100" s="63"/>
      <c r="O100" s="63"/>
      <c r="P100" s="63">
        <v>2023</v>
      </c>
      <c r="Q100" s="115" t="s">
        <v>180</v>
      </c>
    </row>
    <row r="101" spans="1:17" ht="38.25">
      <c r="A101" s="62">
        <f t="shared" si="2"/>
        <v>100</v>
      </c>
      <c r="B101" s="63">
        <v>2023</v>
      </c>
      <c r="C101" s="63" t="s">
        <v>154</v>
      </c>
      <c r="D101" s="63" t="s">
        <v>311</v>
      </c>
      <c r="E101" s="64">
        <v>45275</v>
      </c>
      <c r="F101" s="63" t="s">
        <v>206</v>
      </c>
      <c r="G101" s="63" t="s">
        <v>206</v>
      </c>
      <c r="H101" s="63" t="s">
        <v>660</v>
      </c>
      <c r="I101" s="63" t="s">
        <v>196</v>
      </c>
      <c r="J101" s="64">
        <v>45275</v>
      </c>
      <c r="K101" s="62" t="s">
        <v>160</v>
      </c>
      <c r="L101" s="63"/>
      <c r="M101" s="174" t="s">
        <v>311</v>
      </c>
      <c r="N101" s="63"/>
      <c r="O101" s="63"/>
      <c r="P101" s="63">
        <v>2023</v>
      </c>
      <c r="Q101" s="115"/>
    </row>
    <row r="102" spans="1:17" ht="51">
      <c r="A102" s="62">
        <f t="shared" si="2"/>
        <v>101</v>
      </c>
      <c r="B102" s="63">
        <v>2023</v>
      </c>
      <c r="C102" s="63" t="s">
        <v>154</v>
      </c>
      <c r="D102" s="63" t="s">
        <v>312</v>
      </c>
      <c r="E102" s="64">
        <v>45265</v>
      </c>
      <c r="F102" s="63" t="s">
        <v>313</v>
      </c>
      <c r="G102" s="63" t="s">
        <v>313</v>
      </c>
      <c r="H102" s="63" t="s">
        <v>659</v>
      </c>
      <c r="I102" s="63" t="s">
        <v>196</v>
      </c>
      <c r="J102" s="64">
        <v>45058</v>
      </c>
      <c r="K102" s="62" t="s">
        <v>160</v>
      </c>
      <c r="L102" s="63"/>
      <c r="M102" s="174" t="s">
        <v>312</v>
      </c>
      <c r="N102" s="63"/>
      <c r="O102" s="63"/>
      <c r="P102" s="63">
        <v>2023</v>
      </c>
      <c r="Q102" s="115"/>
    </row>
    <row r="103" spans="1:17" ht="38.25">
      <c r="A103" s="62">
        <f t="shared" si="2"/>
        <v>102</v>
      </c>
      <c r="B103" s="63">
        <v>2023</v>
      </c>
      <c r="C103" s="63" t="s">
        <v>154</v>
      </c>
      <c r="D103" s="63" t="s">
        <v>314</v>
      </c>
      <c r="E103" s="64">
        <v>45291</v>
      </c>
      <c r="F103" s="63" t="s">
        <v>215</v>
      </c>
      <c r="G103" s="63" t="s">
        <v>215</v>
      </c>
      <c r="H103" s="63" t="s">
        <v>868</v>
      </c>
      <c r="I103" s="63" t="s">
        <v>196</v>
      </c>
      <c r="J103" s="64">
        <v>45292</v>
      </c>
      <c r="K103" s="62" t="s">
        <v>153</v>
      </c>
      <c r="L103" s="63"/>
      <c r="M103" s="174" t="s">
        <v>314</v>
      </c>
      <c r="N103" s="63"/>
      <c r="O103" s="63"/>
      <c r="P103" s="63">
        <v>2023</v>
      </c>
      <c r="Q103" s="115" t="s">
        <v>180</v>
      </c>
    </row>
    <row r="104" spans="1:17" ht="63.75">
      <c r="A104" s="65">
        <f t="shared" si="2"/>
        <v>103</v>
      </c>
      <c r="B104" s="65">
        <v>2024</v>
      </c>
      <c r="C104" s="65" t="s">
        <v>168</v>
      </c>
      <c r="D104" s="65" t="s">
        <v>315</v>
      </c>
      <c r="E104" s="66">
        <v>45317</v>
      </c>
      <c r="F104" s="65" t="s">
        <v>206</v>
      </c>
      <c r="G104" s="65" t="s">
        <v>206</v>
      </c>
      <c r="H104" s="65" t="s">
        <v>658</v>
      </c>
      <c r="I104" s="65" t="s">
        <v>196</v>
      </c>
      <c r="J104" s="66">
        <v>45317</v>
      </c>
      <c r="K104" s="65" t="s">
        <v>160</v>
      </c>
      <c r="L104" s="65"/>
      <c r="M104" s="173" t="s">
        <v>315</v>
      </c>
      <c r="N104" s="65"/>
      <c r="O104" s="65"/>
      <c r="P104" s="65">
        <v>2024</v>
      </c>
      <c r="Q104" s="115"/>
    </row>
    <row r="105" spans="1:17" ht="51">
      <c r="A105" s="65">
        <f t="shared" si="2"/>
        <v>104</v>
      </c>
      <c r="B105" s="65">
        <v>2024</v>
      </c>
      <c r="C105" s="65" t="s">
        <v>154</v>
      </c>
      <c r="D105" s="65" t="s">
        <v>656</v>
      </c>
      <c r="E105" s="66">
        <v>45305</v>
      </c>
      <c r="F105" s="65" t="s">
        <v>313</v>
      </c>
      <c r="G105" s="65" t="s">
        <v>313</v>
      </c>
      <c r="H105" s="65" t="s">
        <v>657</v>
      </c>
      <c r="I105" s="65" t="s">
        <v>196</v>
      </c>
      <c r="J105" s="66">
        <v>45305</v>
      </c>
      <c r="K105" s="65" t="s">
        <v>160</v>
      </c>
      <c r="L105" s="65"/>
      <c r="M105" s="173" t="s">
        <v>656</v>
      </c>
      <c r="N105" s="65"/>
      <c r="O105" s="65"/>
      <c r="P105" s="65">
        <v>2024</v>
      </c>
      <c r="Q105" s="115"/>
    </row>
    <row r="106" spans="1:17" ht="76.5">
      <c r="A106" s="65">
        <f t="shared" si="2"/>
        <v>105</v>
      </c>
      <c r="B106" s="65">
        <v>2024</v>
      </c>
      <c r="C106" s="65" t="s">
        <v>168</v>
      </c>
      <c r="D106" s="65" t="s">
        <v>316</v>
      </c>
      <c r="E106" s="66">
        <v>45327</v>
      </c>
      <c r="F106" s="65" t="s">
        <v>151</v>
      </c>
      <c r="G106" s="65" t="s">
        <v>151</v>
      </c>
      <c r="H106" s="65" t="s">
        <v>655</v>
      </c>
      <c r="I106" s="65" t="s">
        <v>196</v>
      </c>
      <c r="J106" s="66">
        <v>45381</v>
      </c>
      <c r="K106" s="65" t="s">
        <v>160</v>
      </c>
      <c r="L106" s="65"/>
      <c r="M106" s="173" t="s">
        <v>316</v>
      </c>
      <c r="N106" s="65"/>
      <c r="O106" s="65"/>
      <c r="P106" s="65">
        <v>2024</v>
      </c>
      <c r="Q106" s="115"/>
    </row>
    <row r="107" spans="1:17" ht="63.75">
      <c r="A107" s="65">
        <f t="shared" si="2"/>
        <v>106</v>
      </c>
      <c r="B107" s="65">
        <v>2024</v>
      </c>
      <c r="C107" s="65" t="s">
        <v>154</v>
      </c>
      <c r="D107" s="65" t="s">
        <v>317</v>
      </c>
      <c r="E107" s="66">
        <v>45322</v>
      </c>
      <c r="F107" s="65" t="s">
        <v>151</v>
      </c>
      <c r="G107" s="65" t="s">
        <v>151</v>
      </c>
      <c r="H107" s="65" t="s">
        <v>787</v>
      </c>
      <c r="I107" s="65" t="s">
        <v>196</v>
      </c>
      <c r="J107" s="66">
        <v>45322</v>
      </c>
      <c r="K107" s="65" t="s">
        <v>160</v>
      </c>
      <c r="L107" s="65"/>
      <c r="M107" s="173" t="s">
        <v>317</v>
      </c>
      <c r="N107" s="65"/>
      <c r="O107" s="65"/>
      <c r="P107" s="65">
        <v>2024</v>
      </c>
      <c r="Q107" s="115"/>
    </row>
    <row r="108" spans="1:17" ht="38.25">
      <c r="A108" s="65">
        <f t="shared" si="2"/>
        <v>107</v>
      </c>
      <c r="B108" s="65">
        <v>2024</v>
      </c>
      <c r="C108" s="65" t="s">
        <v>168</v>
      </c>
      <c r="D108" s="65" t="s">
        <v>318</v>
      </c>
      <c r="E108" s="66">
        <v>45324</v>
      </c>
      <c r="F108" s="65" t="s">
        <v>151</v>
      </c>
      <c r="G108" s="65" t="s">
        <v>151</v>
      </c>
      <c r="H108" s="65" t="s">
        <v>654</v>
      </c>
      <c r="I108" s="65" t="s">
        <v>196</v>
      </c>
      <c r="J108" s="66">
        <v>45324</v>
      </c>
      <c r="K108" s="65" t="s">
        <v>160</v>
      </c>
      <c r="L108" s="65"/>
      <c r="M108" s="173" t="s">
        <v>318</v>
      </c>
      <c r="N108" s="65"/>
      <c r="O108" s="65"/>
      <c r="P108" s="65">
        <v>2024</v>
      </c>
      <c r="Q108" s="115"/>
    </row>
    <row r="109" spans="1:17" ht="38.25">
      <c r="A109" s="65">
        <f t="shared" si="2"/>
        <v>108</v>
      </c>
      <c r="B109" s="65">
        <v>2024</v>
      </c>
      <c r="C109" s="65" t="s">
        <v>154</v>
      </c>
      <c r="D109" s="65" t="s">
        <v>319</v>
      </c>
      <c r="E109" s="66">
        <v>45326</v>
      </c>
      <c r="F109" s="65" t="s">
        <v>215</v>
      </c>
      <c r="G109" s="65" t="s">
        <v>215</v>
      </c>
      <c r="H109" s="65" t="s">
        <v>869</v>
      </c>
      <c r="I109" s="65" t="s">
        <v>196</v>
      </c>
      <c r="J109" s="66">
        <v>45437</v>
      </c>
      <c r="K109" s="65" t="s">
        <v>160</v>
      </c>
      <c r="L109" s="65"/>
      <c r="M109" s="173" t="s">
        <v>319</v>
      </c>
      <c r="N109" s="65"/>
      <c r="O109" s="65"/>
      <c r="P109" s="65">
        <v>2024</v>
      </c>
      <c r="Q109" s="115"/>
    </row>
    <row r="110" spans="1:17" ht="38.25">
      <c r="A110" s="65">
        <f t="shared" si="2"/>
        <v>109</v>
      </c>
      <c r="B110" s="65">
        <v>2024</v>
      </c>
      <c r="C110" s="65" t="s">
        <v>154</v>
      </c>
      <c r="D110" s="65" t="s">
        <v>320</v>
      </c>
      <c r="E110" s="66">
        <v>45600</v>
      </c>
      <c r="F110" s="65" t="s">
        <v>151</v>
      </c>
      <c r="G110" s="65" t="s">
        <v>151</v>
      </c>
      <c r="H110" s="65" t="s">
        <v>653</v>
      </c>
      <c r="I110" s="65" t="s">
        <v>196</v>
      </c>
      <c r="J110" s="66">
        <v>45600</v>
      </c>
      <c r="K110" s="65" t="s">
        <v>160</v>
      </c>
      <c r="L110" s="65"/>
      <c r="M110" s="173" t="s">
        <v>320</v>
      </c>
      <c r="N110" s="65"/>
      <c r="O110" s="65"/>
      <c r="P110" s="65">
        <v>2024</v>
      </c>
      <c r="Q110" s="115"/>
    </row>
    <row r="111" spans="1:17" ht="38.25">
      <c r="A111" s="65">
        <f t="shared" si="2"/>
        <v>110</v>
      </c>
      <c r="B111" s="65">
        <v>2024</v>
      </c>
      <c r="C111" s="65" t="s">
        <v>168</v>
      </c>
      <c r="D111" s="67" t="s">
        <v>652</v>
      </c>
      <c r="E111" s="66">
        <v>45569</v>
      </c>
      <c r="F111" s="65" t="s">
        <v>151</v>
      </c>
      <c r="G111" s="65" t="s">
        <v>151</v>
      </c>
      <c r="H111" s="65" t="s">
        <v>788</v>
      </c>
      <c r="I111" s="65" t="s">
        <v>196</v>
      </c>
      <c r="J111" s="66">
        <v>45569</v>
      </c>
      <c r="K111" s="65" t="s">
        <v>153</v>
      </c>
      <c r="L111" s="65"/>
      <c r="M111" s="173" t="s">
        <v>652</v>
      </c>
      <c r="N111" s="65"/>
      <c r="O111" s="65"/>
      <c r="P111" s="65">
        <v>2024</v>
      </c>
      <c r="Q111" s="115"/>
    </row>
    <row r="112" spans="1:17" ht="76.5">
      <c r="A112" s="65">
        <f t="shared" si="2"/>
        <v>111</v>
      </c>
      <c r="B112" s="65">
        <v>2024</v>
      </c>
      <c r="C112" s="65" t="s">
        <v>168</v>
      </c>
      <c r="D112" s="65" t="s">
        <v>322</v>
      </c>
      <c r="E112" s="66">
        <v>45349</v>
      </c>
      <c r="F112" s="65" t="s">
        <v>215</v>
      </c>
      <c r="G112" s="65" t="s">
        <v>215</v>
      </c>
      <c r="H112" s="65" t="s">
        <v>651</v>
      </c>
      <c r="I112" s="65" t="s">
        <v>196</v>
      </c>
      <c r="J112" s="66">
        <v>45349</v>
      </c>
      <c r="K112" s="65" t="s">
        <v>160</v>
      </c>
      <c r="L112" s="65"/>
      <c r="M112" s="173" t="s">
        <v>322</v>
      </c>
      <c r="N112" s="65"/>
      <c r="O112" s="65"/>
      <c r="P112" s="65">
        <v>2024</v>
      </c>
      <c r="Q112" s="115"/>
    </row>
    <row r="113" spans="1:17" ht="51">
      <c r="A113" s="65">
        <f t="shared" si="2"/>
        <v>112</v>
      </c>
      <c r="B113" s="65">
        <v>2024</v>
      </c>
      <c r="C113" s="65" t="s">
        <v>154</v>
      </c>
      <c r="D113" s="65" t="s">
        <v>323</v>
      </c>
      <c r="E113" s="66">
        <v>45352</v>
      </c>
      <c r="F113" s="65" t="s">
        <v>151</v>
      </c>
      <c r="G113" s="65" t="s">
        <v>151</v>
      </c>
      <c r="H113" s="65" t="s">
        <v>650</v>
      </c>
      <c r="I113" s="65" t="s">
        <v>196</v>
      </c>
      <c r="J113" s="66">
        <v>45352</v>
      </c>
      <c r="K113" s="65" t="s">
        <v>160</v>
      </c>
      <c r="L113" s="65"/>
      <c r="M113" s="173" t="s">
        <v>323</v>
      </c>
      <c r="N113" s="65"/>
      <c r="O113" s="65"/>
      <c r="P113" s="65">
        <v>2024</v>
      </c>
      <c r="Q113" s="115"/>
    </row>
    <row r="114" spans="1:17" ht="51">
      <c r="A114" s="65">
        <f t="shared" si="2"/>
        <v>113</v>
      </c>
      <c r="B114" s="65">
        <v>2024</v>
      </c>
      <c r="C114" s="65" t="s">
        <v>154</v>
      </c>
      <c r="D114" s="65" t="s">
        <v>324</v>
      </c>
      <c r="E114" s="66">
        <v>45519</v>
      </c>
      <c r="F114" s="65" t="s">
        <v>174</v>
      </c>
      <c r="G114" s="65" t="s">
        <v>174</v>
      </c>
      <c r="H114" s="65" t="s">
        <v>870</v>
      </c>
      <c r="I114" s="65" t="s">
        <v>303</v>
      </c>
      <c r="J114" s="66">
        <v>45519</v>
      </c>
      <c r="K114" s="65" t="s">
        <v>160</v>
      </c>
      <c r="L114" s="65"/>
      <c r="M114" s="173" t="s">
        <v>324</v>
      </c>
      <c r="N114" s="65"/>
      <c r="O114" s="65"/>
      <c r="P114" s="65">
        <v>2024</v>
      </c>
      <c r="Q114" s="115"/>
    </row>
    <row r="115" spans="1:17" ht="51">
      <c r="A115" s="65">
        <f t="shared" si="2"/>
        <v>114</v>
      </c>
      <c r="B115" s="65">
        <v>2024</v>
      </c>
      <c r="C115" s="65" t="s">
        <v>154</v>
      </c>
      <c r="D115" s="65" t="s">
        <v>325</v>
      </c>
      <c r="E115" s="66">
        <v>45527</v>
      </c>
      <c r="F115" s="65" t="s">
        <v>313</v>
      </c>
      <c r="G115" s="65" t="s">
        <v>313</v>
      </c>
      <c r="H115" s="65" t="s">
        <v>649</v>
      </c>
      <c r="I115" s="65" t="s">
        <v>196</v>
      </c>
      <c r="J115" s="66">
        <v>45527</v>
      </c>
      <c r="K115" s="65" t="s">
        <v>160</v>
      </c>
      <c r="L115" s="65"/>
      <c r="M115" s="173" t="s">
        <v>325</v>
      </c>
      <c r="N115" s="65"/>
      <c r="O115" s="65"/>
      <c r="P115" s="65">
        <v>2024</v>
      </c>
      <c r="Q115" s="115"/>
    </row>
    <row r="116" spans="1:17" ht="102">
      <c r="A116" s="65">
        <f t="shared" si="2"/>
        <v>115</v>
      </c>
      <c r="B116" s="65">
        <v>2024</v>
      </c>
      <c r="C116" s="65" t="s">
        <v>161</v>
      </c>
      <c r="D116" s="65" t="s">
        <v>326</v>
      </c>
      <c r="E116" s="66">
        <v>45531</v>
      </c>
      <c r="F116" s="65" t="s">
        <v>151</v>
      </c>
      <c r="G116" s="65" t="s">
        <v>151</v>
      </c>
      <c r="H116" s="65" t="s">
        <v>648</v>
      </c>
      <c r="I116" s="65" t="s">
        <v>196</v>
      </c>
      <c r="J116" s="66">
        <v>45531</v>
      </c>
      <c r="K116" s="65" t="s">
        <v>160</v>
      </c>
      <c r="L116" s="65"/>
      <c r="M116" s="173" t="s">
        <v>326</v>
      </c>
      <c r="N116" s="65"/>
      <c r="O116" s="65"/>
      <c r="P116" s="65">
        <v>2024</v>
      </c>
      <c r="Q116" s="115"/>
    </row>
    <row r="117" spans="1:17" ht="38.25">
      <c r="A117" s="65">
        <f t="shared" si="2"/>
        <v>116</v>
      </c>
      <c r="B117" s="65">
        <v>2024</v>
      </c>
      <c r="C117" s="65" t="s">
        <v>165</v>
      </c>
      <c r="D117" s="65" t="s">
        <v>327</v>
      </c>
      <c r="E117" s="66">
        <v>45536</v>
      </c>
      <c r="F117" s="65" t="s">
        <v>172</v>
      </c>
      <c r="G117" s="65" t="s">
        <v>172</v>
      </c>
      <c r="H117" s="65" t="s">
        <v>647</v>
      </c>
      <c r="I117" s="65" t="s">
        <v>196</v>
      </c>
      <c r="J117" s="66">
        <v>45536</v>
      </c>
      <c r="K117" s="65" t="s">
        <v>160</v>
      </c>
      <c r="L117" s="65"/>
      <c r="M117" s="173" t="s">
        <v>327</v>
      </c>
      <c r="N117" s="65"/>
      <c r="O117" s="65"/>
      <c r="P117" s="65">
        <v>2024</v>
      </c>
      <c r="Q117" s="115"/>
    </row>
    <row r="118" spans="1:17" ht="38.25">
      <c r="A118" s="65">
        <f t="shared" si="2"/>
        <v>117</v>
      </c>
      <c r="B118" s="65">
        <v>2024</v>
      </c>
      <c r="C118" s="65" t="s">
        <v>155</v>
      </c>
      <c r="D118" s="65" t="s">
        <v>328</v>
      </c>
      <c r="E118" s="66">
        <v>45539</v>
      </c>
      <c r="F118" s="65" t="s">
        <v>206</v>
      </c>
      <c r="G118" s="65" t="s">
        <v>206</v>
      </c>
      <c r="H118" s="65" t="s">
        <v>646</v>
      </c>
      <c r="I118" s="65" t="s">
        <v>196</v>
      </c>
      <c r="J118" s="66">
        <v>45539</v>
      </c>
      <c r="K118" s="65" t="s">
        <v>160</v>
      </c>
      <c r="L118" s="65"/>
      <c r="M118" s="173" t="s">
        <v>328</v>
      </c>
      <c r="N118" s="65"/>
      <c r="O118" s="65"/>
      <c r="P118" s="65">
        <v>2024</v>
      </c>
      <c r="Q118" s="115"/>
    </row>
    <row r="119" spans="1:17" ht="63.75">
      <c r="A119" s="65">
        <f t="shared" si="2"/>
        <v>118</v>
      </c>
      <c r="B119" s="65">
        <v>2024</v>
      </c>
      <c r="C119" s="65" t="s">
        <v>150</v>
      </c>
      <c r="D119" s="65" t="s">
        <v>329</v>
      </c>
      <c r="E119" s="66">
        <v>45550</v>
      </c>
      <c r="F119" s="65" t="s">
        <v>215</v>
      </c>
      <c r="G119" s="65" t="s">
        <v>215</v>
      </c>
      <c r="H119" s="65" t="s">
        <v>871</v>
      </c>
      <c r="I119" s="65" t="s">
        <v>196</v>
      </c>
      <c r="J119" s="66">
        <v>45550</v>
      </c>
      <c r="K119" s="65" t="s">
        <v>153</v>
      </c>
      <c r="L119" s="65"/>
      <c r="M119" s="173" t="s">
        <v>329</v>
      </c>
      <c r="N119" s="65"/>
      <c r="O119" s="65"/>
      <c r="P119" s="65">
        <v>2024</v>
      </c>
      <c r="Q119" s="115"/>
    </row>
    <row r="120" spans="1:17" ht="76.5">
      <c r="A120" s="65">
        <f t="shared" si="2"/>
        <v>119</v>
      </c>
      <c r="B120" s="65">
        <v>2024</v>
      </c>
      <c r="C120" s="65" t="s">
        <v>163</v>
      </c>
      <c r="D120" s="65" t="s">
        <v>330</v>
      </c>
      <c r="E120" s="66">
        <v>45552</v>
      </c>
      <c r="F120" s="65" t="s">
        <v>206</v>
      </c>
      <c r="G120" s="65" t="s">
        <v>206</v>
      </c>
      <c r="H120" s="65" t="s">
        <v>872</v>
      </c>
      <c r="I120" s="65" t="s">
        <v>196</v>
      </c>
      <c r="J120" s="66">
        <v>45552</v>
      </c>
      <c r="K120" s="65" t="s">
        <v>160</v>
      </c>
      <c r="L120" s="65"/>
      <c r="M120" s="173" t="s">
        <v>330</v>
      </c>
      <c r="N120" s="65"/>
      <c r="O120" s="65"/>
      <c r="P120" s="65">
        <v>2024</v>
      </c>
      <c r="Q120" s="115"/>
    </row>
    <row r="121" spans="1:17" ht="63.75">
      <c r="A121" s="65">
        <f t="shared" si="2"/>
        <v>120</v>
      </c>
      <c r="B121" s="65">
        <v>2024</v>
      </c>
      <c r="C121" s="65" t="s">
        <v>154</v>
      </c>
      <c r="D121" s="65" t="s">
        <v>331</v>
      </c>
      <c r="E121" s="66">
        <v>45605</v>
      </c>
      <c r="F121" s="65" t="s">
        <v>215</v>
      </c>
      <c r="G121" s="65" t="s">
        <v>215</v>
      </c>
      <c r="H121" s="65" t="s">
        <v>873</v>
      </c>
      <c r="I121" s="65" t="s">
        <v>196</v>
      </c>
      <c r="J121" s="66">
        <v>45651</v>
      </c>
      <c r="K121" s="65" t="s">
        <v>160</v>
      </c>
      <c r="L121" s="65"/>
      <c r="M121" s="173" t="s">
        <v>331</v>
      </c>
      <c r="N121" s="65"/>
      <c r="O121" s="65"/>
      <c r="P121" s="65">
        <v>2024</v>
      </c>
      <c r="Q121" s="115"/>
    </row>
    <row r="122" spans="1:17" ht="25.5">
      <c r="A122" s="65">
        <f t="shared" si="2"/>
        <v>121</v>
      </c>
      <c r="B122" s="65">
        <v>2024</v>
      </c>
      <c r="C122" s="65" t="s">
        <v>165</v>
      </c>
      <c r="D122" s="65" t="s">
        <v>332</v>
      </c>
      <c r="E122" s="66">
        <v>45608</v>
      </c>
      <c r="F122" s="65" t="s">
        <v>172</v>
      </c>
      <c r="G122" s="65" t="s">
        <v>172</v>
      </c>
      <c r="H122" s="65" t="s">
        <v>645</v>
      </c>
      <c r="I122" s="65" t="s">
        <v>196</v>
      </c>
      <c r="J122" s="66">
        <v>45608</v>
      </c>
      <c r="K122" s="65" t="s">
        <v>160</v>
      </c>
      <c r="L122" s="65"/>
      <c r="M122" s="173" t="s">
        <v>332</v>
      </c>
      <c r="N122" s="65"/>
      <c r="O122" s="65"/>
      <c r="P122" s="65">
        <v>2024</v>
      </c>
      <c r="Q122" s="115"/>
    </row>
    <row r="123" spans="1:17" ht="76.5">
      <c r="A123" s="65">
        <f t="shared" si="2"/>
        <v>122</v>
      </c>
      <c r="B123" s="65">
        <v>2024</v>
      </c>
      <c r="C123" s="65" t="s">
        <v>161</v>
      </c>
      <c r="D123" s="65" t="s">
        <v>333</v>
      </c>
      <c r="E123" s="66">
        <v>45610</v>
      </c>
      <c r="F123" s="65" t="s">
        <v>174</v>
      </c>
      <c r="G123" s="65" t="s">
        <v>174</v>
      </c>
      <c r="H123" s="65" t="s">
        <v>874</v>
      </c>
      <c r="I123" s="65" t="s">
        <v>303</v>
      </c>
      <c r="J123" s="66">
        <v>45610</v>
      </c>
      <c r="K123" s="65" t="s">
        <v>160</v>
      </c>
      <c r="L123" s="65"/>
      <c r="M123" s="173" t="s">
        <v>333</v>
      </c>
      <c r="N123" s="65"/>
      <c r="O123" s="65"/>
      <c r="P123" s="65">
        <v>2024</v>
      </c>
      <c r="Q123" s="115"/>
    </row>
    <row r="124" spans="1:17" ht="63.75">
      <c r="A124" s="65">
        <f t="shared" si="2"/>
        <v>123</v>
      </c>
      <c r="B124" s="65">
        <v>2024</v>
      </c>
      <c r="C124" s="65" t="s">
        <v>150</v>
      </c>
      <c r="D124" s="65" t="s">
        <v>334</v>
      </c>
      <c r="E124" s="66">
        <v>45652</v>
      </c>
      <c r="F124" s="65" t="s">
        <v>215</v>
      </c>
      <c r="G124" s="65" t="s">
        <v>215</v>
      </c>
      <c r="H124" s="65" t="s">
        <v>875</v>
      </c>
      <c r="I124" s="65" t="s">
        <v>196</v>
      </c>
      <c r="J124" s="66">
        <v>45652</v>
      </c>
      <c r="K124" s="65" t="s">
        <v>160</v>
      </c>
      <c r="L124" s="65"/>
      <c r="M124" s="173" t="s">
        <v>334</v>
      </c>
      <c r="N124" s="65"/>
      <c r="O124" s="65"/>
      <c r="P124" s="65">
        <v>2024</v>
      </c>
      <c r="Q124" s="115"/>
    </row>
    <row r="125" spans="1:17" ht="51">
      <c r="A125" s="65">
        <f t="shared" si="2"/>
        <v>124</v>
      </c>
      <c r="B125" s="65">
        <v>2024</v>
      </c>
      <c r="C125" s="65" t="s">
        <v>161</v>
      </c>
      <c r="D125" s="65" t="s">
        <v>335</v>
      </c>
      <c r="E125" s="66">
        <v>45657</v>
      </c>
      <c r="F125" s="65" t="s">
        <v>215</v>
      </c>
      <c r="G125" s="65" t="s">
        <v>215</v>
      </c>
      <c r="H125" s="65" t="s">
        <v>876</v>
      </c>
      <c r="I125" s="65" t="s">
        <v>196</v>
      </c>
      <c r="J125" s="66">
        <v>45657</v>
      </c>
      <c r="K125" s="65" t="s">
        <v>153</v>
      </c>
      <c r="L125" s="65"/>
      <c r="M125" s="173" t="s">
        <v>335</v>
      </c>
      <c r="N125" s="65"/>
      <c r="O125" s="65"/>
      <c r="P125" s="65">
        <v>2024</v>
      </c>
      <c r="Q125" s="115"/>
    </row>
    <row r="126" spans="1:17" ht="76.5">
      <c r="A126" s="65">
        <f t="shared" si="2"/>
        <v>125</v>
      </c>
      <c r="B126" s="65">
        <v>2024</v>
      </c>
      <c r="C126" s="65" t="s">
        <v>163</v>
      </c>
      <c r="D126" s="65" t="s">
        <v>336</v>
      </c>
      <c r="E126" s="66">
        <v>45657</v>
      </c>
      <c r="F126" s="65" t="s">
        <v>215</v>
      </c>
      <c r="G126" s="65" t="s">
        <v>215</v>
      </c>
      <c r="H126" s="65" t="s">
        <v>877</v>
      </c>
      <c r="I126" s="65" t="s">
        <v>196</v>
      </c>
      <c r="J126" s="66">
        <v>45658</v>
      </c>
      <c r="K126" s="65" t="s">
        <v>160</v>
      </c>
      <c r="L126" s="65"/>
      <c r="M126" s="173" t="s">
        <v>336</v>
      </c>
      <c r="N126" s="65"/>
      <c r="O126" s="65"/>
      <c r="P126" s="65">
        <v>2024</v>
      </c>
      <c r="Q126" s="115"/>
    </row>
    <row r="127" spans="1:17" ht="89.25">
      <c r="A127" s="68">
        <f t="shared" si="2"/>
        <v>126</v>
      </c>
      <c r="B127" s="69">
        <f t="shared" ref="B127:B202" si="3">YEAR(E127)</f>
        <v>2025</v>
      </c>
      <c r="C127" s="69" t="s">
        <v>154</v>
      </c>
      <c r="D127" s="69" t="s">
        <v>337</v>
      </c>
      <c r="E127" s="70">
        <v>45673</v>
      </c>
      <c r="F127" s="69" t="s">
        <v>198</v>
      </c>
      <c r="G127" s="69" t="s">
        <v>198</v>
      </c>
      <c r="H127" s="69" t="s">
        <v>789</v>
      </c>
      <c r="I127" s="69" t="s">
        <v>338</v>
      </c>
      <c r="J127" s="70">
        <v>45673</v>
      </c>
      <c r="K127" s="69" t="s">
        <v>160</v>
      </c>
      <c r="L127" s="69"/>
      <c r="M127" s="174" t="s">
        <v>337</v>
      </c>
      <c r="N127" s="128" t="s">
        <v>339</v>
      </c>
      <c r="O127" s="69">
        <v>1</v>
      </c>
      <c r="P127" s="69">
        <v>2025</v>
      </c>
      <c r="Q127" s="115"/>
    </row>
    <row r="128" spans="1:17" ht="89.25">
      <c r="A128" s="68">
        <f t="shared" si="2"/>
        <v>127</v>
      </c>
      <c r="B128" s="69">
        <f t="shared" si="3"/>
        <v>2025</v>
      </c>
      <c r="C128" s="69" t="s">
        <v>155</v>
      </c>
      <c r="D128" s="69" t="s">
        <v>340</v>
      </c>
      <c r="E128" s="70">
        <v>45681</v>
      </c>
      <c r="F128" s="69" t="s">
        <v>198</v>
      </c>
      <c r="G128" s="69" t="s">
        <v>198</v>
      </c>
      <c r="H128" s="69" t="s">
        <v>878</v>
      </c>
      <c r="I128" s="69" t="s">
        <v>252</v>
      </c>
      <c r="J128" s="70">
        <v>45727</v>
      </c>
      <c r="K128" s="69" t="s">
        <v>160</v>
      </c>
      <c r="L128" s="69"/>
      <c r="M128" s="174" t="s">
        <v>340</v>
      </c>
      <c r="N128" s="128" t="s">
        <v>339</v>
      </c>
      <c r="O128" s="69">
        <v>1</v>
      </c>
      <c r="P128" s="69">
        <v>2025</v>
      </c>
      <c r="Q128" s="115"/>
    </row>
    <row r="129" spans="1:17" ht="89.25">
      <c r="A129" s="68">
        <f t="shared" si="2"/>
        <v>128</v>
      </c>
      <c r="B129" s="69">
        <f t="shared" si="3"/>
        <v>2025</v>
      </c>
      <c r="C129" s="69" t="s">
        <v>161</v>
      </c>
      <c r="D129" s="69" t="s">
        <v>341</v>
      </c>
      <c r="E129" s="70">
        <v>45681</v>
      </c>
      <c r="F129" s="69" t="s">
        <v>151</v>
      </c>
      <c r="G129" s="69" t="s">
        <v>151</v>
      </c>
      <c r="H129" s="69" t="s">
        <v>790</v>
      </c>
      <c r="I129" s="69" t="s">
        <v>342</v>
      </c>
      <c r="J129" s="70">
        <v>45681</v>
      </c>
      <c r="K129" s="69" t="s">
        <v>160</v>
      </c>
      <c r="L129" s="69"/>
      <c r="M129" s="174" t="s">
        <v>341</v>
      </c>
      <c r="N129" s="128" t="s">
        <v>339</v>
      </c>
      <c r="O129" s="69">
        <v>1</v>
      </c>
      <c r="P129" s="69">
        <v>2025</v>
      </c>
      <c r="Q129" s="115"/>
    </row>
    <row r="130" spans="1:17" ht="89.25">
      <c r="A130" s="68">
        <f t="shared" si="2"/>
        <v>129</v>
      </c>
      <c r="B130" s="69">
        <f t="shared" si="3"/>
        <v>2025</v>
      </c>
      <c r="C130" s="69" t="s">
        <v>161</v>
      </c>
      <c r="D130" s="69" t="s">
        <v>343</v>
      </c>
      <c r="E130" s="70">
        <v>45695</v>
      </c>
      <c r="F130" s="69" t="s">
        <v>198</v>
      </c>
      <c r="G130" s="69" t="s">
        <v>198</v>
      </c>
      <c r="H130" s="69" t="s">
        <v>879</v>
      </c>
      <c r="I130" s="69" t="s">
        <v>252</v>
      </c>
      <c r="J130" s="70">
        <v>45741</v>
      </c>
      <c r="K130" s="69" t="s">
        <v>160</v>
      </c>
      <c r="L130" s="69"/>
      <c r="M130" s="174" t="s">
        <v>343</v>
      </c>
      <c r="N130" s="128" t="s">
        <v>339</v>
      </c>
      <c r="O130" s="69">
        <v>1</v>
      </c>
      <c r="P130" s="69">
        <v>2025</v>
      </c>
      <c r="Q130" s="115"/>
    </row>
    <row r="131" spans="1:17" ht="89.25">
      <c r="A131" s="68">
        <f t="shared" si="2"/>
        <v>130</v>
      </c>
      <c r="B131" s="69">
        <f t="shared" si="3"/>
        <v>2025</v>
      </c>
      <c r="C131" s="69" t="s">
        <v>154</v>
      </c>
      <c r="D131" s="69" t="s">
        <v>344</v>
      </c>
      <c r="E131" s="70">
        <v>45702</v>
      </c>
      <c r="F131" s="69" t="s">
        <v>151</v>
      </c>
      <c r="G131" s="69" t="s">
        <v>151</v>
      </c>
      <c r="H131" s="69" t="s">
        <v>791</v>
      </c>
      <c r="I131" s="69" t="s">
        <v>252</v>
      </c>
      <c r="J131" s="70">
        <v>45702</v>
      </c>
      <c r="K131" s="69" t="s">
        <v>160</v>
      </c>
      <c r="L131" s="69"/>
      <c r="M131" s="174" t="s">
        <v>344</v>
      </c>
      <c r="N131" s="128" t="s">
        <v>339</v>
      </c>
      <c r="O131" s="69">
        <v>1</v>
      </c>
      <c r="P131" s="69">
        <v>2025</v>
      </c>
      <c r="Q131" s="115"/>
    </row>
    <row r="132" spans="1:17" ht="89.25">
      <c r="A132" s="68">
        <f t="shared" ref="A132:A195" si="4">A131+1</f>
        <v>131</v>
      </c>
      <c r="B132" s="69">
        <f t="shared" si="3"/>
        <v>2025</v>
      </c>
      <c r="C132" s="69" t="s">
        <v>165</v>
      </c>
      <c r="D132" s="69" t="s">
        <v>345</v>
      </c>
      <c r="E132" s="70">
        <v>45705</v>
      </c>
      <c r="F132" s="69" t="s">
        <v>151</v>
      </c>
      <c r="G132" s="69" t="s">
        <v>151</v>
      </c>
      <c r="H132" s="69" t="s">
        <v>792</v>
      </c>
      <c r="I132" s="69" t="s">
        <v>252</v>
      </c>
      <c r="J132" s="70">
        <v>45705</v>
      </c>
      <c r="K132" s="69" t="s">
        <v>160</v>
      </c>
      <c r="L132" s="69"/>
      <c r="M132" s="174" t="s">
        <v>345</v>
      </c>
      <c r="N132" s="128" t="s">
        <v>720</v>
      </c>
      <c r="O132" s="69">
        <v>2</v>
      </c>
      <c r="P132" s="69">
        <v>2025</v>
      </c>
      <c r="Q132" s="115"/>
    </row>
    <row r="133" spans="1:17" ht="89.25">
      <c r="A133" s="68">
        <f t="shared" si="4"/>
        <v>132</v>
      </c>
      <c r="B133" s="69">
        <f t="shared" si="3"/>
        <v>2025</v>
      </c>
      <c r="C133" s="69" t="s">
        <v>155</v>
      </c>
      <c r="D133" s="69" t="s">
        <v>346</v>
      </c>
      <c r="E133" s="70">
        <v>45705</v>
      </c>
      <c r="F133" s="69" t="s">
        <v>151</v>
      </c>
      <c r="G133" s="69" t="s">
        <v>151</v>
      </c>
      <c r="H133" s="69" t="s">
        <v>880</v>
      </c>
      <c r="I133" s="69" t="s">
        <v>252</v>
      </c>
      <c r="J133" s="70">
        <v>45705</v>
      </c>
      <c r="K133" s="69" t="s">
        <v>160</v>
      </c>
      <c r="L133" s="69"/>
      <c r="M133" s="174" t="s">
        <v>346</v>
      </c>
      <c r="N133" s="128" t="s">
        <v>720</v>
      </c>
      <c r="O133" s="69">
        <v>2</v>
      </c>
      <c r="P133" s="69">
        <v>2025</v>
      </c>
      <c r="Q133" s="115"/>
    </row>
    <row r="134" spans="1:17" ht="89.25">
      <c r="A134" s="68">
        <f t="shared" si="4"/>
        <v>133</v>
      </c>
      <c r="B134" s="69">
        <f t="shared" si="3"/>
        <v>2025</v>
      </c>
      <c r="C134" s="69" t="s">
        <v>161</v>
      </c>
      <c r="D134" s="69" t="s">
        <v>347</v>
      </c>
      <c r="E134" s="70">
        <v>45705</v>
      </c>
      <c r="F134" s="69" t="s">
        <v>170</v>
      </c>
      <c r="G134" s="69" t="s">
        <v>170</v>
      </c>
      <c r="H134" s="69" t="s">
        <v>756</v>
      </c>
      <c r="I134" s="69" t="s">
        <v>252</v>
      </c>
      <c r="J134" s="70">
        <v>45705</v>
      </c>
      <c r="K134" s="69" t="s">
        <v>160</v>
      </c>
      <c r="L134" s="69"/>
      <c r="M134" s="174" t="s">
        <v>347</v>
      </c>
      <c r="N134" s="128" t="s">
        <v>720</v>
      </c>
      <c r="O134" s="69">
        <v>2</v>
      </c>
      <c r="P134" s="69">
        <v>2025</v>
      </c>
      <c r="Q134" s="115"/>
    </row>
    <row r="135" spans="1:17" ht="89.25">
      <c r="A135" s="68">
        <f t="shared" si="4"/>
        <v>134</v>
      </c>
      <c r="B135" s="69">
        <f t="shared" si="3"/>
        <v>2025</v>
      </c>
      <c r="C135" s="69" t="s">
        <v>155</v>
      </c>
      <c r="D135" s="69" t="s">
        <v>348</v>
      </c>
      <c r="E135" s="70">
        <v>45705</v>
      </c>
      <c r="F135" s="69" t="s">
        <v>198</v>
      </c>
      <c r="G135" s="69" t="s">
        <v>198</v>
      </c>
      <c r="H135" s="69" t="s">
        <v>881</v>
      </c>
      <c r="I135" s="69" t="s">
        <v>252</v>
      </c>
      <c r="J135" s="70">
        <v>45751</v>
      </c>
      <c r="K135" s="69" t="s">
        <v>160</v>
      </c>
      <c r="L135" s="69"/>
      <c r="M135" s="174" t="s">
        <v>348</v>
      </c>
      <c r="N135" s="128" t="s">
        <v>720</v>
      </c>
      <c r="O135" s="69">
        <v>2</v>
      </c>
      <c r="P135" s="69">
        <v>2025</v>
      </c>
      <c r="Q135" s="115"/>
    </row>
    <row r="136" spans="1:17" ht="89.25">
      <c r="A136" s="68">
        <f t="shared" si="4"/>
        <v>135</v>
      </c>
      <c r="B136" s="69">
        <f t="shared" si="3"/>
        <v>2025</v>
      </c>
      <c r="C136" s="69" t="s">
        <v>154</v>
      </c>
      <c r="D136" s="69" t="s">
        <v>349</v>
      </c>
      <c r="E136" s="70">
        <v>45714</v>
      </c>
      <c r="F136" s="69" t="s">
        <v>215</v>
      </c>
      <c r="G136" s="69" t="s">
        <v>215</v>
      </c>
      <c r="H136" s="69" t="s">
        <v>882</v>
      </c>
      <c r="I136" s="69" t="s">
        <v>196</v>
      </c>
      <c r="J136" s="70">
        <v>45717</v>
      </c>
      <c r="K136" s="69" t="s">
        <v>160</v>
      </c>
      <c r="L136" s="69"/>
      <c r="M136" s="174" t="s">
        <v>349</v>
      </c>
      <c r="N136" s="128" t="s">
        <v>720</v>
      </c>
      <c r="O136" s="69">
        <v>2</v>
      </c>
      <c r="P136" s="69">
        <v>2025</v>
      </c>
      <c r="Q136" s="115"/>
    </row>
    <row r="137" spans="1:17" ht="89.25">
      <c r="A137" s="68">
        <f t="shared" si="4"/>
        <v>136</v>
      </c>
      <c r="B137" s="69">
        <f t="shared" si="3"/>
        <v>2025</v>
      </c>
      <c r="C137" s="69" t="s">
        <v>155</v>
      </c>
      <c r="D137" s="69" t="s">
        <v>350</v>
      </c>
      <c r="E137" s="70">
        <v>45715</v>
      </c>
      <c r="F137" s="69" t="s">
        <v>151</v>
      </c>
      <c r="G137" s="69" t="s">
        <v>151</v>
      </c>
      <c r="H137" s="69" t="s">
        <v>883</v>
      </c>
      <c r="I137" s="69" t="s">
        <v>196</v>
      </c>
      <c r="J137" s="70">
        <v>45715</v>
      </c>
      <c r="K137" s="69" t="s">
        <v>160</v>
      </c>
      <c r="L137" s="69"/>
      <c r="M137" s="174" t="s">
        <v>350</v>
      </c>
      <c r="N137" s="128" t="s">
        <v>720</v>
      </c>
      <c r="O137" s="69">
        <v>2</v>
      </c>
      <c r="P137" s="69">
        <v>2025</v>
      </c>
      <c r="Q137" s="115"/>
    </row>
    <row r="138" spans="1:17" ht="89.25">
      <c r="A138" s="68">
        <f t="shared" si="4"/>
        <v>137</v>
      </c>
      <c r="B138" s="69">
        <f t="shared" si="3"/>
        <v>2025</v>
      </c>
      <c r="C138" s="69" t="s">
        <v>155</v>
      </c>
      <c r="D138" s="69" t="s">
        <v>351</v>
      </c>
      <c r="E138" s="70">
        <v>45735</v>
      </c>
      <c r="F138" s="69" t="s">
        <v>198</v>
      </c>
      <c r="G138" s="69" t="s">
        <v>198</v>
      </c>
      <c r="H138" s="69" t="s">
        <v>884</v>
      </c>
      <c r="I138" s="69" t="s">
        <v>252</v>
      </c>
      <c r="J138" s="70">
        <v>45782</v>
      </c>
      <c r="K138" s="69" t="s">
        <v>160</v>
      </c>
      <c r="L138" s="69"/>
      <c r="M138" s="174" t="s">
        <v>351</v>
      </c>
      <c r="N138" s="128" t="s">
        <v>721</v>
      </c>
      <c r="O138" s="69">
        <v>3</v>
      </c>
      <c r="P138" s="69">
        <v>2025</v>
      </c>
      <c r="Q138" s="115"/>
    </row>
    <row r="139" spans="1:17" ht="51">
      <c r="A139" s="68">
        <f t="shared" si="4"/>
        <v>138</v>
      </c>
      <c r="B139" s="69">
        <f t="shared" si="3"/>
        <v>2025</v>
      </c>
      <c r="C139" s="69" t="s">
        <v>154</v>
      </c>
      <c r="D139" s="69" t="s">
        <v>352</v>
      </c>
      <c r="E139" s="70">
        <v>45740</v>
      </c>
      <c r="F139" s="69" t="s">
        <v>170</v>
      </c>
      <c r="G139" s="69" t="s">
        <v>170</v>
      </c>
      <c r="H139" s="69" t="s">
        <v>757</v>
      </c>
      <c r="I139" s="69" t="s">
        <v>252</v>
      </c>
      <c r="J139" s="70">
        <v>45740</v>
      </c>
      <c r="K139" s="69" t="s">
        <v>160</v>
      </c>
      <c r="L139" s="69"/>
      <c r="M139" s="174" t="s">
        <v>352</v>
      </c>
      <c r="N139" s="69" t="s">
        <v>180</v>
      </c>
      <c r="O139" s="69">
        <v>3</v>
      </c>
      <c r="P139" s="69">
        <v>2025</v>
      </c>
      <c r="Q139" s="115"/>
    </row>
    <row r="140" spans="1:17" ht="76.5">
      <c r="A140" s="68">
        <f t="shared" si="4"/>
        <v>139</v>
      </c>
      <c r="B140" s="69">
        <f t="shared" si="3"/>
        <v>2025</v>
      </c>
      <c r="C140" s="69" t="s">
        <v>353</v>
      </c>
      <c r="D140" s="69" t="s">
        <v>354</v>
      </c>
      <c r="E140" s="70">
        <v>45736</v>
      </c>
      <c r="F140" s="69" t="s">
        <v>158</v>
      </c>
      <c r="G140" s="69" t="s">
        <v>158</v>
      </c>
      <c r="H140" s="69" t="s">
        <v>885</v>
      </c>
      <c r="I140" s="69" t="s">
        <v>264</v>
      </c>
      <c r="J140" s="70">
        <v>45736</v>
      </c>
      <c r="K140" s="69" t="s">
        <v>160</v>
      </c>
      <c r="L140" s="69"/>
      <c r="M140" s="174" t="s">
        <v>354</v>
      </c>
      <c r="N140" s="69" t="s">
        <v>180</v>
      </c>
      <c r="O140" s="69">
        <v>3</v>
      </c>
      <c r="P140" s="69">
        <v>2025</v>
      </c>
      <c r="Q140" s="115"/>
    </row>
    <row r="141" spans="1:17" ht="76.5">
      <c r="A141" s="68">
        <f t="shared" si="4"/>
        <v>140</v>
      </c>
      <c r="B141" s="69">
        <f t="shared" si="3"/>
        <v>2025</v>
      </c>
      <c r="C141" s="69" t="s">
        <v>154</v>
      </c>
      <c r="D141" s="69" t="s">
        <v>355</v>
      </c>
      <c r="E141" s="70">
        <v>45737</v>
      </c>
      <c r="F141" s="69" t="s">
        <v>151</v>
      </c>
      <c r="G141" s="69" t="s">
        <v>151</v>
      </c>
      <c r="H141" s="69" t="s">
        <v>793</v>
      </c>
      <c r="I141" s="69" t="s">
        <v>252</v>
      </c>
      <c r="J141" s="70">
        <v>45737</v>
      </c>
      <c r="K141" s="69" t="s">
        <v>160</v>
      </c>
      <c r="L141" s="69"/>
      <c r="M141" s="174" t="s">
        <v>355</v>
      </c>
      <c r="N141" s="69" t="s">
        <v>180</v>
      </c>
      <c r="O141" s="69">
        <v>3</v>
      </c>
      <c r="P141" s="69">
        <v>2025</v>
      </c>
      <c r="Q141" s="115"/>
    </row>
    <row r="142" spans="1:17" ht="76.5">
      <c r="A142" s="68">
        <f t="shared" si="4"/>
        <v>141</v>
      </c>
      <c r="B142" s="69">
        <f t="shared" si="3"/>
        <v>2025</v>
      </c>
      <c r="C142" s="69" t="s">
        <v>154</v>
      </c>
      <c r="D142" s="69" t="s">
        <v>356</v>
      </c>
      <c r="E142" s="70">
        <v>45734</v>
      </c>
      <c r="F142" s="69" t="s">
        <v>215</v>
      </c>
      <c r="G142" s="69" t="s">
        <v>215</v>
      </c>
      <c r="H142" s="69" t="s">
        <v>886</v>
      </c>
      <c r="I142" s="69" t="s">
        <v>196</v>
      </c>
      <c r="J142" s="70">
        <v>45779</v>
      </c>
      <c r="K142" s="69" t="s">
        <v>160</v>
      </c>
      <c r="L142" s="69"/>
      <c r="M142" s="174" t="s">
        <v>356</v>
      </c>
      <c r="N142" s="69" t="s">
        <v>180</v>
      </c>
      <c r="O142" s="69">
        <v>3</v>
      </c>
      <c r="P142" s="69">
        <v>2025</v>
      </c>
      <c r="Q142" s="115"/>
    </row>
    <row r="143" spans="1:17" ht="51">
      <c r="A143" s="68">
        <f t="shared" si="4"/>
        <v>142</v>
      </c>
      <c r="B143" s="69">
        <f t="shared" si="3"/>
        <v>2025</v>
      </c>
      <c r="C143" s="69" t="s">
        <v>161</v>
      </c>
      <c r="D143" s="69" t="s">
        <v>357</v>
      </c>
      <c r="E143" s="70">
        <v>45736</v>
      </c>
      <c r="F143" s="69" t="s">
        <v>215</v>
      </c>
      <c r="G143" s="69" t="s">
        <v>215</v>
      </c>
      <c r="H143" s="69" t="s">
        <v>887</v>
      </c>
      <c r="I143" s="69" t="s">
        <v>196</v>
      </c>
      <c r="J143" s="70">
        <v>45809</v>
      </c>
      <c r="K143" s="69" t="s">
        <v>160</v>
      </c>
      <c r="L143" s="69"/>
      <c r="M143" s="174" t="s">
        <v>357</v>
      </c>
      <c r="N143" s="69" t="s">
        <v>180</v>
      </c>
      <c r="O143" s="69">
        <v>3</v>
      </c>
      <c r="P143" s="69">
        <v>2025</v>
      </c>
      <c r="Q143" s="115"/>
    </row>
    <row r="144" spans="1:17" ht="76.5">
      <c r="A144" s="68">
        <f t="shared" si="4"/>
        <v>143</v>
      </c>
      <c r="B144" s="69">
        <f t="shared" si="3"/>
        <v>2025</v>
      </c>
      <c r="C144" s="69" t="s">
        <v>161</v>
      </c>
      <c r="D144" s="69" t="s">
        <v>358</v>
      </c>
      <c r="E144" s="70">
        <v>45719</v>
      </c>
      <c r="F144" s="69" t="s">
        <v>215</v>
      </c>
      <c r="G144" s="69" t="s">
        <v>215</v>
      </c>
      <c r="H144" s="69" t="s">
        <v>888</v>
      </c>
      <c r="I144" s="69" t="s">
        <v>196</v>
      </c>
      <c r="J144" s="70">
        <v>45767</v>
      </c>
      <c r="K144" s="69" t="s">
        <v>160</v>
      </c>
      <c r="L144" s="69"/>
      <c r="M144" s="174" t="s">
        <v>358</v>
      </c>
      <c r="N144" s="69" t="s">
        <v>180</v>
      </c>
      <c r="O144" s="69">
        <v>3</v>
      </c>
      <c r="P144" s="69">
        <v>2025</v>
      </c>
      <c r="Q144" s="115"/>
    </row>
    <row r="145" spans="1:17" ht="25.5">
      <c r="A145" s="68">
        <f t="shared" si="4"/>
        <v>144</v>
      </c>
      <c r="B145" s="69">
        <f t="shared" si="3"/>
        <v>2025</v>
      </c>
      <c r="C145" s="69" t="s">
        <v>154</v>
      </c>
      <c r="D145" s="69" t="s">
        <v>359</v>
      </c>
      <c r="E145" s="70">
        <v>45742</v>
      </c>
      <c r="F145" s="69" t="s">
        <v>170</v>
      </c>
      <c r="G145" s="69" t="s">
        <v>170</v>
      </c>
      <c r="H145" s="69" t="s">
        <v>758</v>
      </c>
      <c r="I145" s="69" t="s">
        <v>201</v>
      </c>
      <c r="J145" s="70">
        <v>45742</v>
      </c>
      <c r="K145" s="69" t="s">
        <v>160</v>
      </c>
      <c r="L145" s="69"/>
      <c r="M145" s="174" t="s">
        <v>359</v>
      </c>
      <c r="N145" s="69" t="s">
        <v>180</v>
      </c>
      <c r="O145" s="69">
        <v>3</v>
      </c>
      <c r="P145" s="69">
        <v>2025</v>
      </c>
      <c r="Q145" s="115"/>
    </row>
    <row r="146" spans="1:17" ht="89.25">
      <c r="A146" s="68">
        <f t="shared" si="4"/>
        <v>145</v>
      </c>
      <c r="B146" s="69">
        <f t="shared" si="3"/>
        <v>2025</v>
      </c>
      <c r="C146" s="69" t="s">
        <v>154</v>
      </c>
      <c r="D146" s="71" t="s">
        <v>360</v>
      </c>
      <c r="E146" s="70">
        <v>45733</v>
      </c>
      <c r="F146" s="69" t="s">
        <v>198</v>
      </c>
      <c r="G146" s="69" t="s">
        <v>198</v>
      </c>
      <c r="H146" s="69" t="s">
        <v>794</v>
      </c>
      <c r="I146" s="69" t="s">
        <v>361</v>
      </c>
      <c r="J146" s="70">
        <v>45778</v>
      </c>
      <c r="K146" s="69" t="s">
        <v>160</v>
      </c>
      <c r="L146" s="69"/>
      <c r="M146" s="174" t="s">
        <v>360</v>
      </c>
      <c r="N146" s="128" t="s">
        <v>362</v>
      </c>
      <c r="O146" s="69">
        <v>5</v>
      </c>
      <c r="P146" s="69">
        <v>2025</v>
      </c>
      <c r="Q146" s="115" t="s">
        <v>180</v>
      </c>
    </row>
    <row r="147" spans="1:17" ht="89.25">
      <c r="A147" s="68">
        <f t="shared" si="4"/>
        <v>146</v>
      </c>
      <c r="B147" s="69">
        <f t="shared" si="3"/>
        <v>2025</v>
      </c>
      <c r="C147" s="69" t="s">
        <v>154</v>
      </c>
      <c r="D147" s="71" t="s">
        <v>363</v>
      </c>
      <c r="E147" s="70">
        <v>45735</v>
      </c>
      <c r="F147" s="69" t="s">
        <v>198</v>
      </c>
      <c r="G147" s="69" t="s">
        <v>152</v>
      </c>
      <c r="H147" s="69" t="s">
        <v>889</v>
      </c>
      <c r="I147" s="69" t="s">
        <v>364</v>
      </c>
      <c r="J147" s="70">
        <v>45781</v>
      </c>
      <c r="K147" s="69" t="s">
        <v>160</v>
      </c>
      <c r="L147" s="69"/>
      <c r="M147" s="174" t="s">
        <v>363</v>
      </c>
      <c r="N147" s="128" t="s">
        <v>721</v>
      </c>
      <c r="O147" s="69">
        <v>3</v>
      </c>
      <c r="P147" s="69">
        <v>2025</v>
      </c>
      <c r="Q147" s="115"/>
    </row>
    <row r="148" spans="1:17" ht="89.25">
      <c r="A148" s="68">
        <f t="shared" si="4"/>
        <v>147</v>
      </c>
      <c r="B148" s="69">
        <f t="shared" si="3"/>
        <v>2025</v>
      </c>
      <c r="C148" s="69" t="s">
        <v>161</v>
      </c>
      <c r="D148" s="71" t="s">
        <v>365</v>
      </c>
      <c r="E148" s="70">
        <v>45749</v>
      </c>
      <c r="F148" s="69" t="s">
        <v>170</v>
      </c>
      <c r="G148" s="69" t="s">
        <v>158</v>
      </c>
      <c r="H148" s="69" t="s">
        <v>759</v>
      </c>
      <c r="I148" s="69" t="s">
        <v>342</v>
      </c>
      <c r="J148" s="70">
        <v>45749</v>
      </c>
      <c r="K148" s="69" t="s">
        <v>160</v>
      </c>
      <c r="L148" s="69"/>
      <c r="M148" s="174" t="s">
        <v>365</v>
      </c>
      <c r="N148" s="128" t="s">
        <v>722</v>
      </c>
      <c r="O148" s="69">
        <v>4</v>
      </c>
      <c r="P148" s="69">
        <v>2025</v>
      </c>
      <c r="Q148" s="115"/>
    </row>
    <row r="149" spans="1:17" ht="102">
      <c r="A149" s="68">
        <f t="shared" si="4"/>
        <v>148</v>
      </c>
      <c r="B149" s="69">
        <f t="shared" si="3"/>
        <v>2025</v>
      </c>
      <c r="C149" s="69" t="s">
        <v>154</v>
      </c>
      <c r="D149" s="71" t="s">
        <v>366</v>
      </c>
      <c r="E149" s="70">
        <v>45751</v>
      </c>
      <c r="F149" s="69" t="s">
        <v>198</v>
      </c>
      <c r="G149" s="69" t="s">
        <v>158</v>
      </c>
      <c r="H149" s="69" t="s">
        <v>890</v>
      </c>
      <c r="I149" s="69" t="s">
        <v>361</v>
      </c>
      <c r="J149" s="70">
        <v>45751</v>
      </c>
      <c r="K149" s="69" t="s">
        <v>160</v>
      </c>
      <c r="L149" s="69"/>
      <c r="M149" s="174" t="s">
        <v>366</v>
      </c>
      <c r="N149" s="128" t="s">
        <v>722</v>
      </c>
      <c r="O149" s="69">
        <v>4</v>
      </c>
      <c r="P149" s="69">
        <v>2025</v>
      </c>
      <c r="Q149" s="115"/>
    </row>
    <row r="150" spans="1:17" ht="89.25">
      <c r="A150" s="68">
        <f t="shared" si="4"/>
        <v>149</v>
      </c>
      <c r="B150" s="69">
        <f t="shared" si="3"/>
        <v>2025</v>
      </c>
      <c r="C150" s="69" t="s">
        <v>165</v>
      </c>
      <c r="D150" s="71" t="s">
        <v>367</v>
      </c>
      <c r="E150" s="70">
        <v>45756</v>
      </c>
      <c r="F150" s="69" t="s">
        <v>169</v>
      </c>
      <c r="G150" s="69" t="s">
        <v>169</v>
      </c>
      <c r="H150" s="69" t="s">
        <v>891</v>
      </c>
      <c r="I150" s="69" t="s">
        <v>252</v>
      </c>
      <c r="J150" s="70">
        <v>45756</v>
      </c>
      <c r="K150" s="69" t="s">
        <v>160</v>
      </c>
      <c r="L150" s="69"/>
      <c r="M150" s="174" t="s">
        <v>367</v>
      </c>
      <c r="N150" s="128" t="s">
        <v>722</v>
      </c>
      <c r="O150" s="69">
        <v>4</v>
      </c>
      <c r="P150" s="69">
        <v>2025</v>
      </c>
      <c r="Q150" s="115"/>
    </row>
    <row r="151" spans="1:17" ht="89.25">
      <c r="A151" s="68">
        <f t="shared" si="4"/>
        <v>150</v>
      </c>
      <c r="B151" s="69">
        <f t="shared" si="3"/>
        <v>2025</v>
      </c>
      <c r="C151" s="69" t="s">
        <v>154</v>
      </c>
      <c r="D151" s="71" t="s">
        <v>368</v>
      </c>
      <c r="E151" s="70">
        <v>45751</v>
      </c>
      <c r="F151" s="69" t="s">
        <v>151</v>
      </c>
      <c r="G151" s="69" t="s">
        <v>151</v>
      </c>
      <c r="H151" s="69" t="s">
        <v>369</v>
      </c>
      <c r="I151" s="69" t="s">
        <v>361</v>
      </c>
      <c r="J151" s="70">
        <v>45751</v>
      </c>
      <c r="K151" s="69" t="s">
        <v>160</v>
      </c>
      <c r="L151" s="69"/>
      <c r="M151" s="174" t="s">
        <v>368</v>
      </c>
      <c r="N151" s="128" t="s">
        <v>723</v>
      </c>
      <c r="O151" s="69">
        <v>4</v>
      </c>
      <c r="P151" s="69">
        <v>2025</v>
      </c>
      <c r="Q151" s="115"/>
    </row>
    <row r="152" spans="1:17" ht="89.25">
      <c r="A152" s="68">
        <f t="shared" si="4"/>
        <v>151</v>
      </c>
      <c r="B152" s="69">
        <f t="shared" si="3"/>
        <v>2025</v>
      </c>
      <c r="C152" s="69" t="s">
        <v>154</v>
      </c>
      <c r="D152" s="71" t="s">
        <v>370</v>
      </c>
      <c r="E152" s="70">
        <v>45759</v>
      </c>
      <c r="F152" s="69" t="s">
        <v>172</v>
      </c>
      <c r="G152" s="69" t="s">
        <v>172</v>
      </c>
      <c r="H152" s="69" t="s">
        <v>371</v>
      </c>
      <c r="I152" s="69" t="s">
        <v>233</v>
      </c>
      <c r="J152" s="70">
        <v>45759</v>
      </c>
      <c r="K152" s="69" t="s">
        <v>160</v>
      </c>
      <c r="L152" s="69"/>
      <c r="M152" s="174" t="s">
        <v>370</v>
      </c>
      <c r="N152" s="128" t="s">
        <v>722</v>
      </c>
      <c r="O152" s="69">
        <v>4</v>
      </c>
      <c r="P152" s="69">
        <v>2025</v>
      </c>
      <c r="Q152" s="115"/>
    </row>
    <row r="153" spans="1:17" ht="89.25">
      <c r="A153" s="68">
        <f t="shared" si="4"/>
        <v>152</v>
      </c>
      <c r="B153" s="69">
        <f t="shared" si="3"/>
        <v>2025</v>
      </c>
      <c r="C153" s="69" t="s">
        <v>155</v>
      </c>
      <c r="D153" s="71" t="s">
        <v>372</v>
      </c>
      <c r="E153" s="70">
        <v>45761</v>
      </c>
      <c r="F153" s="69" t="s">
        <v>151</v>
      </c>
      <c r="G153" s="69" t="s">
        <v>151</v>
      </c>
      <c r="H153" s="69" t="s">
        <v>795</v>
      </c>
      <c r="I153" s="69" t="s">
        <v>252</v>
      </c>
      <c r="J153" s="70">
        <v>45761</v>
      </c>
      <c r="K153" s="69" t="s">
        <v>160</v>
      </c>
      <c r="L153" s="69"/>
      <c r="M153" s="174" t="s">
        <v>372</v>
      </c>
      <c r="N153" s="128" t="s">
        <v>723</v>
      </c>
      <c r="O153" s="69">
        <v>4</v>
      </c>
      <c r="P153" s="69">
        <v>2025</v>
      </c>
      <c r="Q153" s="115"/>
    </row>
    <row r="154" spans="1:17" ht="114.75">
      <c r="A154" s="68">
        <f t="shared" si="4"/>
        <v>153</v>
      </c>
      <c r="B154" s="69">
        <f t="shared" si="3"/>
        <v>2025</v>
      </c>
      <c r="C154" s="69" t="s">
        <v>156</v>
      </c>
      <c r="D154" s="71" t="s">
        <v>373</v>
      </c>
      <c r="E154" s="70">
        <v>45763</v>
      </c>
      <c r="F154" s="69" t="s">
        <v>151</v>
      </c>
      <c r="G154" s="69" t="s">
        <v>169</v>
      </c>
      <c r="H154" s="69" t="s">
        <v>796</v>
      </c>
      <c r="I154" s="69" t="s">
        <v>252</v>
      </c>
      <c r="J154" s="70">
        <v>45763</v>
      </c>
      <c r="K154" s="69" t="s">
        <v>160</v>
      </c>
      <c r="L154" s="69"/>
      <c r="M154" s="174" t="s">
        <v>373</v>
      </c>
      <c r="N154" s="128" t="s">
        <v>723</v>
      </c>
      <c r="O154" s="69">
        <v>4</v>
      </c>
      <c r="P154" s="69">
        <v>2025</v>
      </c>
      <c r="Q154" s="115"/>
    </row>
    <row r="155" spans="1:17" ht="89.25">
      <c r="A155" s="68">
        <f t="shared" si="4"/>
        <v>154</v>
      </c>
      <c r="B155" s="69">
        <f t="shared" si="3"/>
        <v>2025</v>
      </c>
      <c r="C155" s="69" t="s">
        <v>156</v>
      </c>
      <c r="D155" s="71" t="s">
        <v>374</v>
      </c>
      <c r="E155" s="70">
        <v>45763</v>
      </c>
      <c r="F155" s="69" t="s">
        <v>151</v>
      </c>
      <c r="G155" s="69" t="s">
        <v>151</v>
      </c>
      <c r="H155" s="69" t="s">
        <v>643</v>
      </c>
      <c r="I155" s="69" t="s">
        <v>252</v>
      </c>
      <c r="J155" s="70">
        <v>45763</v>
      </c>
      <c r="K155" s="69" t="s">
        <v>160</v>
      </c>
      <c r="L155" s="69"/>
      <c r="M155" s="174" t="s">
        <v>374</v>
      </c>
      <c r="N155" s="128" t="s">
        <v>723</v>
      </c>
      <c r="O155" s="69">
        <v>4</v>
      </c>
      <c r="P155" s="69">
        <v>2025</v>
      </c>
      <c r="Q155" s="115"/>
    </row>
    <row r="156" spans="1:17" ht="89.25">
      <c r="A156" s="68">
        <f t="shared" si="4"/>
        <v>155</v>
      </c>
      <c r="B156" s="69">
        <f t="shared" si="3"/>
        <v>2025</v>
      </c>
      <c r="C156" s="69" t="s">
        <v>161</v>
      </c>
      <c r="D156" s="71" t="s">
        <v>375</v>
      </c>
      <c r="E156" s="70">
        <v>45781</v>
      </c>
      <c r="F156" s="69" t="s">
        <v>172</v>
      </c>
      <c r="G156" s="69" t="s">
        <v>172</v>
      </c>
      <c r="H156" s="69" t="s">
        <v>892</v>
      </c>
      <c r="I156" s="69" t="s">
        <v>233</v>
      </c>
      <c r="J156" s="70">
        <v>45781</v>
      </c>
      <c r="K156" s="69" t="s">
        <v>160</v>
      </c>
      <c r="L156" s="69"/>
      <c r="M156" s="174" t="s">
        <v>375</v>
      </c>
      <c r="N156" s="128" t="s">
        <v>362</v>
      </c>
      <c r="O156" s="69">
        <v>5</v>
      </c>
      <c r="P156" s="69">
        <v>2025</v>
      </c>
      <c r="Q156" s="115"/>
    </row>
    <row r="157" spans="1:17" ht="89.25">
      <c r="A157" s="68">
        <f t="shared" si="4"/>
        <v>156</v>
      </c>
      <c r="B157" s="69">
        <f t="shared" si="3"/>
        <v>2025</v>
      </c>
      <c r="C157" s="69" t="s">
        <v>154</v>
      </c>
      <c r="D157" s="71" t="s">
        <v>376</v>
      </c>
      <c r="E157" s="70">
        <v>45747</v>
      </c>
      <c r="F157" s="69" t="s">
        <v>198</v>
      </c>
      <c r="G157" s="69" t="s">
        <v>158</v>
      </c>
      <c r="H157" s="69" t="s">
        <v>893</v>
      </c>
      <c r="I157" s="69" t="s">
        <v>377</v>
      </c>
      <c r="J157" s="70">
        <v>45792</v>
      </c>
      <c r="K157" s="69" t="s">
        <v>160</v>
      </c>
      <c r="L157" s="69"/>
      <c r="M157" s="174" t="s">
        <v>376</v>
      </c>
      <c r="N157" s="128" t="s">
        <v>378</v>
      </c>
      <c r="O157" s="69">
        <v>5</v>
      </c>
      <c r="P157" s="69">
        <v>2025</v>
      </c>
      <c r="Q157" s="115"/>
    </row>
    <row r="158" spans="1:17" ht="89.25">
      <c r="A158" s="68">
        <f t="shared" si="4"/>
        <v>157</v>
      </c>
      <c r="B158" s="69">
        <f t="shared" si="3"/>
        <v>2025</v>
      </c>
      <c r="C158" s="69" t="s">
        <v>181</v>
      </c>
      <c r="D158" s="71" t="s">
        <v>379</v>
      </c>
      <c r="E158" s="70">
        <v>45799</v>
      </c>
      <c r="F158" s="69" t="s">
        <v>151</v>
      </c>
      <c r="G158" s="69" t="s">
        <v>151</v>
      </c>
      <c r="H158" s="69" t="s">
        <v>642</v>
      </c>
      <c r="I158" s="69" t="s">
        <v>252</v>
      </c>
      <c r="J158" s="70">
        <v>45799</v>
      </c>
      <c r="K158" s="69" t="s">
        <v>160</v>
      </c>
      <c r="L158" s="69"/>
      <c r="M158" s="174" t="s">
        <v>379</v>
      </c>
      <c r="N158" s="128" t="s">
        <v>378</v>
      </c>
      <c r="O158" s="69">
        <v>5</v>
      </c>
      <c r="P158" s="69">
        <v>2025</v>
      </c>
      <c r="Q158" s="115"/>
    </row>
    <row r="159" spans="1:17" ht="89.25">
      <c r="A159" s="68">
        <f t="shared" si="4"/>
        <v>158</v>
      </c>
      <c r="B159" s="69">
        <f t="shared" si="3"/>
        <v>2025</v>
      </c>
      <c r="C159" s="69" t="s">
        <v>155</v>
      </c>
      <c r="D159" s="71" t="s">
        <v>380</v>
      </c>
      <c r="E159" s="70">
        <v>45765</v>
      </c>
      <c r="F159" s="69" t="s">
        <v>198</v>
      </c>
      <c r="G159" s="69" t="s">
        <v>152</v>
      </c>
      <c r="H159" s="69" t="s">
        <v>894</v>
      </c>
      <c r="I159" s="69" t="s">
        <v>252</v>
      </c>
      <c r="J159" s="70">
        <v>45810</v>
      </c>
      <c r="K159" s="69" t="s">
        <v>160</v>
      </c>
      <c r="L159" s="69"/>
      <c r="M159" s="174" t="s">
        <v>380</v>
      </c>
      <c r="N159" s="128" t="s">
        <v>362</v>
      </c>
      <c r="O159" s="69">
        <v>4</v>
      </c>
      <c r="P159" s="69">
        <v>2025</v>
      </c>
      <c r="Q159" s="115"/>
    </row>
    <row r="160" spans="1:17" ht="89.25">
      <c r="A160" s="68">
        <f t="shared" si="4"/>
        <v>159</v>
      </c>
      <c r="B160" s="69">
        <f t="shared" si="3"/>
        <v>2025</v>
      </c>
      <c r="C160" s="69" t="s">
        <v>154</v>
      </c>
      <c r="D160" s="71" t="s">
        <v>381</v>
      </c>
      <c r="E160" s="70">
        <v>45772</v>
      </c>
      <c r="F160" s="69" t="s">
        <v>215</v>
      </c>
      <c r="G160" s="69" t="s">
        <v>215</v>
      </c>
      <c r="H160" s="69" t="s">
        <v>895</v>
      </c>
      <c r="I160" s="69" t="s">
        <v>196</v>
      </c>
      <c r="J160" s="70">
        <v>45823</v>
      </c>
      <c r="K160" s="69" t="s">
        <v>160</v>
      </c>
      <c r="L160" s="69"/>
      <c r="M160" s="174" t="s">
        <v>381</v>
      </c>
      <c r="N160" s="128" t="s">
        <v>362</v>
      </c>
      <c r="O160" s="69">
        <v>5</v>
      </c>
      <c r="P160" s="69">
        <v>2025</v>
      </c>
      <c r="Q160" s="115" t="s">
        <v>180</v>
      </c>
    </row>
    <row r="161" spans="1:17" ht="38.25">
      <c r="A161" s="68">
        <f t="shared" si="4"/>
        <v>160</v>
      </c>
      <c r="B161" s="69">
        <f t="shared" si="3"/>
        <v>2024</v>
      </c>
      <c r="C161" s="69" t="s">
        <v>154</v>
      </c>
      <c r="D161" s="71" t="s">
        <v>382</v>
      </c>
      <c r="E161" s="70">
        <v>45472</v>
      </c>
      <c r="F161" s="69" t="s">
        <v>383</v>
      </c>
      <c r="G161" s="69" t="s">
        <v>383</v>
      </c>
      <c r="H161" s="69" t="s">
        <v>896</v>
      </c>
      <c r="I161" s="69" t="s">
        <v>384</v>
      </c>
      <c r="J161" s="70">
        <v>45839</v>
      </c>
      <c r="K161" s="69" t="s">
        <v>160</v>
      </c>
      <c r="L161" s="69"/>
      <c r="M161" s="174" t="s">
        <v>382</v>
      </c>
      <c r="N161" s="128" t="s">
        <v>385</v>
      </c>
      <c r="O161" s="69">
        <v>4</v>
      </c>
      <c r="P161" s="69">
        <v>2024</v>
      </c>
      <c r="Q161" s="115" t="s">
        <v>180</v>
      </c>
    </row>
    <row r="162" spans="1:17" ht="127.5">
      <c r="A162" s="68">
        <f t="shared" si="4"/>
        <v>161</v>
      </c>
      <c r="B162" s="69">
        <f t="shared" si="3"/>
        <v>2025</v>
      </c>
      <c r="C162" s="69" t="s">
        <v>150</v>
      </c>
      <c r="D162" s="71" t="s">
        <v>386</v>
      </c>
      <c r="E162" s="70">
        <v>45789</v>
      </c>
      <c r="F162" s="69" t="s">
        <v>198</v>
      </c>
      <c r="G162" s="69" t="s">
        <v>198</v>
      </c>
      <c r="H162" s="69" t="s">
        <v>897</v>
      </c>
      <c r="I162" s="69" t="s">
        <v>252</v>
      </c>
      <c r="J162" s="70">
        <v>45839</v>
      </c>
      <c r="K162" s="69" t="s">
        <v>160</v>
      </c>
      <c r="L162" s="69"/>
      <c r="M162" s="174" t="s">
        <v>386</v>
      </c>
      <c r="N162" s="128" t="s">
        <v>387</v>
      </c>
      <c r="O162" s="69">
        <v>5</v>
      </c>
      <c r="P162" s="69">
        <v>2025</v>
      </c>
      <c r="Q162" s="115"/>
    </row>
    <row r="163" spans="1:17" ht="89.25">
      <c r="A163" s="68">
        <f t="shared" si="4"/>
        <v>162</v>
      </c>
      <c r="B163" s="69">
        <f t="shared" si="3"/>
        <v>2025</v>
      </c>
      <c r="C163" s="69" t="s">
        <v>150</v>
      </c>
      <c r="D163" s="71" t="s">
        <v>388</v>
      </c>
      <c r="E163" s="70">
        <v>45791</v>
      </c>
      <c r="F163" s="69" t="s">
        <v>198</v>
      </c>
      <c r="G163" s="69" t="s">
        <v>198</v>
      </c>
      <c r="H163" s="69" t="s">
        <v>641</v>
      </c>
      <c r="I163" s="69" t="s">
        <v>361</v>
      </c>
      <c r="J163" s="70">
        <v>45839</v>
      </c>
      <c r="K163" s="69" t="s">
        <v>160</v>
      </c>
      <c r="L163" s="69"/>
      <c r="M163" s="174" t="s">
        <v>388</v>
      </c>
      <c r="N163" s="128" t="s">
        <v>378</v>
      </c>
      <c r="O163" s="69">
        <v>5</v>
      </c>
      <c r="P163" s="69">
        <v>2025</v>
      </c>
      <c r="Q163" s="115"/>
    </row>
    <row r="164" spans="1:17" ht="102">
      <c r="A164" s="68">
        <f t="shared" si="4"/>
        <v>163</v>
      </c>
      <c r="B164" s="69">
        <f t="shared" si="3"/>
        <v>2020</v>
      </c>
      <c r="C164" s="69" t="s">
        <v>154</v>
      </c>
      <c r="D164" s="71" t="s">
        <v>389</v>
      </c>
      <c r="E164" s="70">
        <v>44167</v>
      </c>
      <c r="F164" s="69" t="s">
        <v>198</v>
      </c>
      <c r="G164" s="69" t="s">
        <v>198</v>
      </c>
      <c r="H164" s="69" t="s">
        <v>797</v>
      </c>
      <c r="I164" s="69" t="s">
        <v>361</v>
      </c>
      <c r="J164" s="70">
        <v>44216</v>
      </c>
      <c r="K164" s="69" t="s">
        <v>153</v>
      </c>
      <c r="L164" s="69"/>
      <c r="M164" s="174" t="s">
        <v>389</v>
      </c>
      <c r="N164" s="128" t="s">
        <v>362</v>
      </c>
      <c r="O164" s="69">
        <v>5</v>
      </c>
      <c r="P164" s="69">
        <v>2025</v>
      </c>
      <c r="Q164" s="115"/>
    </row>
    <row r="165" spans="1:17" ht="127.5">
      <c r="A165" s="68">
        <f t="shared" si="4"/>
        <v>164</v>
      </c>
      <c r="B165" s="69">
        <f t="shared" si="3"/>
        <v>2016</v>
      </c>
      <c r="C165" s="69" t="s">
        <v>155</v>
      </c>
      <c r="D165" s="71" t="s">
        <v>390</v>
      </c>
      <c r="E165" s="70">
        <v>42734</v>
      </c>
      <c r="F165" s="69" t="s">
        <v>198</v>
      </c>
      <c r="G165" s="69" t="s">
        <v>198</v>
      </c>
      <c r="H165" s="69" t="s">
        <v>898</v>
      </c>
      <c r="I165" s="69" t="s">
        <v>252</v>
      </c>
      <c r="J165" s="70">
        <v>42781</v>
      </c>
      <c r="K165" s="69" t="s">
        <v>153</v>
      </c>
      <c r="L165" s="69"/>
      <c r="M165" s="174" t="s">
        <v>390</v>
      </c>
      <c r="N165" s="128" t="s">
        <v>387</v>
      </c>
      <c r="O165" s="69">
        <v>5</v>
      </c>
      <c r="P165" s="69">
        <v>2016</v>
      </c>
      <c r="Q165" s="115"/>
    </row>
    <row r="166" spans="1:17" ht="89.25">
      <c r="A166" s="68">
        <f t="shared" si="4"/>
        <v>165</v>
      </c>
      <c r="B166" s="69">
        <f t="shared" si="3"/>
        <v>2025</v>
      </c>
      <c r="C166" s="69" t="s">
        <v>165</v>
      </c>
      <c r="D166" s="71" t="s">
        <v>391</v>
      </c>
      <c r="E166" s="70">
        <v>45824</v>
      </c>
      <c r="F166" s="69" t="s">
        <v>383</v>
      </c>
      <c r="G166" s="69" t="s">
        <v>383</v>
      </c>
      <c r="H166" s="69" t="s">
        <v>899</v>
      </c>
      <c r="I166" s="69" t="s">
        <v>384</v>
      </c>
      <c r="J166" s="70">
        <v>46023</v>
      </c>
      <c r="K166" s="69" t="s">
        <v>160</v>
      </c>
      <c r="L166" s="69"/>
      <c r="M166" s="174" t="s">
        <v>391</v>
      </c>
      <c r="N166" s="128" t="s">
        <v>182</v>
      </c>
      <c r="O166" s="69">
        <v>6</v>
      </c>
      <c r="P166" s="69">
        <v>2025</v>
      </c>
      <c r="Q166" s="115"/>
    </row>
    <row r="167" spans="1:17" ht="89.25">
      <c r="A167" s="68">
        <f t="shared" si="4"/>
        <v>166</v>
      </c>
      <c r="B167" s="69">
        <f t="shared" si="3"/>
        <v>2025</v>
      </c>
      <c r="C167" s="69" t="s">
        <v>165</v>
      </c>
      <c r="D167" s="71" t="s">
        <v>392</v>
      </c>
      <c r="E167" s="70">
        <v>45803</v>
      </c>
      <c r="F167" s="69" t="s">
        <v>393</v>
      </c>
      <c r="G167" s="69" t="s">
        <v>152</v>
      </c>
      <c r="H167" s="69" t="s">
        <v>900</v>
      </c>
      <c r="I167" s="69" t="s">
        <v>233</v>
      </c>
      <c r="J167" s="70">
        <v>45839</v>
      </c>
      <c r="K167" s="69" t="s">
        <v>160</v>
      </c>
      <c r="L167" s="69"/>
      <c r="M167" s="174" t="s">
        <v>392</v>
      </c>
      <c r="N167" s="128" t="s">
        <v>182</v>
      </c>
      <c r="O167" s="69">
        <v>6</v>
      </c>
      <c r="P167" s="69">
        <v>2025</v>
      </c>
      <c r="Q167" s="115"/>
    </row>
    <row r="168" spans="1:17" ht="89.25">
      <c r="A168" s="68">
        <f t="shared" si="4"/>
        <v>167</v>
      </c>
      <c r="B168" s="69">
        <f t="shared" si="3"/>
        <v>2025</v>
      </c>
      <c r="C168" s="69" t="s">
        <v>165</v>
      </c>
      <c r="D168" s="71" t="s">
        <v>394</v>
      </c>
      <c r="E168" s="70">
        <v>45820</v>
      </c>
      <c r="F168" s="69" t="s">
        <v>215</v>
      </c>
      <c r="G168" s="69" t="s">
        <v>152</v>
      </c>
      <c r="H168" s="69" t="s">
        <v>901</v>
      </c>
      <c r="I168" s="69" t="s">
        <v>196</v>
      </c>
      <c r="J168" s="70">
        <v>45840</v>
      </c>
      <c r="K168" s="69" t="s">
        <v>160</v>
      </c>
      <c r="L168" s="69"/>
      <c r="M168" s="174" t="s">
        <v>394</v>
      </c>
      <c r="N168" s="128" t="s">
        <v>182</v>
      </c>
      <c r="O168" s="69">
        <v>6</v>
      </c>
      <c r="P168" s="69">
        <v>2025</v>
      </c>
      <c r="Q168" s="115"/>
    </row>
    <row r="169" spans="1:17" ht="89.25">
      <c r="A169" s="68">
        <f t="shared" si="4"/>
        <v>168</v>
      </c>
      <c r="B169" s="69">
        <f t="shared" si="3"/>
        <v>2025</v>
      </c>
      <c r="C169" s="69" t="s">
        <v>154</v>
      </c>
      <c r="D169" s="71" t="s">
        <v>395</v>
      </c>
      <c r="E169" s="70">
        <v>45820</v>
      </c>
      <c r="F169" s="69" t="s">
        <v>215</v>
      </c>
      <c r="G169" s="69" t="s">
        <v>152</v>
      </c>
      <c r="H169" s="69" t="s">
        <v>902</v>
      </c>
      <c r="I169" s="69" t="s">
        <v>196</v>
      </c>
      <c r="J169" s="70">
        <v>45824</v>
      </c>
      <c r="K169" s="69" t="s">
        <v>160</v>
      </c>
      <c r="L169" s="69"/>
      <c r="M169" s="174" t="s">
        <v>395</v>
      </c>
      <c r="N169" s="128" t="s">
        <v>182</v>
      </c>
      <c r="O169" s="69">
        <v>6</v>
      </c>
      <c r="P169" s="69">
        <v>2025</v>
      </c>
      <c r="Q169" s="115"/>
    </row>
    <row r="170" spans="1:17" ht="89.25">
      <c r="A170" s="68">
        <f t="shared" si="4"/>
        <v>169</v>
      </c>
      <c r="B170" s="69">
        <f t="shared" si="3"/>
        <v>2025</v>
      </c>
      <c r="C170" s="69" t="s">
        <v>154</v>
      </c>
      <c r="D170" s="71" t="s">
        <v>396</v>
      </c>
      <c r="E170" s="70">
        <v>45823</v>
      </c>
      <c r="F170" s="69" t="s">
        <v>215</v>
      </c>
      <c r="G170" s="69" t="s">
        <v>152</v>
      </c>
      <c r="H170" s="69" t="s">
        <v>903</v>
      </c>
      <c r="I170" s="69" t="s">
        <v>196</v>
      </c>
      <c r="J170" s="70">
        <v>45824</v>
      </c>
      <c r="K170" s="69" t="s">
        <v>160</v>
      </c>
      <c r="L170" s="69"/>
      <c r="M170" s="174" t="s">
        <v>396</v>
      </c>
      <c r="N170" s="128" t="s">
        <v>182</v>
      </c>
      <c r="O170" s="69">
        <v>6</v>
      </c>
      <c r="P170" s="69">
        <v>2025</v>
      </c>
      <c r="Q170" s="115"/>
    </row>
    <row r="171" spans="1:17" ht="89.25">
      <c r="A171" s="68">
        <f t="shared" si="4"/>
        <v>170</v>
      </c>
      <c r="B171" s="69">
        <f t="shared" si="3"/>
        <v>2025</v>
      </c>
      <c r="C171" s="69" t="s">
        <v>154</v>
      </c>
      <c r="D171" s="71" t="s">
        <v>606</v>
      </c>
      <c r="E171" s="70">
        <v>45800</v>
      </c>
      <c r="F171" s="69" t="s">
        <v>170</v>
      </c>
      <c r="G171" s="69" t="s">
        <v>170</v>
      </c>
      <c r="H171" s="69" t="s">
        <v>760</v>
      </c>
      <c r="I171" s="69" t="s">
        <v>398</v>
      </c>
      <c r="J171" s="70">
        <v>45800</v>
      </c>
      <c r="K171" s="69" t="s">
        <v>160</v>
      </c>
      <c r="L171" s="69"/>
      <c r="M171" s="174" t="s">
        <v>397</v>
      </c>
      <c r="N171" s="128" t="s">
        <v>182</v>
      </c>
      <c r="O171" s="69">
        <v>6</v>
      </c>
      <c r="P171" s="69">
        <v>2025</v>
      </c>
      <c r="Q171" s="115"/>
    </row>
    <row r="172" spans="1:17" ht="102">
      <c r="A172" s="68">
        <f t="shared" si="4"/>
        <v>171</v>
      </c>
      <c r="B172" s="69">
        <f t="shared" si="3"/>
        <v>2018</v>
      </c>
      <c r="C172" s="69" t="s">
        <v>165</v>
      </c>
      <c r="D172" s="71" t="s">
        <v>399</v>
      </c>
      <c r="E172" s="70">
        <v>43364</v>
      </c>
      <c r="F172" s="69" t="s">
        <v>215</v>
      </c>
      <c r="G172" s="69" t="s">
        <v>152</v>
      </c>
      <c r="H172" s="69" t="s">
        <v>904</v>
      </c>
      <c r="I172" s="69" t="s">
        <v>196</v>
      </c>
      <c r="J172" s="70">
        <v>43419</v>
      </c>
      <c r="K172" s="69" t="s">
        <v>153</v>
      </c>
      <c r="L172" s="69"/>
      <c r="M172" s="174" t="s">
        <v>399</v>
      </c>
      <c r="N172" s="128" t="s">
        <v>400</v>
      </c>
      <c r="O172" s="69">
        <v>6</v>
      </c>
      <c r="P172" s="69">
        <v>2025</v>
      </c>
      <c r="Q172" s="115"/>
    </row>
    <row r="173" spans="1:17" ht="76.5">
      <c r="A173" s="68">
        <f t="shared" si="4"/>
        <v>172</v>
      </c>
      <c r="B173" s="69">
        <f t="shared" si="3"/>
        <v>2025</v>
      </c>
      <c r="C173" s="72" t="s">
        <v>165</v>
      </c>
      <c r="D173" s="73" t="s">
        <v>401</v>
      </c>
      <c r="E173" s="74">
        <v>45716</v>
      </c>
      <c r="F173" s="72" t="s">
        <v>215</v>
      </c>
      <c r="G173" s="72" t="s">
        <v>152</v>
      </c>
      <c r="H173" s="72" t="s">
        <v>905</v>
      </c>
      <c r="I173" s="72" t="s">
        <v>196</v>
      </c>
      <c r="J173" s="74">
        <v>45717</v>
      </c>
      <c r="K173" s="72" t="s">
        <v>153</v>
      </c>
      <c r="L173" s="72"/>
      <c r="M173" s="176" t="s">
        <v>401</v>
      </c>
      <c r="N173" s="72"/>
      <c r="O173" s="72">
        <v>6</v>
      </c>
      <c r="P173" s="72">
        <v>2025</v>
      </c>
      <c r="Q173" s="115"/>
    </row>
    <row r="174" spans="1:17" ht="89.25">
      <c r="A174" s="68">
        <f t="shared" si="4"/>
        <v>173</v>
      </c>
      <c r="B174" s="69">
        <f t="shared" si="3"/>
        <v>2025</v>
      </c>
      <c r="C174" s="69" t="s">
        <v>165</v>
      </c>
      <c r="D174" s="71" t="s">
        <v>402</v>
      </c>
      <c r="E174" s="70">
        <v>45819</v>
      </c>
      <c r="F174" s="69" t="s">
        <v>215</v>
      </c>
      <c r="G174" s="69" t="s">
        <v>152</v>
      </c>
      <c r="H174" s="69" t="s">
        <v>906</v>
      </c>
      <c r="I174" s="69" t="s">
        <v>196</v>
      </c>
      <c r="J174" s="70">
        <v>45839</v>
      </c>
      <c r="K174" s="69" t="s">
        <v>160</v>
      </c>
      <c r="L174" s="69"/>
      <c r="M174" s="174" t="s">
        <v>402</v>
      </c>
      <c r="N174" s="128" t="s">
        <v>182</v>
      </c>
      <c r="O174" s="69">
        <v>6</v>
      </c>
      <c r="P174" s="69">
        <v>2025</v>
      </c>
      <c r="Q174" s="115"/>
    </row>
    <row r="175" spans="1:17" ht="89.25">
      <c r="A175" s="68">
        <f t="shared" si="4"/>
        <v>174</v>
      </c>
      <c r="B175" s="69">
        <f t="shared" si="3"/>
        <v>2025</v>
      </c>
      <c r="C175" s="69" t="s">
        <v>165</v>
      </c>
      <c r="D175" s="71" t="s">
        <v>403</v>
      </c>
      <c r="E175" s="70">
        <v>45819</v>
      </c>
      <c r="F175" s="69" t="s">
        <v>215</v>
      </c>
      <c r="G175" s="69" t="s">
        <v>152</v>
      </c>
      <c r="H175" s="69" t="s">
        <v>907</v>
      </c>
      <c r="I175" s="69" t="s">
        <v>196</v>
      </c>
      <c r="J175" s="70">
        <v>45839</v>
      </c>
      <c r="K175" s="69" t="s">
        <v>160</v>
      </c>
      <c r="L175" s="69"/>
      <c r="M175" s="174" t="s">
        <v>403</v>
      </c>
      <c r="N175" s="128" t="s">
        <v>182</v>
      </c>
      <c r="O175" s="69">
        <v>6</v>
      </c>
      <c r="P175" s="69">
        <v>2025</v>
      </c>
      <c r="Q175" s="115"/>
    </row>
    <row r="176" spans="1:17" ht="89.25">
      <c r="A176" s="68">
        <f t="shared" si="4"/>
        <v>175</v>
      </c>
      <c r="B176" s="69">
        <f t="shared" si="3"/>
        <v>2025</v>
      </c>
      <c r="C176" s="69" t="s">
        <v>165</v>
      </c>
      <c r="D176" s="71" t="s">
        <v>404</v>
      </c>
      <c r="E176" s="70">
        <v>45819</v>
      </c>
      <c r="F176" s="69" t="s">
        <v>215</v>
      </c>
      <c r="G176" s="69" t="s">
        <v>152</v>
      </c>
      <c r="H176" s="69" t="s">
        <v>908</v>
      </c>
      <c r="I176" s="69" t="s">
        <v>196</v>
      </c>
      <c r="J176" s="70">
        <v>45839</v>
      </c>
      <c r="K176" s="69" t="s">
        <v>160</v>
      </c>
      <c r="L176" s="69"/>
      <c r="M176" s="174" t="s">
        <v>404</v>
      </c>
      <c r="N176" s="128" t="s">
        <v>182</v>
      </c>
      <c r="O176" s="69">
        <v>6</v>
      </c>
      <c r="P176" s="69">
        <v>2025</v>
      </c>
      <c r="Q176" s="115"/>
    </row>
    <row r="177" spans="1:17" ht="89.25">
      <c r="A177" s="68">
        <f t="shared" si="4"/>
        <v>176</v>
      </c>
      <c r="B177" s="69">
        <f t="shared" si="3"/>
        <v>2025</v>
      </c>
      <c r="C177" s="69" t="s">
        <v>165</v>
      </c>
      <c r="D177" s="71" t="s">
        <v>405</v>
      </c>
      <c r="E177" s="70">
        <v>45819</v>
      </c>
      <c r="F177" s="69" t="s">
        <v>215</v>
      </c>
      <c r="G177" s="69" t="s">
        <v>152</v>
      </c>
      <c r="H177" s="69" t="s">
        <v>909</v>
      </c>
      <c r="I177" s="69" t="s">
        <v>196</v>
      </c>
      <c r="J177" s="70">
        <v>45839</v>
      </c>
      <c r="K177" s="69" t="s">
        <v>160</v>
      </c>
      <c r="L177" s="69"/>
      <c r="M177" s="174" t="s">
        <v>405</v>
      </c>
      <c r="N177" s="128" t="s">
        <v>182</v>
      </c>
      <c r="O177" s="69">
        <v>6</v>
      </c>
      <c r="P177" s="69">
        <v>2025</v>
      </c>
      <c r="Q177" s="115"/>
    </row>
    <row r="178" spans="1:17" ht="89.25">
      <c r="A178" s="68">
        <f t="shared" si="4"/>
        <v>177</v>
      </c>
      <c r="B178" s="69">
        <f t="shared" si="3"/>
        <v>2025</v>
      </c>
      <c r="C178" s="69" t="s">
        <v>165</v>
      </c>
      <c r="D178" s="71" t="s">
        <v>406</v>
      </c>
      <c r="E178" s="70">
        <v>45819</v>
      </c>
      <c r="F178" s="69" t="s">
        <v>215</v>
      </c>
      <c r="G178" s="69" t="s">
        <v>152</v>
      </c>
      <c r="H178" s="69" t="s">
        <v>910</v>
      </c>
      <c r="I178" s="69" t="s">
        <v>196</v>
      </c>
      <c r="J178" s="70">
        <v>45839</v>
      </c>
      <c r="K178" s="69" t="s">
        <v>160</v>
      </c>
      <c r="L178" s="69"/>
      <c r="M178" s="174" t="s">
        <v>406</v>
      </c>
      <c r="N178" s="128" t="s">
        <v>407</v>
      </c>
      <c r="O178" s="69">
        <v>6</v>
      </c>
      <c r="P178" s="69">
        <v>2025</v>
      </c>
      <c r="Q178" s="115"/>
    </row>
    <row r="179" spans="1:17" ht="89.25">
      <c r="A179" s="68">
        <f t="shared" si="4"/>
        <v>178</v>
      </c>
      <c r="B179" s="69">
        <f t="shared" si="3"/>
        <v>2025</v>
      </c>
      <c r="C179" s="69" t="s">
        <v>165</v>
      </c>
      <c r="D179" s="71" t="s">
        <v>408</v>
      </c>
      <c r="E179" s="70">
        <v>45819</v>
      </c>
      <c r="F179" s="69" t="s">
        <v>215</v>
      </c>
      <c r="G179" s="69" t="s">
        <v>152</v>
      </c>
      <c r="H179" s="69" t="s">
        <v>911</v>
      </c>
      <c r="I179" s="69" t="s">
        <v>196</v>
      </c>
      <c r="J179" s="70">
        <v>45839</v>
      </c>
      <c r="K179" s="69" t="s">
        <v>160</v>
      </c>
      <c r="L179" s="69"/>
      <c r="M179" s="174" t="s">
        <v>408</v>
      </c>
      <c r="N179" s="128" t="s">
        <v>407</v>
      </c>
      <c r="O179" s="69">
        <v>6</v>
      </c>
      <c r="P179" s="69">
        <v>2025</v>
      </c>
      <c r="Q179" s="115"/>
    </row>
    <row r="180" spans="1:17" ht="89.25">
      <c r="A180" s="68">
        <f t="shared" si="4"/>
        <v>179</v>
      </c>
      <c r="B180" s="69">
        <f t="shared" si="3"/>
        <v>2025</v>
      </c>
      <c r="C180" s="69" t="s">
        <v>165</v>
      </c>
      <c r="D180" s="71" t="s">
        <v>409</v>
      </c>
      <c r="E180" s="70">
        <v>45819</v>
      </c>
      <c r="F180" s="69" t="s">
        <v>215</v>
      </c>
      <c r="G180" s="69" t="s">
        <v>152</v>
      </c>
      <c r="H180" s="69" t="s">
        <v>912</v>
      </c>
      <c r="I180" s="69" t="s">
        <v>196</v>
      </c>
      <c r="J180" s="70">
        <v>45839</v>
      </c>
      <c r="K180" s="69" t="s">
        <v>160</v>
      </c>
      <c r="L180" s="69"/>
      <c r="M180" s="174" t="s">
        <v>409</v>
      </c>
      <c r="N180" s="128" t="s">
        <v>407</v>
      </c>
      <c r="O180" s="69">
        <v>6</v>
      </c>
      <c r="P180" s="69">
        <v>2025</v>
      </c>
      <c r="Q180" s="115"/>
    </row>
    <row r="181" spans="1:17" ht="89.25">
      <c r="A181" s="68">
        <f t="shared" si="4"/>
        <v>180</v>
      </c>
      <c r="B181" s="69">
        <f t="shared" si="3"/>
        <v>2025</v>
      </c>
      <c r="C181" s="69" t="s">
        <v>165</v>
      </c>
      <c r="D181" s="71" t="s">
        <v>410</v>
      </c>
      <c r="E181" s="70">
        <v>45819</v>
      </c>
      <c r="F181" s="69" t="s">
        <v>215</v>
      </c>
      <c r="G181" s="69" t="s">
        <v>152</v>
      </c>
      <c r="H181" s="69" t="s">
        <v>913</v>
      </c>
      <c r="I181" s="69" t="s">
        <v>196</v>
      </c>
      <c r="J181" s="70">
        <v>45839</v>
      </c>
      <c r="K181" s="69" t="s">
        <v>160</v>
      </c>
      <c r="L181" s="69"/>
      <c r="M181" s="174" t="s">
        <v>410</v>
      </c>
      <c r="N181" s="128" t="s">
        <v>407</v>
      </c>
      <c r="O181" s="69">
        <v>6</v>
      </c>
      <c r="P181" s="69">
        <v>2025</v>
      </c>
      <c r="Q181" s="115"/>
    </row>
    <row r="182" spans="1:17" ht="89.25">
      <c r="A182" s="68">
        <f t="shared" si="4"/>
        <v>181</v>
      </c>
      <c r="B182" s="69">
        <f t="shared" si="3"/>
        <v>2025</v>
      </c>
      <c r="C182" s="69" t="s">
        <v>165</v>
      </c>
      <c r="D182" s="71" t="s">
        <v>411</v>
      </c>
      <c r="E182" s="70">
        <v>45819</v>
      </c>
      <c r="F182" s="69" t="s">
        <v>215</v>
      </c>
      <c r="G182" s="69" t="s">
        <v>152</v>
      </c>
      <c r="H182" s="69" t="s">
        <v>914</v>
      </c>
      <c r="I182" s="69" t="s">
        <v>196</v>
      </c>
      <c r="J182" s="70">
        <v>45839</v>
      </c>
      <c r="K182" s="69" t="s">
        <v>160</v>
      </c>
      <c r="L182" s="69"/>
      <c r="M182" s="174" t="s">
        <v>411</v>
      </c>
      <c r="N182" s="128" t="s">
        <v>182</v>
      </c>
      <c r="O182" s="69">
        <v>6</v>
      </c>
      <c r="P182" s="69">
        <v>2025</v>
      </c>
      <c r="Q182" s="115"/>
    </row>
    <row r="183" spans="1:17" ht="89.25">
      <c r="A183" s="68">
        <f t="shared" si="4"/>
        <v>182</v>
      </c>
      <c r="B183" s="69">
        <f t="shared" si="3"/>
        <v>2025</v>
      </c>
      <c r="C183" s="69" t="s">
        <v>165</v>
      </c>
      <c r="D183" s="71" t="s">
        <v>412</v>
      </c>
      <c r="E183" s="70">
        <v>45819</v>
      </c>
      <c r="F183" s="69" t="s">
        <v>215</v>
      </c>
      <c r="G183" s="69" t="s">
        <v>152</v>
      </c>
      <c r="H183" s="69" t="s">
        <v>915</v>
      </c>
      <c r="I183" s="69" t="s">
        <v>196</v>
      </c>
      <c r="J183" s="70">
        <v>45839</v>
      </c>
      <c r="K183" s="69" t="s">
        <v>160</v>
      </c>
      <c r="L183" s="69"/>
      <c r="M183" s="174" t="s">
        <v>412</v>
      </c>
      <c r="N183" s="128" t="s">
        <v>182</v>
      </c>
      <c r="O183" s="69">
        <v>6</v>
      </c>
      <c r="P183" s="69">
        <v>2025</v>
      </c>
      <c r="Q183" s="115"/>
    </row>
    <row r="184" spans="1:17" ht="89.25">
      <c r="A184" s="68">
        <f t="shared" si="4"/>
        <v>183</v>
      </c>
      <c r="B184" s="69">
        <f t="shared" si="3"/>
        <v>2025</v>
      </c>
      <c r="C184" s="69" t="s">
        <v>165</v>
      </c>
      <c r="D184" s="71" t="s">
        <v>413</v>
      </c>
      <c r="E184" s="70">
        <v>45820</v>
      </c>
      <c r="F184" s="69" t="s">
        <v>215</v>
      </c>
      <c r="G184" s="69" t="s">
        <v>152</v>
      </c>
      <c r="H184" s="69" t="s">
        <v>916</v>
      </c>
      <c r="I184" s="69" t="s">
        <v>196</v>
      </c>
      <c r="J184" s="70">
        <v>45839</v>
      </c>
      <c r="K184" s="69" t="s">
        <v>160</v>
      </c>
      <c r="L184" s="69"/>
      <c r="M184" s="174" t="s">
        <v>413</v>
      </c>
      <c r="N184" s="128" t="s">
        <v>182</v>
      </c>
      <c r="O184" s="69">
        <v>6</v>
      </c>
      <c r="P184" s="69">
        <v>2025</v>
      </c>
      <c r="Q184" s="115"/>
    </row>
    <row r="185" spans="1:17" ht="89.25">
      <c r="A185" s="68">
        <f t="shared" si="4"/>
        <v>184</v>
      </c>
      <c r="B185" s="69">
        <f t="shared" si="3"/>
        <v>2025</v>
      </c>
      <c r="C185" s="69" t="s">
        <v>165</v>
      </c>
      <c r="D185" s="71" t="s">
        <v>414</v>
      </c>
      <c r="E185" s="70">
        <v>45820</v>
      </c>
      <c r="F185" s="69" t="s">
        <v>215</v>
      </c>
      <c r="G185" s="69" t="s">
        <v>152</v>
      </c>
      <c r="H185" s="69" t="s">
        <v>917</v>
      </c>
      <c r="I185" s="69" t="s">
        <v>196</v>
      </c>
      <c r="J185" s="70">
        <v>45839</v>
      </c>
      <c r="K185" s="69" t="s">
        <v>160</v>
      </c>
      <c r="L185" s="69"/>
      <c r="M185" s="174" t="s">
        <v>414</v>
      </c>
      <c r="N185" s="128" t="s">
        <v>182</v>
      </c>
      <c r="O185" s="69">
        <v>6</v>
      </c>
      <c r="P185" s="69">
        <v>2025</v>
      </c>
      <c r="Q185" s="115"/>
    </row>
    <row r="186" spans="1:17" ht="89.25">
      <c r="A186" s="68">
        <f t="shared" si="4"/>
        <v>185</v>
      </c>
      <c r="B186" s="69">
        <f t="shared" si="3"/>
        <v>2025</v>
      </c>
      <c r="C186" s="69" t="s">
        <v>165</v>
      </c>
      <c r="D186" s="71" t="s">
        <v>415</v>
      </c>
      <c r="E186" s="70">
        <v>45820</v>
      </c>
      <c r="F186" s="69" t="s">
        <v>215</v>
      </c>
      <c r="G186" s="69" t="s">
        <v>152</v>
      </c>
      <c r="H186" s="69" t="s">
        <v>918</v>
      </c>
      <c r="I186" s="69" t="s">
        <v>196</v>
      </c>
      <c r="J186" s="70">
        <v>45839</v>
      </c>
      <c r="K186" s="69" t="s">
        <v>160</v>
      </c>
      <c r="L186" s="69"/>
      <c r="M186" s="174" t="s">
        <v>415</v>
      </c>
      <c r="N186" s="128" t="s">
        <v>182</v>
      </c>
      <c r="O186" s="69">
        <v>6</v>
      </c>
      <c r="P186" s="69">
        <v>2025</v>
      </c>
      <c r="Q186" s="115"/>
    </row>
    <row r="187" spans="1:17" ht="89.25">
      <c r="A187" s="68">
        <f t="shared" si="4"/>
        <v>186</v>
      </c>
      <c r="B187" s="69">
        <f t="shared" si="3"/>
        <v>2025</v>
      </c>
      <c r="C187" s="69" t="s">
        <v>165</v>
      </c>
      <c r="D187" s="71" t="s">
        <v>416</v>
      </c>
      <c r="E187" s="70">
        <v>45820</v>
      </c>
      <c r="F187" s="69" t="s">
        <v>215</v>
      </c>
      <c r="G187" s="69" t="s">
        <v>152</v>
      </c>
      <c r="H187" s="69" t="s">
        <v>919</v>
      </c>
      <c r="I187" s="69" t="s">
        <v>196</v>
      </c>
      <c r="J187" s="70">
        <v>45839</v>
      </c>
      <c r="K187" s="69" t="s">
        <v>160</v>
      </c>
      <c r="L187" s="69"/>
      <c r="M187" s="174" t="s">
        <v>416</v>
      </c>
      <c r="N187" s="128" t="s">
        <v>182</v>
      </c>
      <c r="O187" s="69">
        <v>6</v>
      </c>
      <c r="P187" s="69">
        <v>2025</v>
      </c>
      <c r="Q187" s="115"/>
    </row>
    <row r="188" spans="1:17" ht="89.25">
      <c r="A188" s="68">
        <f t="shared" si="4"/>
        <v>187</v>
      </c>
      <c r="B188" s="69">
        <f t="shared" si="3"/>
        <v>2025</v>
      </c>
      <c r="C188" s="69" t="s">
        <v>165</v>
      </c>
      <c r="D188" s="71" t="s">
        <v>417</v>
      </c>
      <c r="E188" s="70">
        <v>45820</v>
      </c>
      <c r="F188" s="69" t="s">
        <v>215</v>
      </c>
      <c r="G188" s="69" t="s">
        <v>152</v>
      </c>
      <c r="H188" s="69" t="s">
        <v>920</v>
      </c>
      <c r="I188" s="69" t="s">
        <v>196</v>
      </c>
      <c r="J188" s="70">
        <v>45839</v>
      </c>
      <c r="K188" s="69" t="s">
        <v>160</v>
      </c>
      <c r="L188" s="69"/>
      <c r="M188" s="174" t="s">
        <v>417</v>
      </c>
      <c r="N188" s="128" t="s">
        <v>182</v>
      </c>
      <c r="O188" s="69">
        <v>6</v>
      </c>
      <c r="P188" s="69">
        <v>2025</v>
      </c>
      <c r="Q188" s="115"/>
    </row>
    <row r="189" spans="1:17" ht="89.25">
      <c r="A189" s="68">
        <f t="shared" si="4"/>
        <v>188</v>
      </c>
      <c r="B189" s="69">
        <f t="shared" si="3"/>
        <v>2025</v>
      </c>
      <c r="C189" s="69" t="s">
        <v>165</v>
      </c>
      <c r="D189" s="71" t="s">
        <v>418</v>
      </c>
      <c r="E189" s="70">
        <v>45820</v>
      </c>
      <c r="F189" s="69" t="s">
        <v>215</v>
      </c>
      <c r="G189" s="69" t="s">
        <v>152</v>
      </c>
      <c r="H189" s="69" t="s">
        <v>921</v>
      </c>
      <c r="I189" s="69" t="s">
        <v>196</v>
      </c>
      <c r="J189" s="70">
        <v>45839</v>
      </c>
      <c r="K189" s="69" t="s">
        <v>160</v>
      </c>
      <c r="L189" s="69"/>
      <c r="M189" s="174" t="s">
        <v>418</v>
      </c>
      <c r="N189" s="128" t="s">
        <v>182</v>
      </c>
      <c r="O189" s="69">
        <v>6</v>
      </c>
      <c r="P189" s="69">
        <v>2025</v>
      </c>
      <c r="Q189" s="115"/>
    </row>
    <row r="190" spans="1:17" ht="89.25">
      <c r="A190" s="68">
        <f t="shared" si="4"/>
        <v>189</v>
      </c>
      <c r="B190" s="69">
        <f t="shared" si="3"/>
        <v>2025</v>
      </c>
      <c r="C190" s="69" t="s">
        <v>165</v>
      </c>
      <c r="D190" s="71" t="s">
        <v>419</v>
      </c>
      <c r="E190" s="70">
        <v>45820</v>
      </c>
      <c r="F190" s="69" t="s">
        <v>215</v>
      </c>
      <c r="G190" s="69" t="s">
        <v>152</v>
      </c>
      <c r="H190" s="69" t="s">
        <v>922</v>
      </c>
      <c r="I190" s="69" t="s">
        <v>196</v>
      </c>
      <c r="J190" s="70">
        <v>45839</v>
      </c>
      <c r="K190" s="69" t="s">
        <v>160</v>
      </c>
      <c r="L190" s="69"/>
      <c r="M190" s="174" t="s">
        <v>419</v>
      </c>
      <c r="N190" s="128" t="s">
        <v>182</v>
      </c>
      <c r="O190" s="69">
        <v>6</v>
      </c>
      <c r="P190" s="69">
        <v>2025</v>
      </c>
      <c r="Q190" s="115"/>
    </row>
    <row r="191" spans="1:17" ht="89.25">
      <c r="A191" s="68">
        <f t="shared" si="4"/>
        <v>190</v>
      </c>
      <c r="B191" s="69">
        <f t="shared" si="3"/>
        <v>2025</v>
      </c>
      <c r="C191" s="69" t="s">
        <v>165</v>
      </c>
      <c r="D191" s="71" t="s">
        <v>420</v>
      </c>
      <c r="E191" s="70">
        <v>45820</v>
      </c>
      <c r="F191" s="69" t="s">
        <v>215</v>
      </c>
      <c r="G191" s="69" t="s">
        <v>152</v>
      </c>
      <c r="H191" s="69" t="s">
        <v>923</v>
      </c>
      <c r="I191" s="69" t="s">
        <v>196</v>
      </c>
      <c r="J191" s="70">
        <v>45839</v>
      </c>
      <c r="K191" s="69" t="s">
        <v>160</v>
      </c>
      <c r="L191" s="69"/>
      <c r="M191" s="174" t="s">
        <v>420</v>
      </c>
      <c r="N191" s="128" t="s">
        <v>182</v>
      </c>
      <c r="O191" s="69">
        <v>6</v>
      </c>
      <c r="P191" s="69">
        <v>2025</v>
      </c>
      <c r="Q191" s="115"/>
    </row>
    <row r="192" spans="1:17" ht="89.25">
      <c r="A192" s="68">
        <f t="shared" si="4"/>
        <v>191</v>
      </c>
      <c r="B192" s="69">
        <f t="shared" si="3"/>
        <v>2025</v>
      </c>
      <c r="C192" s="69" t="s">
        <v>165</v>
      </c>
      <c r="D192" s="71" t="s">
        <v>421</v>
      </c>
      <c r="E192" s="70">
        <v>45820</v>
      </c>
      <c r="F192" s="69" t="s">
        <v>215</v>
      </c>
      <c r="G192" s="69" t="s">
        <v>152</v>
      </c>
      <c r="H192" s="69" t="s">
        <v>924</v>
      </c>
      <c r="I192" s="69" t="s">
        <v>196</v>
      </c>
      <c r="J192" s="70">
        <v>45839</v>
      </c>
      <c r="K192" s="69" t="s">
        <v>160</v>
      </c>
      <c r="L192" s="69"/>
      <c r="M192" s="174" t="s">
        <v>421</v>
      </c>
      <c r="N192" s="128" t="s">
        <v>182</v>
      </c>
      <c r="O192" s="69">
        <v>6</v>
      </c>
      <c r="P192" s="69">
        <v>2025</v>
      </c>
      <c r="Q192" s="115"/>
    </row>
    <row r="193" spans="1:17" ht="89.25">
      <c r="A193" s="68">
        <f t="shared" si="4"/>
        <v>192</v>
      </c>
      <c r="B193" s="69">
        <f t="shared" si="3"/>
        <v>2025</v>
      </c>
      <c r="C193" s="69" t="s">
        <v>165</v>
      </c>
      <c r="D193" s="71" t="s">
        <v>422</v>
      </c>
      <c r="E193" s="70">
        <v>45820</v>
      </c>
      <c r="F193" s="69" t="s">
        <v>215</v>
      </c>
      <c r="G193" s="69" t="s">
        <v>152</v>
      </c>
      <c r="H193" s="69" t="s">
        <v>925</v>
      </c>
      <c r="I193" s="69" t="s">
        <v>196</v>
      </c>
      <c r="J193" s="70">
        <v>45839</v>
      </c>
      <c r="K193" s="69" t="s">
        <v>160</v>
      </c>
      <c r="L193" s="69"/>
      <c r="M193" s="174" t="s">
        <v>422</v>
      </c>
      <c r="N193" s="128" t="s">
        <v>182</v>
      </c>
      <c r="O193" s="69">
        <v>6</v>
      </c>
      <c r="P193" s="69">
        <v>2025</v>
      </c>
      <c r="Q193" s="115"/>
    </row>
    <row r="194" spans="1:17" ht="89.25">
      <c r="A194" s="68">
        <f t="shared" si="4"/>
        <v>193</v>
      </c>
      <c r="B194" s="69">
        <f t="shared" si="3"/>
        <v>2025</v>
      </c>
      <c r="C194" s="69" t="s">
        <v>165</v>
      </c>
      <c r="D194" s="71" t="s">
        <v>423</v>
      </c>
      <c r="E194" s="70">
        <v>45820</v>
      </c>
      <c r="F194" s="69" t="s">
        <v>215</v>
      </c>
      <c r="G194" s="69" t="s">
        <v>152</v>
      </c>
      <c r="H194" s="69" t="s">
        <v>901</v>
      </c>
      <c r="I194" s="69" t="s">
        <v>196</v>
      </c>
      <c r="J194" s="70">
        <v>45839</v>
      </c>
      <c r="K194" s="69" t="s">
        <v>160</v>
      </c>
      <c r="L194" s="69"/>
      <c r="M194" s="174" t="s">
        <v>423</v>
      </c>
      <c r="N194" s="128" t="s">
        <v>182</v>
      </c>
      <c r="O194" s="69">
        <v>6</v>
      </c>
      <c r="P194" s="69">
        <v>2025</v>
      </c>
      <c r="Q194" s="115"/>
    </row>
    <row r="195" spans="1:17" ht="89.25">
      <c r="A195" s="68">
        <f t="shared" si="4"/>
        <v>194</v>
      </c>
      <c r="B195" s="69">
        <f t="shared" si="3"/>
        <v>2025</v>
      </c>
      <c r="C195" s="69" t="s">
        <v>165</v>
      </c>
      <c r="D195" s="71" t="s">
        <v>424</v>
      </c>
      <c r="E195" s="70">
        <v>45820</v>
      </c>
      <c r="F195" s="69" t="s">
        <v>215</v>
      </c>
      <c r="G195" s="69" t="s">
        <v>152</v>
      </c>
      <c r="H195" s="69" t="s">
        <v>926</v>
      </c>
      <c r="I195" s="69" t="s">
        <v>196</v>
      </c>
      <c r="J195" s="70">
        <v>45839</v>
      </c>
      <c r="K195" s="69" t="s">
        <v>160</v>
      </c>
      <c r="L195" s="69"/>
      <c r="M195" s="174" t="s">
        <v>424</v>
      </c>
      <c r="N195" s="128" t="s">
        <v>182</v>
      </c>
      <c r="O195" s="69">
        <v>6</v>
      </c>
      <c r="P195" s="69">
        <v>2025</v>
      </c>
      <c r="Q195" s="115"/>
    </row>
    <row r="196" spans="1:17" ht="89.25">
      <c r="A196" s="68">
        <f t="shared" ref="A196:A259" si="5">A195+1</f>
        <v>195</v>
      </c>
      <c r="B196" s="69">
        <f t="shared" si="3"/>
        <v>2025</v>
      </c>
      <c r="C196" s="69" t="s">
        <v>165</v>
      </c>
      <c r="D196" s="71" t="s">
        <v>425</v>
      </c>
      <c r="E196" s="70">
        <v>45820</v>
      </c>
      <c r="F196" s="69" t="s">
        <v>215</v>
      </c>
      <c r="G196" s="69" t="s">
        <v>152</v>
      </c>
      <c r="H196" s="69" t="s">
        <v>927</v>
      </c>
      <c r="I196" s="69" t="s">
        <v>196</v>
      </c>
      <c r="J196" s="70">
        <v>45839</v>
      </c>
      <c r="K196" s="69" t="s">
        <v>160</v>
      </c>
      <c r="L196" s="69"/>
      <c r="M196" s="174" t="s">
        <v>425</v>
      </c>
      <c r="N196" s="128" t="s">
        <v>182</v>
      </c>
      <c r="O196" s="69">
        <v>6</v>
      </c>
      <c r="P196" s="69">
        <v>2025</v>
      </c>
      <c r="Q196" s="115"/>
    </row>
    <row r="197" spans="1:17" ht="89.25">
      <c r="A197" s="68">
        <f t="shared" si="5"/>
        <v>196</v>
      </c>
      <c r="B197" s="69">
        <f t="shared" si="3"/>
        <v>2025</v>
      </c>
      <c r="C197" s="69" t="s">
        <v>165</v>
      </c>
      <c r="D197" s="71" t="s">
        <v>426</v>
      </c>
      <c r="E197" s="70">
        <v>45820</v>
      </c>
      <c r="F197" s="69" t="s">
        <v>215</v>
      </c>
      <c r="G197" s="69" t="s">
        <v>152</v>
      </c>
      <c r="H197" s="69" t="s">
        <v>928</v>
      </c>
      <c r="I197" s="69" t="s">
        <v>196</v>
      </c>
      <c r="J197" s="70">
        <v>45839</v>
      </c>
      <c r="K197" s="69" t="s">
        <v>160</v>
      </c>
      <c r="L197" s="69"/>
      <c r="M197" s="174" t="s">
        <v>426</v>
      </c>
      <c r="N197" s="128" t="s">
        <v>182</v>
      </c>
      <c r="O197" s="69">
        <v>6</v>
      </c>
      <c r="P197" s="69">
        <v>2025</v>
      </c>
      <c r="Q197" s="115"/>
    </row>
    <row r="198" spans="1:17" ht="89.25">
      <c r="A198" s="68">
        <f t="shared" si="5"/>
        <v>197</v>
      </c>
      <c r="B198" s="69">
        <f t="shared" si="3"/>
        <v>2025</v>
      </c>
      <c r="C198" s="69" t="s">
        <v>165</v>
      </c>
      <c r="D198" s="71" t="s">
        <v>427</v>
      </c>
      <c r="E198" s="70">
        <v>45820</v>
      </c>
      <c r="F198" s="69" t="s">
        <v>215</v>
      </c>
      <c r="G198" s="69" t="s">
        <v>152</v>
      </c>
      <c r="H198" s="69" t="s">
        <v>929</v>
      </c>
      <c r="I198" s="69" t="s">
        <v>196</v>
      </c>
      <c r="J198" s="70">
        <v>45839</v>
      </c>
      <c r="K198" s="69" t="s">
        <v>160</v>
      </c>
      <c r="L198" s="69"/>
      <c r="M198" s="174" t="s">
        <v>427</v>
      </c>
      <c r="N198" s="128" t="s">
        <v>182</v>
      </c>
      <c r="O198" s="69">
        <v>6</v>
      </c>
      <c r="P198" s="69">
        <v>2025</v>
      </c>
      <c r="Q198" s="115"/>
    </row>
    <row r="199" spans="1:17" ht="89.25">
      <c r="A199" s="68">
        <f t="shared" si="5"/>
        <v>198</v>
      </c>
      <c r="B199" s="69">
        <f t="shared" si="3"/>
        <v>2025</v>
      </c>
      <c r="C199" s="69" t="s">
        <v>165</v>
      </c>
      <c r="D199" s="71" t="s">
        <v>428</v>
      </c>
      <c r="E199" s="70">
        <v>45820</v>
      </c>
      <c r="F199" s="69" t="s">
        <v>215</v>
      </c>
      <c r="G199" s="69" t="s">
        <v>152</v>
      </c>
      <c r="H199" s="69" t="s">
        <v>930</v>
      </c>
      <c r="I199" s="69" t="s">
        <v>196</v>
      </c>
      <c r="J199" s="70">
        <v>45839</v>
      </c>
      <c r="K199" s="69" t="s">
        <v>160</v>
      </c>
      <c r="L199" s="69"/>
      <c r="M199" s="174" t="s">
        <v>428</v>
      </c>
      <c r="N199" s="128" t="s">
        <v>182</v>
      </c>
      <c r="O199" s="69">
        <v>6</v>
      </c>
      <c r="P199" s="69">
        <v>2025</v>
      </c>
      <c r="Q199" s="115"/>
    </row>
    <row r="200" spans="1:17" ht="89.25">
      <c r="A200" s="68">
        <f t="shared" si="5"/>
        <v>199</v>
      </c>
      <c r="B200" s="69">
        <f t="shared" si="3"/>
        <v>2025</v>
      </c>
      <c r="C200" s="69" t="s">
        <v>165</v>
      </c>
      <c r="D200" s="71" t="s">
        <v>429</v>
      </c>
      <c r="E200" s="70">
        <v>45820</v>
      </c>
      <c r="F200" s="69" t="s">
        <v>215</v>
      </c>
      <c r="G200" s="69" t="s">
        <v>152</v>
      </c>
      <c r="H200" s="69" t="s">
        <v>931</v>
      </c>
      <c r="I200" s="69" t="s">
        <v>196</v>
      </c>
      <c r="J200" s="70">
        <v>45839</v>
      </c>
      <c r="K200" s="69" t="s">
        <v>160</v>
      </c>
      <c r="L200" s="69"/>
      <c r="M200" s="174" t="s">
        <v>429</v>
      </c>
      <c r="N200" s="128" t="s">
        <v>182</v>
      </c>
      <c r="O200" s="69">
        <v>6</v>
      </c>
      <c r="P200" s="69">
        <v>2025</v>
      </c>
      <c r="Q200" s="115"/>
    </row>
    <row r="201" spans="1:17" ht="89.25">
      <c r="A201" s="68">
        <f t="shared" si="5"/>
        <v>200</v>
      </c>
      <c r="B201" s="69">
        <f t="shared" si="3"/>
        <v>2025</v>
      </c>
      <c r="C201" s="69" t="s">
        <v>165</v>
      </c>
      <c r="D201" s="71" t="s">
        <v>430</v>
      </c>
      <c r="E201" s="70">
        <v>45820</v>
      </c>
      <c r="F201" s="69" t="s">
        <v>215</v>
      </c>
      <c r="G201" s="69" t="s">
        <v>152</v>
      </c>
      <c r="H201" s="69" t="s">
        <v>932</v>
      </c>
      <c r="I201" s="69" t="s">
        <v>196</v>
      </c>
      <c r="J201" s="70">
        <v>45839</v>
      </c>
      <c r="K201" s="69" t="s">
        <v>160</v>
      </c>
      <c r="L201" s="69"/>
      <c r="M201" s="174" t="s">
        <v>430</v>
      </c>
      <c r="N201" s="128" t="s">
        <v>182</v>
      </c>
      <c r="O201" s="69">
        <v>6</v>
      </c>
      <c r="P201" s="69">
        <v>2025</v>
      </c>
      <c r="Q201" s="115"/>
    </row>
    <row r="202" spans="1:17" ht="89.25">
      <c r="A202" s="68">
        <f t="shared" si="5"/>
        <v>201</v>
      </c>
      <c r="B202" s="69">
        <f t="shared" si="3"/>
        <v>2025</v>
      </c>
      <c r="C202" s="69" t="s">
        <v>165</v>
      </c>
      <c r="D202" s="75" t="s">
        <v>431</v>
      </c>
      <c r="E202" s="76">
        <v>45826</v>
      </c>
      <c r="F202" s="77" t="s">
        <v>151</v>
      </c>
      <c r="G202" s="77" t="s">
        <v>166</v>
      </c>
      <c r="H202" s="77" t="s">
        <v>798</v>
      </c>
      <c r="I202" s="75" t="s">
        <v>233</v>
      </c>
      <c r="J202" s="76">
        <v>45826</v>
      </c>
      <c r="K202" s="69" t="s">
        <v>160</v>
      </c>
      <c r="L202" s="69"/>
      <c r="M202" s="174" t="s">
        <v>431</v>
      </c>
      <c r="N202" s="145" t="s">
        <v>432</v>
      </c>
      <c r="O202" s="69">
        <v>6</v>
      </c>
      <c r="P202" s="69">
        <v>2025</v>
      </c>
      <c r="Q202" s="115"/>
    </row>
    <row r="203" spans="1:17" ht="89.25">
      <c r="A203" s="68">
        <f t="shared" si="5"/>
        <v>202</v>
      </c>
      <c r="B203" s="69">
        <f t="shared" ref="B203:B232" si="6">YEAR(E203)</f>
        <v>2025</v>
      </c>
      <c r="C203" s="69" t="s">
        <v>154</v>
      </c>
      <c r="D203" s="75" t="s">
        <v>605</v>
      </c>
      <c r="E203" s="76">
        <v>45833</v>
      </c>
      <c r="F203" s="77" t="s">
        <v>215</v>
      </c>
      <c r="G203" s="77" t="s">
        <v>158</v>
      </c>
      <c r="H203" s="77" t="s">
        <v>933</v>
      </c>
      <c r="I203" s="75" t="s">
        <v>196</v>
      </c>
      <c r="J203" s="76">
        <v>45839</v>
      </c>
      <c r="K203" s="69" t="s">
        <v>160</v>
      </c>
      <c r="L203" s="69"/>
      <c r="M203" s="174" t="s">
        <v>433</v>
      </c>
      <c r="N203" s="129" t="s">
        <v>432</v>
      </c>
      <c r="O203" s="69">
        <v>6</v>
      </c>
      <c r="P203" s="69">
        <v>2025</v>
      </c>
      <c r="Q203" s="115" t="s">
        <v>180</v>
      </c>
    </row>
    <row r="204" spans="1:17" ht="153">
      <c r="A204" s="68">
        <f t="shared" si="5"/>
        <v>203</v>
      </c>
      <c r="B204" s="69">
        <f t="shared" si="6"/>
        <v>2025</v>
      </c>
      <c r="C204" s="69" t="s">
        <v>161</v>
      </c>
      <c r="D204" s="75" t="s">
        <v>434</v>
      </c>
      <c r="E204" s="76">
        <v>45819</v>
      </c>
      <c r="F204" s="77" t="s">
        <v>198</v>
      </c>
      <c r="G204" s="77" t="s">
        <v>158</v>
      </c>
      <c r="H204" s="77" t="s">
        <v>934</v>
      </c>
      <c r="I204" s="75" t="s">
        <v>364</v>
      </c>
      <c r="J204" s="76">
        <v>45819</v>
      </c>
      <c r="K204" s="69" t="s">
        <v>160</v>
      </c>
      <c r="L204" s="69"/>
      <c r="M204" s="174" t="s">
        <v>434</v>
      </c>
      <c r="N204" s="129" t="s">
        <v>432</v>
      </c>
      <c r="O204" s="69">
        <v>6</v>
      </c>
      <c r="P204" s="69">
        <v>2025</v>
      </c>
      <c r="Q204" s="115"/>
    </row>
    <row r="205" spans="1:17" ht="102">
      <c r="A205" s="68">
        <f t="shared" si="5"/>
        <v>204</v>
      </c>
      <c r="B205" s="69">
        <f t="shared" si="6"/>
        <v>2025</v>
      </c>
      <c r="C205" s="69" t="s">
        <v>150</v>
      </c>
      <c r="D205" s="71" t="s">
        <v>604</v>
      </c>
      <c r="E205" s="70">
        <v>45823</v>
      </c>
      <c r="F205" s="69" t="s">
        <v>215</v>
      </c>
      <c r="G205" s="69" t="s">
        <v>152</v>
      </c>
      <c r="H205" s="69" t="s">
        <v>935</v>
      </c>
      <c r="I205" s="69" t="s">
        <v>196</v>
      </c>
      <c r="J205" s="70">
        <v>45839</v>
      </c>
      <c r="K205" s="69" t="s">
        <v>160</v>
      </c>
      <c r="L205" s="69"/>
      <c r="M205" s="174" t="s">
        <v>435</v>
      </c>
      <c r="N205" s="128" t="s">
        <v>436</v>
      </c>
      <c r="O205" s="69">
        <v>7</v>
      </c>
      <c r="P205" s="69">
        <v>2025</v>
      </c>
      <c r="Q205" s="115"/>
    </row>
    <row r="206" spans="1:17" ht="114.75">
      <c r="A206" s="68">
        <f t="shared" si="5"/>
        <v>205</v>
      </c>
      <c r="B206" s="69">
        <f t="shared" si="6"/>
        <v>2025</v>
      </c>
      <c r="C206" s="69" t="s">
        <v>150</v>
      </c>
      <c r="D206" s="71" t="s">
        <v>603</v>
      </c>
      <c r="E206" s="70">
        <v>45824</v>
      </c>
      <c r="F206" s="69" t="s">
        <v>215</v>
      </c>
      <c r="G206" s="69" t="s">
        <v>152</v>
      </c>
      <c r="H206" s="69" t="s">
        <v>936</v>
      </c>
      <c r="I206" s="69" t="s">
        <v>196</v>
      </c>
      <c r="J206" s="70">
        <v>45839</v>
      </c>
      <c r="K206" s="69" t="s">
        <v>160</v>
      </c>
      <c r="L206" s="69"/>
      <c r="M206" s="174" t="s">
        <v>437</v>
      </c>
      <c r="N206" s="128" t="s">
        <v>438</v>
      </c>
      <c r="O206" s="69">
        <v>7</v>
      </c>
      <c r="P206" s="69">
        <v>2025</v>
      </c>
      <c r="Q206" s="115"/>
    </row>
    <row r="207" spans="1:17" ht="114.75">
      <c r="A207" s="68">
        <f t="shared" si="5"/>
        <v>206</v>
      </c>
      <c r="B207" s="69">
        <f t="shared" si="6"/>
        <v>2017</v>
      </c>
      <c r="C207" s="69" t="s">
        <v>150</v>
      </c>
      <c r="D207" s="71" t="s">
        <v>439</v>
      </c>
      <c r="E207" s="70">
        <v>43096</v>
      </c>
      <c r="F207" s="69" t="s">
        <v>215</v>
      </c>
      <c r="G207" s="69" t="s">
        <v>152</v>
      </c>
      <c r="H207" s="69" t="s">
        <v>937</v>
      </c>
      <c r="I207" s="69" t="s">
        <v>196</v>
      </c>
      <c r="J207" s="70">
        <v>43101</v>
      </c>
      <c r="K207" s="69" t="s">
        <v>153</v>
      </c>
      <c r="L207" s="69"/>
      <c r="M207" s="174" t="s">
        <v>439</v>
      </c>
      <c r="N207" s="128" t="s">
        <v>438</v>
      </c>
      <c r="O207" s="69">
        <v>7</v>
      </c>
      <c r="P207" s="69">
        <v>2025</v>
      </c>
      <c r="Q207" s="115"/>
    </row>
    <row r="208" spans="1:17" ht="114.75">
      <c r="A208" s="68">
        <f t="shared" si="5"/>
        <v>207</v>
      </c>
      <c r="B208" s="69">
        <f t="shared" si="6"/>
        <v>2025</v>
      </c>
      <c r="C208" s="69" t="s">
        <v>150</v>
      </c>
      <c r="D208" s="71" t="s">
        <v>440</v>
      </c>
      <c r="E208" s="70">
        <v>45822</v>
      </c>
      <c r="F208" s="69" t="s">
        <v>151</v>
      </c>
      <c r="G208" s="69" t="s">
        <v>152</v>
      </c>
      <c r="H208" s="69" t="s">
        <v>938</v>
      </c>
      <c r="I208" s="69" t="s">
        <v>196</v>
      </c>
      <c r="J208" s="70">
        <v>45839</v>
      </c>
      <c r="K208" s="69" t="s">
        <v>160</v>
      </c>
      <c r="L208" s="69"/>
      <c r="M208" s="174" t="s">
        <v>440</v>
      </c>
      <c r="N208" s="128" t="s">
        <v>438</v>
      </c>
      <c r="O208" s="69">
        <v>7</v>
      </c>
      <c r="P208" s="69">
        <v>2025</v>
      </c>
      <c r="Q208" s="115"/>
    </row>
    <row r="209" spans="1:17" ht="114.75">
      <c r="A209" s="68">
        <f t="shared" si="5"/>
        <v>208</v>
      </c>
      <c r="B209" s="69">
        <f t="shared" si="6"/>
        <v>2017</v>
      </c>
      <c r="C209" s="69" t="s">
        <v>150</v>
      </c>
      <c r="D209" s="71" t="s">
        <v>602</v>
      </c>
      <c r="E209" s="70">
        <v>43100</v>
      </c>
      <c r="F209" s="69" t="s">
        <v>151</v>
      </c>
      <c r="G209" s="69" t="s">
        <v>152</v>
      </c>
      <c r="H209" s="69" t="s">
        <v>939</v>
      </c>
      <c r="I209" s="69" t="s">
        <v>196</v>
      </c>
      <c r="J209" s="70">
        <v>43101</v>
      </c>
      <c r="K209" s="69" t="s">
        <v>153</v>
      </c>
      <c r="L209" s="69"/>
      <c r="M209" s="174" t="s">
        <v>441</v>
      </c>
      <c r="N209" s="128" t="s">
        <v>438</v>
      </c>
      <c r="O209" s="69">
        <v>7</v>
      </c>
      <c r="P209" s="69">
        <v>2025</v>
      </c>
      <c r="Q209" s="115"/>
    </row>
    <row r="210" spans="1:17" ht="114.75">
      <c r="A210" s="68">
        <f t="shared" si="5"/>
        <v>209</v>
      </c>
      <c r="B210" s="69">
        <f t="shared" si="6"/>
        <v>2025</v>
      </c>
      <c r="C210" s="69" t="s">
        <v>154</v>
      </c>
      <c r="D210" s="71" t="s">
        <v>442</v>
      </c>
      <c r="E210" s="70">
        <v>45838</v>
      </c>
      <c r="F210" s="69" t="s">
        <v>215</v>
      </c>
      <c r="G210" s="69" t="s">
        <v>152</v>
      </c>
      <c r="H210" s="69" t="s">
        <v>940</v>
      </c>
      <c r="I210" s="69" t="s">
        <v>196</v>
      </c>
      <c r="J210" s="70">
        <v>45839</v>
      </c>
      <c r="K210" s="69" t="s">
        <v>160</v>
      </c>
      <c r="L210" s="69"/>
      <c r="M210" s="174" t="s">
        <v>442</v>
      </c>
      <c r="N210" s="128" t="s">
        <v>438</v>
      </c>
      <c r="O210" s="69">
        <v>7</v>
      </c>
      <c r="P210" s="69">
        <v>2025</v>
      </c>
      <c r="Q210" s="115"/>
    </row>
    <row r="211" spans="1:17" ht="114.75">
      <c r="A211" s="68">
        <f t="shared" si="5"/>
        <v>210</v>
      </c>
      <c r="B211" s="69">
        <f t="shared" si="6"/>
        <v>2023</v>
      </c>
      <c r="C211" s="69" t="s">
        <v>154</v>
      </c>
      <c r="D211" s="71" t="s">
        <v>601</v>
      </c>
      <c r="E211" s="70">
        <v>45212</v>
      </c>
      <c r="F211" s="69" t="s">
        <v>443</v>
      </c>
      <c r="G211" s="69" t="s">
        <v>152</v>
      </c>
      <c r="H211" s="69" t="s">
        <v>941</v>
      </c>
      <c r="I211" s="69" t="s">
        <v>361</v>
      </c>
      <c r="J211" s="70">
        <v>45212</v>
      </c>
      <c r="K211" s="69" t="s">
        <v>160</v>
      </c>
      <c r="L211" s="69"/>
      <c r="M211" s="174" t="s">
        <v>444</v>
      </c>
      <c r="N211" s="128" t="s">
        <v>438</v>
      </c>
      <c r="O211" s="69">
        <v>7</v>
      </c>
      <c r="P211" s="69">
        <v>2025</v>
      </c>
      <c r="Q211" s="115" t="s">
        <v>180</v>
      </c>
    </row>
    <row r="212" spans="1:17" ht="89.25">
      <c r="A212" s="68">
        <f t="shared" si="5"/>
        <v>211</v>
      </c>
      <c r="B212" s="69">
        <f t="shared" si="6"/>
        <v>2025</v>
      </c>
      <c r="C212" s="69" t="s">
        <v>150</v>
      </c>
      <c r="D212" s="71" t="s">
        <v>600</v>
      </c>
      <c r="E212" s="70">
        <v>45833</v>
      </c>
      <c r="F212" s="69" t="s">
        <v>383</v>
      </c>
      <c r="G212" s="69" t="s">
        <v>383</v>
      </c>
      <c r="H212" s="69" t="s">
        <v>942</v>
      </c>
      <c r="I212" s="69" t="s">
        <v>384</v>
      </c>
      <c r="J212" s="70">
        <v>45839</v>
      </c>
      <c r="K212" s="69" t="s">
        <v>160</v>
      </c>
      <c r="L212" s="69"/>
      <c r="M212" s="174" t="s">
        <v>600</v>
      </c>
      <c r="N212" s="128" t="s">
        <v>445</v>
      </c>
      <c r="O212" s="69">
        <v>7</v>
      </c>
      <c r="P212" s="69">
        <v>2025</v>
      </c>
      <c r="Q212" s="115"/>
    </row>
    <row r="213" spans="1:17" ht="89.25">
      <c r="A213" s="68">
        <f t="shared" si="5"/>
        <v>212</v>
      </c>
      <c r="B213" s="69">
        <f t="shared" si="6"/>
        <v>2025</v>
      </c>
      <c r="C213" s="69" t="s">
        <v>163</v>
      </c>
      <c r="D213" s="71" t="s">
        <v>599</v>
      </c>
      <c r="E213" s="70">
        <v>45839</v>
      </c>
      <c r="F213" s="69" t="s">
        <v>215</v>
      </c>
      <c r="G213" s="69" t="s">
        <v>152</v>
      </c>
      <c r="H213" s="69" t="s">
        <v>943</v>
      </c>
      <c r="I213" s="69" t="s">
        <v>196</v>
      </c>
      <c r="J213" s="70">
        <v>45884</v>
      </c>
      <c r="K213" s="69" t="s">
        <v>160</v>
      </c>
      <c r="L213" s="69"/>
      <c r="M213" s="174" t="s">
        <v>446</v>
      </c>
      <c r="N213" s="128" t="s">
        <v>184</v>
      </c>
      <c r="O213" s="69">
        <v>7</v>
      </c>
      <c r="P213" s="69">
        <v>2025</v>
      </c>
      <c r="Q213" s="115"/>
    </row>
    <row r="214" spans="1:17" ht="89.25">
      <c r="A214" s="68">
        <f t="shared" si="5"/>
        <v>213</v>
      </c>
      <c r="B214" s="69">
        <f t="shared" si="6"/>
        <v>2025</v>
      </c>
      <c r="C214" s="69" t="s">
        <v>165</v>
      </c>
      <c r="D214" s="71" t="s">
        <v>447</v>
      </c>
      <c r="E214" s="70">
        <v>45849</v>
      </c>
      <c r="F214" s="69" t="s">
        <v>215</v>
      </c>
      <c r="G214" s="69" t="s">
        <v>152</v>
      </c>
      <c r="H214" s="69" t="s">
        <v>944</v>
      </c>
      <c r="I214" s="69" t="s">
        <v>196</v>
      </c>
      <c r="J214" s="70">
        <v>45901</v>
      </c>
      <c r="K214" s="69" t="s">
        <v>160</v>
      </c>
      <c r="L214" s="69"/>
      <c r="M214" s="174" t="s">
        <v>447</v>
      </c>
      <c r="N214" s="128" t="s">
        <v>184</v>
      </c>
      <c r="O214" s="69">
        <v>7</v>
      </c>
      <c r="P214" s="69">
        <v>2025</v>
      </c>
      <c r="Q214" s="115"/>
    </row>
    <row r="215" spans="1:17" ht="89.25">
      <c r="A215" s="68">
        <f t="shared" si="5"/>
        <v>214</v>
      </c>
      <c r="B215" s="69">
        <f t="shared" si="6"/>
        <v>2013</v>
      </c>
      <c r="C215" s="69" t="s">
        <v>165</v>
      </c>
      <c r="D215" s="71" t="s">
        <v>448</v>
      </c>
      <c r="E215" s="70">
        <v>41595</v>
      </c>
      <c r="F215" s="69" t="s">
        <v>215</v>
      </c>
      <c r="G215" s="69" t="s">
        <v>152</v>
      </c>
      <c r="H215" s="69" t="s">
        <v>734</v>
      </c>
      <c r="I215" s="69" t="s">
        <v>196</v>
      </c>
      <c r="J215" s="70">
        <v>41640</v>
      </c>
      <c r="K215" s="78" t="s">
        <v>153</v>
      </c>
      <c r="L215" s="69"/>
      <c r="M215" s="174" t="s">
        <v>448</v>
      </c>
      <c r="N215" s="128" t="s">
        <v>184</v>
      </c>
      <c r="O215" s="69">
        <v>7</v>
      </c>
      <c r="P215" s="69">
        <v>2025</v>
      </c>
      <c r="Q215" s="115"/>
    </row>
    <row r="216" spans="1:17" ht="89.25">
      <c r="A216" s="68">
        <f t="shared" si="5"/>
        <v>215</v>
      </c>
      <c r="B216" s="69">
        <f t="shared" si="6"/>
        <v>2025</v>
      </c>
      <c r="C216" s="69" t="s">
        <v>163</v>
      </c>
      <c r="D216" s="71" t="s">
        <v>449</v>
      </c>
      <c r="E216" s="70">
        <v>45834</v>
      </c>
      <c r="F216" s="69" t="s">
        <v>383</v>
      </c>
      <c r="G216" s="69" t="s">
        <v>383</v>
      </c>
      <c r="H216" s="69" t="s">
        <v>945</v>
      </c>
      <c r="I216" s="69" t="s">
        <v>384</v>
      </c>
      <c r="J216" s="70">
        <v>46023</v>
      </c>
      <c r="K216" s="69" t="s">
        <v>160</v>
      </c>
      <c r="L216" s="69"/>
      <c r="M216" s="174" t="s">
        <v>449</v>
      </c>
      <c r="N216" s="128" t="s">
        <v>184</v>
      </c>
      <c r="O216" s="69">
        <v>7</v>
      </c>
      <c r="P216" s="69">
        <v>2025</v>
      </c>
      <c r="Q216" s="115"/>
    </row>
    <row r="217" spans="1:17" ht="89.25">
      <c r="A217" s="68">
        <f t="shared" si="5"/>
        <v>216</v>
      </c>
      <c r="B217" s="69">
        <f t="shared" si="6"/>
        <v>2025</v>
      </c>
      <c r="C217" s="69" t="s">
        <v>154</v>
      </c>
      <c r="D217" s="71" t="s">
        <v>450</v>
      </c>
      <c r="E217" s="70">
        <v>45838</v>
      </c>
      <c r="F217" s="69" t="s">
        <v>198</v>
      </c>
      <c r="G217" s="69" t="s">
        <v>158</v>
      </c>
      <c r="H217" s="69" t="s">
        <v>946</v>
      </c>
      <c r="I217" s="69" t="s">
        <v>361</v>
      </c>
      <c r="J217" s="70">
        <v>45839</v>
      </c>
      <c r="K217" s="69" t="s">
        <v>160</v>
      </c>
      <c r="L217" s="69"/>
      <c r="M217" s="174" t="s">
        <v>450</v>
      </c>
      <c r="N217" s="128" t="s">
        <v>184</v>
      </c>
      <c r="O217" s="69">
        <v>7</v>
      </c>
      <c r="P217" s="69">
        <v>2025</v>
      </c>
      <c r="Q217" s="115"/>
    </row>
    <row r="218" spans="1:17" ht="89.25">
      <c r="A218" s="68">
        <f t="shared" si="5"/>
        <v>217</v>
      </c>
      <c r="B218" s="69">
        <f t="shared" si="6"/>
        <v>2025</v>
      </c>
      <c r="C218" s="69" t="s">
        <v>154</v>
      </c>
      <c r="D218" s="71" t="s">
        <v>472</v>
      </c>
      <c r="E218" s="70">
        <v>45839</v>
      </c>
      <c r="F218" s="69" t="s">
        <v>215</v>
      </c>
      <c r="G218" s="69" t="s">
        <v>158</v>
      </c>
      <c r="H218" s="69" t="s">
        <v>947</v>
      </c>
      <c r="I218" s="69" t="s">
        <v>196</v>
      </c>
      <c r="J218" s="70">
        <v>45884</v>
      </c>
      <c r="K218" s="69" t="s">
        <v>160</v>
      </c>
      <c r="L218" s="69"/>
      <c r="M218" s="174" t="s">
        <v>451</v>
      </c>
      <c r="N218" s="128" t="s">
        <v>184</v>
      </c>
      <c r="O218" s="69">
        <v>7</v>
      </c>
      <c r="P218" s="69">
        <v>2025</v>
      </c>
      <c r="Q218" s="115"/>
    </row>
    <row r="219" spans="1:17" ht="89.25">
      <c r="A219" s="68">
        <f t="shared" si="5"/>
        <v>218</v>
      </c>
      <c r="B219" s="69">
        <f t="shared" si="6"/>
        <v>2025</v>
      </c>
      <c r="C219" s="69" t="s">
        <v>154</v>
      </c>
      <c r="D219" s="71" t="s">
        <v>598</v>
      </c>
      <c r="E219" s="70">
        <v>45824</v>
      </c>
      <c r="F219" s="69" t="s">
        <v>383</v>
      </c>
      <c r="G219" s="69" t="s">
        <v>383</v>
      </c>
      <c r="H219" s="69" t="s">
        <v>948</v>
      </c>
      <c r="I219" s="69" t="s">
        <v>384</v>
      </c>
      <c r="J219" s="70">
        <v>46023</v>
      </c>
      <c r="K219" s="69" t="s">
        <v>160</v>
      </c>
      <c r="L219" s="69"/>
      <c r="M219" s="174" t="s">
        <v>452</v>
      </c>
      <c r="N219" s="128" t="s">
        <v>184</v>
      </c>
      <c r="O219" s="69">
        <v>7</v>
      </c>
      <c r="P219" s="69">
        <v>2025</v>
      </c>
      <c r="Q219" s="115"/>
    </row>
    <row r="220" spans="1:17" ht="89.25">
      <c r="A220" s="68">
        <f t="shared" si="5"/>
        <v>219</v>
      </c>
      <c r="B220" s="69">
        <f t="shared" si="6"/>
        <v>2013</v>
      </c>
      <c r="C220" s="69" t="s">
        <v>154</v>
      </c>
      <c r="D220" s="71" t="s">
        <v>592</v>
      </c>
      <c r="E220" s="70">
        <v>41594</v>
      </c>
      <c r="F220" s="69" t="s">
        <v>383</v>
      </c>
      <c r="G220" s="69" t="s">
        <v>383</v>
      </c>
      <c r="H220" s="69" t="s">
        <v>949</v>
      </c>
      <c r="I220" s="69" t="s">
        <v>384</v>
      </c>
      <c r="J220" s="70">
        <v>42005</v>
      </c>
      <c r="K220" s="78" t="s">
        <v>153</v>
      </c>
      <c r="L220" s="69" t="s">
        <v>689</v>
      </c>
      <c r="M220" s="174" t="s">
        <v>453</v>
      </c>
      <c r="N220" s="128" t="s">
        <v>184</v>
      </c>
      <c r="O220" s="69">
        <v>7</v>
      </c>
      <c r="P220" s="69">
        <v>2025</v>
      </c>
      <c r="Q220" s="115"/>
    </row>
    <row r="221" spans="1:17" ht="89.25">
      <c r="A221" s="68">
        <f t="shared" si="5"/>
        <v>220</v>
      </c>
      <c r="B221" s="69">
        <f t="shared" si="6"/>
        <v>2025</v>
      </c>
      <c r="C221" s="69" t="s">
        <v>150</v>
      </c>
      <c r="D221" s="71" t="s">
        <v>589</v>
      </c>
      <c r="E221" s="70">
        <v>45839</v>
      </c>
      <c r="F221" s="69" t="s">
        <v>215</v>
      </c>
      <c r="G221" s="69" t="s">
        <v>158</v>
      </c>
      <c r="H221" s="69" t="s">
        <v>950</v>
      </c>
      <c r="I221" s="69" t="s">
        <v>196</v>
      </c>
      <c r="J221" s="70">
        <v>45839</v>
      </c>
      <c r="K221" s="69" t="s">
        <v>160</v>
      </c>
      <c r="L221" s="69"/>
      <c r="M221" s="174" t="s">
        <v>454</v>
      </c>
      <c r="N221" s="128" t="s">
        <v>184</v>
      </c>
      <c r="O221" s="69">
        <v>7</v>
      </c>
      <c r="P221" s="69">
        <v>2025</v>
      </c>
      <c r="Q221" s="115"/>
    </row>
    <row r="222" spans="1:17" ht="89.25">
      <c r="A222" s="68">
        <f t="shared" si="5"/>
        <v>221</v>
      </c>
      <c r="B222" s="69">
        <f t="shared" si="6"/>
        <v>2025</v>
      </c>
      <c r="C222" s="69" t="s">
        <v>150</v>
      </c>
      <c r="D222" s="69" t="s">
        <v>591</v>
      </c>
      <c r="E222" s="70">
        <v>45873</v>
      </c>
      <c r="F222" s="69" t="s">
        <v>215</v>
      </c>
      <c r="G222" s="69" t="s">
        <v>158</v>
      </c>
      <c r="H222" s="69" t="s">
        <v>951</v>
      </c>
      <c r="I222" s="69" t="s">
        <v>196</v>
      </c>
      <c r="J222" s="70">
        <v>45873</v>
      </c>
      <c r="K222" s="69" t="s">
        <v>160</v>
      </c>
      <c r="L222" s="69"/>
      <c r="M222" s="174" t="s">
        <v>455</v>
      </c>
      <c r="N222" s="128" t="s">
        <v>456</v>
      </c>
      <c r="O222" s="69">
        <v>8</v>
      </c>
      <c r="P222" s="69">
        <v>2025</v>
      </c>
      <c r="Q222" s="115"/>
    </row>
    <row r="223" spans="1:17" ht="89.25">
      <c r="A223" s="68">
        <f t="shared" si="5"/>
        <v>222</v>
      </c>
      <c r="B223" s="69">
        <f t="shared" si="6"/>
        <v>2024</v>
      </c>
      <c r="C223" s="69" t="s">
        <v>150</v>
      </c>
      <c r="D223" s="71" t="s">
        <v>321</v>
      </c>
      <c r="E223" s="70">
        <v>45349</v>
      </c>
      <c r="F223" s="69" t="s">
        <v>215</v>
      </c>
      <c r="G223" s="69" t="s">
        <v>158</v>
      </c>
      <c r="H223" s="69" t="s">
        <v>952</v>
      </c>
      <c r="I223" s="69" t="s">
        <v>196</v>
      </c>
      <c r="J223" s="70">
        <v>45349</v>
      </c>
      <c r="K223" s="69" t="s">
        <v>153</v>
      </c>
      <c r="L223" s="69"/>
      <c r="M223" s="174" t="s">
        <v>457</v>
      </c>
      <c r="N223" s="128" t="s">
        <v>456</v>
      </c>
      <c r="O223" s="69">
        <v>8</v>
      </c>
      <c r="P223" s="69">
        <v>2025</v>
      </c>
      <c r="Q223" s="115"/>
    </row>
    <row r="224" spans="1:17" ht="89.25">
      <c r="A224" s="68">
        <f t="shared" si="5"/>
        <v>223</v>
      </c>
      <c r="B224" s="69">
        <f t="shared" si="6"/>
        <v>2025</v>
      </c>
      <c r="C224" s="69" t="s">
        <v>154</v>
      </c>
      <c r="D224" s="71" t="s">
        <v>590</v>
      </c>
      <c r="E224" s="70">
        <v>45860</v>
      </c>
      <c r="F224" s="69" t="s">
        <v>151</v>
      </c>
      <c r="G224" s="69" t="s">
        <v>169</v>
      </c>
      <c r="H224" s="69" t="s">
        <v>799</v>
      </c>
      <c r="I224" s="69" t="s">
        <v>196</v>
      </c>
      <c r="J224" s="70">
        <v>45860</v>
      </c>
      <c r="K224" s="69" t="s">
        <v>160</v>
      </c>
      <c r="L224" s="69"/>
      <c r="M224" s="174" t="s">
        <v>458</v>
      </c>
      <c r="N224" s="128" t="s">
        <v>456</v>
      </c>
      <c r="O224" s="69">
        <v>8</v>
      </c>
      <c r="P224" s="69">
        <v>2025</v>
      </c>
      <c r="Q224" s="115"/>
    </row>
    <row r="225" spans="1:17" ht="89.25">
      <c r="A225" s="68">
        <f t="shared" si="5"/>
        <v>224</v>
      </c>
      <c r="B225" s="69">
        <f t="shared" si="6"/>
        <v>2025</v>
      </c>
      <c r="C225" s="69" t="s">
        <v>165</v>
      </c>
      <c r="D225" s="71" t="s">
        <v>588</v>
      </c>
      <c r="E225" s="70">
        <v>45868</v>
      </c>
      <c r="F225" s="69" t="s">
        <v>151</v>
      </c>
      <c r="G225" s="69" t="s">
        <v>195</v>
      </c>
      <c r="H225" s="69" t="s">
        <v>800</v>
      </c>
      <c r="I225" s="69" t="s">
        <v>196</v>
      </c>
      <c r="J225" s="70">
        <v>45868</v>
      </c>
      <c r="K225" s="69" t="s">
        <v>160</v>
      </c>
      <c r="L225" s="69"/>
      <c r="M225" s="174" t="s">
        <v>459</v>
      </c>
      <c r="N225" s="128" t="s">
        <v>456</v>
      </c>
      <c r="O225" s="69">
        <v>8</v>
      </c>
      <c r="P225" s="69">
        <v>2025</v>
      </c>
      <c r="Q225" s="115"/>
    </row>
    <row r="226" spans="1:17" ht="89.25">
      <c r="A226" s="68">
        <f t="shared" si="5"/>
        <v>225</v>
      </c>
      <c r="B226" s="69">
        <f t="shared" si="6"/>
        <v>2025</v>
      </c>
      <c r="C226" s="69" t="s">
        <v>154</v>
      </c>
      <c r="D226" s="69" t="s">
        <v>466</v>
      </c>
      <c r="E226" s="70">
        <v>45838</v>
      </c>
      <c r="F226" s="69" t="s">
        <v>151</v>
      </c>
      <c r="G226" s="69" t="s">
        <v>159</v>
      </c>
      <c r="H226" s="69" t="s">
        <v>801</v>
      </c>
      <c r="I226" s="69" t="s">
        <v>252</v>
      </c>
      <c r="J226" s="70">
        <v>45838</v>
      </c>
      <c r="K226" s="69" t="s">
        <v>160</v>
      </c>
      <c r="L226" s="69"/>
      <c r="M226" s="174" t="s">
        <v>460</v>
      </c>
      <c r="N226" s="128" t="s">
        <v>456</v>
      </c>
      <c r="O226" s="69">
        <v>8</v>
      </c>
      <c r="P226" s="69">
        <v>2025</v>
      </c>
      <c r="Q226" s="115"/>
    </row>
    <row r="227" spans="1:17" ht="89.25">
      <c r="A227" s="68">
        <f t="shared" si="5"/>
        <v>226</v>
      </c>
      <c r="B227" s="69">
        <f t="shared" si="6"/>
        <v>2025</v>
      </c>
      <c r="C227" s="69" t="s">
        <v>154</v>
      </c>
      <c r="D227" s="71" t="s">
        <v>461</v>
      </c>
      <c r="E227" s="70">
        <v>45867</v>
      </c>
      <c r="F227" s="69" t="s">
        <v>151</v>
      </c>
      <c r="G227" s="69" t="s">
        <v>152</v>
      </c>
      <c r="H227" s="69" t="s">
        <v>953</v>
      </c>
      <c r="I227" s="69" t="s">
        <v>398</v>
      </c>
      <c r="J227" s="70">
        <v>45839</v>
      </c>
      <c r="K227" s="69" t="s">
        <v>160</v>
      </c>
      <c r="L227" s="69"/>
      <c r="M227" s="174" t="s">
        <v>461</v>
      </c>
      <c r="N227" s="128" t="s">
        <v>456</v>
      </c>
      <c r="O227" s="69">
        <v>8</v>
      </c>
      <c r="P227" s="69">
        <v>2025</v>
      </c>
      <c r="Q227" s="115"/>
    </row>
    <row r="228" spans="1:17" ht="89.25">
      <c r="A228" s="68">
        <f t="shared" si="5"/>
        <v>227</v>
      </c>
      <c r="B228" s="69">
        <f t="shared" si="6"/>
        <v>2025</v>
      </c>
      <c r="C228" s="69" t="s">
        <v>154</v>
      </c>
      <c r="D228" s="71" t="s">
        <v>462</v>
      </c>
      <c r="E228" s="70">
        <v>45867</v>
      </c>
      <c r="F228" s="69" t="s">
        <v>151</v>
      </c>
      <c r="G228" s="69" t="s">
        <v>166</v>
      </c>
      <c r="H228" s="69" t="s">
        <v>802</v>
      </c>
      <c r="I228" s="69" t="s">
        <v>201</v>
      </c>
      <c r="J228" s="70">
        <v>45867</v>
      </c>
      <c r="K228" s="69" t="s">
        <v>160</v>
      </c>
      <c r="L228" s="69"/>
      <c r="M228" s="174" t="s">
        <v>462</v>
      </c>
      <c r="N228" s="128" t="s">
        <v>456</v>
      </c>
      <c r="O228" s="69">
        <v>8</v>
      </c>
      <c r="P228" s="69">
        <v>2025</v>
      </c>
      <c r="Q228" s="115"/>
    </row>
    <row r="229" spans="1:17" ht="89.25">
      <c r="A229" s="68">
        <f t="shared" si="5"/>
        <v>228</v>
      </c>
      <c r="B229" s="69">
        <f t="shared" si="6"/>
        <v>2025</v>
      </c>
      <c r="C229" s="69" t="s">
        <v>154</v>
      </c>
      <c r="D229" s="71" t="s">
        <v>463</v>
      </c>
      <c r="E229" s="70">
        <v>45873</v>
      </c>
      <c r="F229" s="69" t="s">
        <v>170</v>
      </c>
      <c r="G229" s="69" t="s">
        <v>170</v>
      </c>
      <c r="H229" s="69" t="s">
        <v>761</v>
      </c>
      <c r="I229" s="69" t="s">
        <v>201</v>
      </c>
      <c r="J229" s="70">
        <v>45868</v>
      </c>
      <c r="K229" s="69" t="s">
        <v>160</v>
      </c>
      <c r="L229" s="69"/>
      <c r="M229" s="174" t="s">
        <v>463</v>
      </c>
      <c r="N229" s="128" t="s">
        <v>456</v>
      </c>
      <c r="O229" s="69">
        <v>8</v>
      </c>
      <c r="P229" s="69">
        <v>2025</v>
      </c>
      <c r="Q229" s="115"/>
    </row>
    <row r="230" spans="1:17" ht="89.25">
      <c r="A230" s="68">
        <f t="shared" si="5"/>
        <v>229</v>
      </c>
      <c r="B230" s="69">
        <f t="shared" si="6"/>
        <v>2025</v>
      </c>
      <c r="C230" s="69" t="s">
        <v>154</v>
      </c>
      <c r="D230" s="71" t="s">
        <v>464</v>
      </c>
      <c r="E230" s="70">
        <v>45876</v>
      </c>
      <c r="F230" s="69" t="s">
        <v>215</v>
      </c>
      <c r="G230" s="69" t="s">
        <v>215</v>
      </c>
      <c r="H230" s="69" t="s">
        <v>954</v>
      </c>
      <c r="I230" s="69" t="s">
        <v>196</v>
      </c>
      <c r="J230" s="70">
        <v>45876</v>
      </c>
      <c r="K230" s="69" t="s">
        <v>160</v>
      </c>
      <c r="L230" s="69"/>
      <c r="M230" s="174" t="s">
        <v>464</v>
      </c>
      <c r="N230" s="128" t="s">
        <v>456</v>
      </c>
      <c r="O230" s="69">
        <v>8</v>
      </c>
      <c r="P230" s="69">
        <v>2025</v>
      </c>
      <c r="Q230" s="115"/>
    </row>
    <row r="231" spans="1:17" ht="89.25">
      <c r="A231" s="68">
        <f t="shared" si="5"/>
        <v>230</v>
      </c>
      <c r="B231" s="69">
        <f t="shared" si="6"/>
        <v>2025</v>
      </c>
      <c r="C231" s="69" t="s">
        <v>155</v>
      </c>
      <c r="D231" s="71" t="s">
        <v>465</v>
      </c>
      <c r="E231" s="70">
        <v>45877</v>
      </c>
      <c r="F231" s="69" t="s">
        <v>215</v>
      </c>
      <c r="G231" s="69" t="s">
        <v>215</v>
      </c>
      <c r="H231" s="69" t="s">
        <v>955</v>
      </c>
      <c r="I231" s="69" t="s">
        <v>196</v>
      </c>
      <c r="J231" s="70">
        <v>45925</v>
      </c>
      <c r="K231" s="69" t="s">
        <v>160</v>
      </c>
      <c r="L231" s="69"/>
      <c r="M231" s="174" t="s">
        <v>465</v>
      </c>
      <c r="N231" s="128" t="s">
        <v>456</v>
      </c>
      <c r="O231" s="69">
        <v>8</v>
      </c>
      <c r="P231" s="69">
        <v>2025</v>
      </c>
      <c r="Q231" s="115"/>
    </row>
    <row r="232" spans="1:17" ht="89.25">
      <c r="A232" s="68">
        <f t="shared" si="5"/>
        <v>231</v>
      </c>
      <c r="B232" s="69">
        <f t="shared" si="6"/>
        <v>2025</v>
      </c>
      <c r="C232" s="69" t="s">
        <v>150</v>
      </c>
      <c r="D232" s="71" t="s">
        <v>467</v>
      </c>
      <c r="E232" s="70">
        <v>45876</v>
      </c>
      <c r="F232" s="69" t="s">
        <v>151</v>
      </c>
      <c r="G232" s="69" t="s">
        <v>151</v>
      </c>
      <c r="H232" s="69" t="s">
        <v>956</v>
      </c>
      <c r="I232" s="69" t="s">
        <v>364</v>
      </c>
      <c r="J232" s="70">
        <v>45876</v>
      </c>
      <c r="K232" s="69" t="s">
        <v>160</v>
      </c>
      <c r="L232" s="69"/>
      <c r="M232" s="174" t="s">
        <v>467</v>
      </c>
      <c r="N232" s="128" t="s">
        <v>456</v>
      </c>
      <c r="O232" s="69">
        <v>8</v>
      </c>
      <c r="P232" s="69">
        <v>2025</v>
      </c>
      <c r="Q232" s="115"/>
    </row>
    <row r="233" spans="1:17" ht="102">
      <c r="A233" s="68">
        <f t="shared" si="5"/>
        <v>232</v>
      </c>
      <c r="B233" s="69">
        <v>2025</v>
      </c>
      <c r="C233" s="69" t="s">
        <v>154</v>
      </c>
      <c r="D233" s="71" t="s">
        <v>468</v>
      </c>
      <c r="E233" s="70">
        <v>45874</v>
      </c>
      <c r="F233" s="69" t="s">
        <v>198</v>
      </c>
      <c r="G233" s="69" t="s">
        <v>198</v>
      </c>
      <c r="H233" s="69" t="s">
        <v>957</v>
      </c>
      <c r="I233" s="69" t="s">
        <v>361</v>
      </c>
      <c r="J233" s="70">
        <v>45874</v>
      </c>
      <c r="K233" s="69" t="s">
        <v>160</v>
      </c>
      <c r="L233" s="69"/>
      <c r="M233" s="174" t="s">
        <v>468</v>
      </c>
      <c r="N233" s="128" t="s">
        <v>456</v>
      </c>
      <c r="O233" s="69">
        <v>8</v>
      </c>
      <c r="P233" s="69">
        <v>2025</v>
      </c>
      <c r="Q233" s="115"/>
    </row>
    <row r="234" spans="1:17" ht="89.25">
      <c r="A234" s="68">
        <f t="shared" si="5"/>
        <v>233</v>
      </c>
      <c r="B234" s="69">
        <v>2025</v>
      </c>
      <c r="C234" s="69" t="s">
        <v>154</v>
      </c>
      <c r="D234" s="71" t="s">
        <v>478</v>
      </c>
      <c r="E234" s="70">
        <v>45876</v>
      </c>
      <c r="F234" s="69" t="s">
        <v>151</v>
      </c>
      <c r="G234" s="69"/>
      <c r="H234" s="69" t="s">
        <v>587</v>
      </c>
      <c r="I234" s="69" t="s">
        <v>201</v>
      </c>
      <c r="J234" s="70">
        <v>45839</v>
      </c>
      <c r="K234" s="69" t="s">
        <v>160</v>
      </c>
      <c r="L234" s="69"/>
      <c r="M234" s="174" t="s">
        <v>469</v>
      </c>
      <c r="N234" s="128" t="s">
        <v>456</v>
      </c>
      <c r="O234" s="69">
        <v>8</v>
      </c>
      <c r="P234" s="69">
        <v>2025</v>
      </c>
      <c r="Q234" s="115"/>
    </row>
    <row r="235" spans="1:17" ht="89.25">
      <c r="A235" s="68">
        <f t="shared" si="5"/>
        <v>234</v>
      </c>
      <c r="B235" s="69">
        <v>2025</v>
      </c>
      <c r="C235" s="69" t="s">
        <v>353</v>
      </c>
      <c r="D235" s="71" t="s">
        <v>470</v>
      </c>
      <c r="E235" s="70">
        <v>45877</v>
      </c>
      <c r="F235" s="69" t="s">
        <v>206</v>
      </c>
      <c r="G235" s="69"/>
      <c r="H235" s="69" t="s">
        <v>958</v>
      </c>
      <c r="I235" s="69" t="s">
        <v>233</v>
      </c>
      <c r="J235" s="70">
        <v>45877</v>
      </c>
      <c r="K235" s="69" t="s">
        <v>160</v>
      </c>
      <c r="L235" s="69"/>
      <c r="M235" s="174" t="s">
        <v>471</v>
      </c>
      <c r="N235" s="128" t="s">
        <v>456</v>
      </c>
      <c r="O235" s="69">
        <v>8</v>
      </c>
      <c r="P235" s="69">
        <v>2025</v>
      </c>
      <c r="Q235" s="115"/>
    </row>
    <row r="236" spans="1:17" ht="89.25">
      <c r="A236" s="68">
        <f t="shared" si="5"/>
        <v>235</v>
      </c>
      <c r="B236" s="69">
        <v>2025</v>
      </c>
      <c r="C236" s="69" t="s">
        <v>150</v>
      </c>
      <c r="D236" s="71" t="s">
        <v>597</v>
      </c>
      <c r="E236" s="70">
        <v>45841</v>
      </c>
      <c r="F236" s="69" t="s">
        <v>443</v>
      </c>
      <c r="G236" s="69"/>
      <c r="H236" s="69" t="s">
        <v>474</v>
      </c>
      <c r="I236" s="69" t="s">
        <v>273</v>
      </c>
      <c r="J236" s="70">
        <v>45841</v>
      </c>
      <c r="K236" s="69" t="s">
        <v>160</v>
      </c>
      <c r="L236" s="69"/>
      <c r="M236" s="174" t="s">
        <v>473</v>
      </c>
      <c r="N236" s="128" t="s">
        <v>456</v>
      </c>
      <c r="O236" s="69">
        <v>8</v>
      </c>
      <c r="P236" s="69">
        <v>2025</v>
      </c>
      <c r="Q236" s="115"/>
    </row>
    <row r="237" spans="1:17" ht="89.25">
      <c r="A237" s="68">
        <f t="shared" si="5"/>
        <v>236</v>
      </c>
      <c r="B237" s="69">
        <v>2025</v>
      </c>
      <c r="C237" s="69" t="s">
        <v>155</v>
      </c>
      <c r="D237" s="71" t="s">
        <v>475</v>
      </c>
      <c r="E237" s="70">
        <v>45881</v>
      </c>
      <c r="F237" s="69" t="s">
        <v>151</v>
      </c>
      <c r="G237" s="69"/>
      <c r="H237" s="69" t="s">
        <v>803</v>
      </c>
      <c r="I237" s="69" t="s">
        <v>252</v>
      </c>
      <c r="J237" s="70">
        <v>45881</v>
      </c>
      <c r="K237" s="69" t="s">
        <v>160</v>
      </c>
      <c r="L237" s="69"/>
      <c r="M237" s="174" t="s">
        <v>475</v>
      </c>
      <c r="N237" s="128" t="s">
        <v>456</v>
      </c>
      <c r="O237" s="69">
        <v>8</v>
      </c>
      <c r="P237" s="69">
        <v>2025</v>
      </c>
      <c r="Q237" s="115"/>
    </row>
    <row r="238" spans="1:17" ht="89.25">
      <c r="A238" s="68">
        <f t="shared" si="5"/>
        <v>237</v>
      </c>
      <c r="B238" s="69">
        <v>2025</v>
      </c>
      <c r="C238" s="69" t="s">
        <v>156</v>
      </c>
      <c r="D238" s="71" t="s">
        <v>476</v>
      </c>
      <c r="E238" s="70">
        <v>45883</v>
      </c>
      <c r="F238" s="69" t="s">
        <v>151</v>
      </c>
      <c r="G238" s="69"/>
      <c r="H238" s="69" t="s">
        <v>804</v>
      </c>
      <c r="I238" s="69" t="s">
        <v>477</v>
      </c>
      <c r="J238" s="70">
        <v>45883</v>
      </c>
      <c r="K238" s="69" t="s">
        <v>160</v>
      </c>
      <c r="L238" s="69"/>
      <c r="M238" s="174" t="s">
        <v>476</v>
      </c>
      <c r="N238" s="128" t="s">
        <v>456</v>
      </c>
      <c r="O238" s="69">
        <v>8</v>
      </c>
      <c r="P238" s="69">
        <v>2025</v>
      </c>
      <c r="Q238" s="115"/>
    </row>
    <row r="239" spans="1:17" ht="89.25">
      <c r="A239" s="68">
        <f t="shared" si="5"/>
        <v>238</v>
      </c>
      <c r="B239" s="69">
        <v>2025</v>
      </c>
      <c r="C239" s="69" t="s">
        <v>155</v>
      </c>
      <c r="D239" s="71" t="s">
        <v>479</v>
      </c>
      <c r="E239" s="70">
        <v>45889</v>
      </c>
      <c r="F239" s="69" t="s">
        <v>151</v>
      </c>
      <c r="G239" s="69"/>
      <c r="H239" s="69" t="s">
        <v>805</v>
      </c>
      <c r="I239" s="69" t="s">
        <v>252</v>
      </c>
      <c r="J239" s="70">
        <v>45889</v>
      </c>
      <c r="K239" s="69" t="s">
        <v>160</v>
      </c>
      <c r="L239" s="69"/>
      <c r="M239" s="174" t="s">
        <v>479</v>
      </c>
      <c r="N239" s="128" t="s">
        <v>456</v>
      </c>
      <c r="O239" s="69">
        <v>8</v>
      </c>
      <c r="P239" s="69">
        <v>2025</v>
      </c>
      <c r="Q239" s="115"/>
    </row>
    <row r="240" spans="1:17" ht="89.25">
      <c r="A240" s="68">
        <f t="shared" si="5"/>
        <v>239</v>
      </c>
      <c r="B240" s="69">
        <v>2025</v>
      </c>
      <c r="C240" s="69" t="s">
        <v>150</v>
      </c>
      <c r="D240" s="71" t="s">
        <v>480</v>
      </c>
      <c r="E240" s="70">
        <v>45890</v>
      </c>
      <c r="F240" s="69" t="s">
        <v>313</v>
      </c>
      <c r="G240" s="69"/>
      <c r="H240" s="69" t="s">
        <v>959</v>
      </c>
      <c r="I240" s="69" t="s">
        <v>196</v>
      </c>
      <c r="J240" s="70">
        <v>45890</v>
      </c>
      <c r="K240" s="69" t="s">
        <v>160</v>
      </c>
      <c r="L240" s="69"/>
      <c r="M240" s="174" t="s">
        <v>480</v>
      </c>
      <c r="N240" s="128" t="s">
        <v>456</v>
      </c>
      <c r="O240" s="69">
        <v>8</v>
      </c>
      <c r="P240" s="69">
        <v>2025</v>
      </c>
      <c r="Q240" s="115"/>
    </row>
    <row r="241" spans="1:17" ht="89.25">
      <c r="A241" s="68">
        <f t="shared" si="5"/>
        <v>240</v>
      </c>
      <c r="B241" s="69">
        <v>2025</v>
      </c>
      <c r="C241" s="69" t="s">
        <v>165</v>
      </c>
      <c r="D241" s="71" t="s">
        <v>595</v>
      </c>
      <c r="E241" s="70">
        <v>45882</v>
      </c>
      <c r="F241" s="69" t="s">
        <v>170</v>
      </c>
      <c r="G241" s="69"/>
      <c r="H241" s="69" t="s">
        <v>762</v>
      </c>
      <c r="I241" s="69" t="s">
        <v>252</v>
      </c>
      <c r="J241" s="70">
        <v>45882</v>
      </c>
      <c r="K241" s="69" t="s">
        <v>160</v>
      </c>
      <c r="L241" s="69"/>
      <c r="M241" s="174" t="s">
        <v>481</v>
      </c>
      <c r="N241" s="128" t="s">
        <v>456</v>
      </c>
      <c r="O241" s="69">
        <v>8</v>
      </c>
      <c r="P241" s="69">
        <v>2025</v>
      </c>
      <c r="Q241" s="115"/>
    </row>
    <row r="242" spans="1:17" ht="89.25">
      <c r="A242" s="68">
        <f t="shared" si="5"/>
        <v>241</v>
      </c>
      <c r="B242" s="69">
        <v>2025</v>
      </c>
      <c r="C242" s="69" t="s">
        <v>168</v>
      </c>
      <c r="D242" s="71" t="s">
        <v>596</v>
      </c>
      <c r="E242" s="70">
        <v>45877</v>
      </c>
      <c r="F242" s="69" t="s">
        <v>170</v>
      </c>
      <c r="G242" s="69"/>
      <c r="H242" s="69" t="s">
        <v>763</v>
      </c>
      <c r="I242" s="69" t="s">
        <v>252</v>
      </c>
      <c r="J242" s="70">
        <v>45877</v>
      </c>
      <c r="K242" s="69" t="s">
        <v>160</v>
      </c>
      <c r="L242" s="69"/>
      <c r="M242" s="174" t="s">
        <v>482</v>
      </c>
      <c r="N242" s="128" t="s">
        <v>456</v>
      </c>
      <c r="O242" s="69">
        <v>8</v>
      </c>
      <c r="P242" s="69">
        <v>2025</v>
      </c>
      <c r="Q242" s="115"/>
    </row>
    <row r="243" spans="1:17" ht="89.25">
      <c r="A243" s="68">
        <f t="shared" si="5"/>
        <v>242</v>
      </c>
      <c r="B243" s="69">
        <v>2025</v>
      </c>
      <c r="C243" s="69" t="s">
        <v>154</v>
      </c>
      <c r="D243" s="71" t="s">
        <v>483</v>
      </c>
      <c r="E243" s="70">
        <v>45880</v>
      </c>
      <c r="F243" s="69" t="s">
        <v>170</v>
      </c>
      <c r="G243" s="69"/>
      <c r="H243" s="69" t="s">
        <v>764</v>
      </c>
      <c r="I243" s="69" t="s">
        <v>201</v>
      </c>
      <c r="J243" s="70">
        <v>45880</v>
      </c>
      <c r="K243" s="69" t="s">
        <v>160</v>
      </c>
      <c r="L243" s="69"/>
      <c r="M243" s="174" t="s">
        <v>483</v>
      </c>
      <c r="N243" s="128" t="s">
        <v>456</v>
      </c>
      <c r="O243" s="69">
        <v>8</v>
      </c>
      <c r="P243" s="69">
        <v>2025</v>
      </c>
      <c r="Q243" s="115"/>
    </row>
    <row r="244" spans="1:17" ht="89.25">
      <c r="A244" s="68">
        <f t="shared" si="5"/>
        <v>243</v>
      </c>
      <c r="B244" s="69">
        <v>2025</v>
      </c>
      <c r="C244" s="69" t="s">
        <v>155</v>
      </c>
      <c r="D244" s="71" t="s">
        <v>484</v>
      </c>
      <c r="E244" s="70">
        <v>45895</v>
      </c>
      <c r="F244" s="69" t="s">
        <v>151</v>
      </c>
      <c r="G244" s="69"/>
      <c r="H244" s="69" t="s">
        <v>586</v>
      </c>
      <c r="I244" s="69" t="s">
        <v>196</v>
      </c>
      <c r="J244" s="70">
        <v>45895</v>
      </c>
      <c r="K244" s="69" t="s">
        <v>160</v>
      </c>
      <c r="L244" s="69"/>
      <c r="M244" s="174" t="s">
        <v>484</v>
      </c>
      <c r="N244" s="128" t="s">
        <v>185</v>
      </c>
      <c r="O244" s="69">
        <v>9</v>
      </c>
      <c r="P244" s="69">
        <v>2025</v>
      </c>
      <c r="Q244" s="115"/>
    </row>
    <row r="245" spans="1:17" ht="89.25">
      <c r="A245" s="68">
        <f t="shared" si="5"/>
        <v>244</v>
      </c>
      <c r="B245" s="69">
        <v>2025</v>
      </c>
      <c r="C245" s="69" t="s">
        <v>155</v>
      </c>
      <c r="D245" s="71" t="s">
        <v>485</v>
      </c>
      <c r="E245" s="70">
        <v>45891</v>
      </c>
      <c r="F245" s="69" t="s">
        <v>172</v>
      </c>
      <c r="G245" s="69"/>
      <c r="H245" s="69" t="s">
        <v>960</v>
      </c>
      <c r="I245" s="69" t="s">
        <v>486</v>
      </c>
      <c r="J245" s="70">
        <v>45891</v>
      </c>
      <c r="K245" s="69" t="s">
        <v>160</v>
      </c>
      <c r="L245" s="69"/>
      <c r="M245" s="174" t="s">
        <v>485</v>
      </c>
      <c r="N245" s="128" t="s">
        <v>185</v>
      </c>
      <c r="O245" s="69">
        <v>9</v>
      </c>
      <c r="P245" s="69">
        <v>2025</v>
      </c>
      <c r="Q245" s="115"/>
    </row>
    <row r="246" spans="1:17" ht="89.25">
      <c r="A246" s="68">
        <f t="shared" si="5"/>
        <v>245</v>
      </c>
      <c r="B246" s="69">
        <v>2025</v>
      </c>
      <c r="C246" s="69" t="s">
        <v>165</v>
      </c>
      <c r="D246" s="71" t="s">
        <v>487</v>
      </c>
      <c r="E246" s="70">
        <v>45891</v>
      </c>
      <c r="F246" s="69" t="s">
        <v>488</v>
      </c>
      <c r="G246" s="69"/>
      <c r="H246" s="69" t="s">
        <v>961</v>
      </c>
      <c r="I246" s="69" t="s">
        <v>233</v>
      </c>
      <c r="J246" s="70">
        <v>45891</v>
      </c>
      <c r="K246" s="69" t="s">
        <v>160</v>
      </c>
      <c r="L246" s="69"/>
      <c r="M246" s="174" t="s">
        <v>487</v>
      </c>
      <c r="N246" s="128" t="s">
        <v>185</v>
      </c>
      <c r="O246" s="69">
        <v>9</v>
      </c>
      <c r="P246" s="69">
        <v>2025</v>
      </c>
      <c r="Q246" s="115"/>
    </row>
    <row r="247" spans="1:17" ht="89.25">
      <c r="A247" s="68">
        <f t="shared" si="5"/>
        <v>246</v>
      </c>
      <c r="B247" s="69">
        <v>2025</v>
      </c>
      <c r="C247" s="69" t="s">
        <v>150</v>
      </c>
      <c r="D247" s="71" t="s">
        <v>489</v>
      </c>
      <c r="E247" s="70">
        <v>45898</v>
      </c>
      <c r="F247" s="69" t="s">
        <v>198</v>
      </c>
      <c r="G247" s="69"/>
      <c r="H247" s="69" t="s">
        <v>962</v>
      </c>
      <c r="I247" s="69" t="s">
        <v>273</v>
      </c>
      <c r="J247" s="70">
        <v>45945</v>
      </c>
      <c r="K247" s="69" t="s">
        <v>160</v>
      </c>
      <c r="L247" s="69"/>
      <c r="M247" s="174" t="s">
        <v>489</v>
      </c>
      <c r="N247" s="128" t="s">
        <v>185</v>
      </c>
      <c r="O247" s="69">
        <v>9</v>
      </c>
      <c r="P247" s="69">
        <v>2025</v>
      </c>
      <c r="Q247" s="115"/>
    </row>
    <row r="248" spans="1:17" ht="89.25">
      <c r="A248" s="68">
        <f t="shared" si="5"/>
        <v>247</v>
      </c>
      <c r="B248" s="69">
        <v>2025</v>
      </c>
      <c r="C248" s="69" t="s">
        <v>161</v>
      </c>
      <c r="D248" s="71" t="s">
        <v>490</v>
      </c>
      <c r="E248" s="70">
        <v>45897</v>
      </c>
      <c r="F248" s="69" t="s">
        <v>151</v>
      </c>
      <c r="G248" s="69"/>
      <c r="H248" s="69" t="s">
        <v>963</v>
      </c>
      <c r="I248" s="69" t="s">
        <v>196</v>
      </c>
      <c r="J248" s="70">
        <v>45897</v>
      </c>
      <c r="K248" s="69" t="s">
        <v>160</v>
      </c>
      <c r="L248" s="69"/>
      <c r="M248" s="174" t="s">
        <v>490</v>
      </c>
      <c r="N248" s="128" t="s">
        <v>185</v>
      </c>
      <c r="O248" s="69">
        <v>9</v>
      </c>
      <c r="P248" s="69">
        <v>2025</v>
      </c>
      <c r="Q248" s="115"/>
    </row>
    <row r="249" spans="1:17" ht="89.25">
      <c r="A249" s="68">
        <f t="shared" si="5"/>
        <v>248</v>
      </c>
      <c r="B249" s="69">
        <v>2025</v>
      </c>
      <c r="C249" s="69" t="s">
        <v>150</v>
      </c>
      <c r="D249" s="71" t="s">
        <v>491</v>
      </c>
      <c r="E249" s="70">
        <v>45898</v>
      </c>
      <c r="F249" s="69" t="s">
        <v>215</v>
      </c>
      <c r="G249" s="69"/>
      <c r="H249" s="69" t="s">
        <v>964</v>
      </c>
      <c r="I249" s="69" t="s">
        <v>196</v>
      </c>
      <c r="J249" s="70">
        <v>45898</v>
      </c>
      <c r="K249" s="69" t="s">
        <v>160</v>
      </c>
      <c r="L249" s="69"/>
      <c r="M249" s="174" t="s">
        <v>491</v>
      </c>
      <c r="N249" s="128" t="s">
        <v>185</v>
      </c>
      <c r="O249" s="69">
        <v>9</v>
      </c>
      <c r="P249" s="69">
        <v>2025</v>
      </c>
      <c r="Q249" s="115"/>
    </row>
    <row r="250" spans="1:17" ht="89.25">
      <c r="A250" s="68">
        <f t="shared" si="5"/>
        <v>249</v>
      </c>
      <c r="B250" s="69">
        <v>2025</v>
      </c>
      <c r="C250" s="69" t="s">
        <v>168</v>
      </c>
      <c r="D250" s="71" t="s">
        <v>492</v>
      </c>
      <c r="E250" s="70">
        <v>45891</v>
      </c>
      <c r="F250" s="69" t="s">
        <v>206</v>
      </c>
      <c r="G250" s="69"/>
      <c r="H250" s="69" t="s">
        <v>585</v>
      </c>
      <c r="I250" s="69" t="s">
        <v>493</v>
      </c>
      <c r="J250" s="70">
        <v>45891</v>
      </c>
      <c r="K250" s="69" t="s">
        <v>160</v>
      </c>
      <c r="L250" s="69"/>
      <c r="M250" s="174" t="s">
        <v>492</v>
      </c>
      <c r="N250" s="128" t="s">
        <v>185</v>
      </c>
      <c r="O250" s="69">
        <v>9</v>
      </c>
      <c r="P250" s="69">
        <v>2025</v>
      </c>
      <c r="Q250" s="115"/>
    </row>
    <row r="251" spans="1:17" ht="89.25">
      <c r="A251" s="68">
        <f t="shared" si="5"/>
        <v>250</v>
      </c>
      <c r="B251" s="69">
        <v>2025</v>
      </c>
      <c r="C251" s="69" t="s">
        <v>155</v>
      </c>
      <c r="D251" s="71" t="s">
        <v>494</v>
      </c>
      <c r="E251" s="70">
        <v>45903</v>
      </c>
      <c r="F251" s="69" t="s">
        <v>215</v>
      </c>
      <c r="G251" s="69"/>
      <c r="H251" s="69" t="s">
        <v>965</v>
      </c>
      <c r="I251" s="69" t="s">
        <v>196</v>
      </c>
      <c r="J251" s="70">
        <v>45903</v>
      </c>
      <c r="K251" s="69" t="s">
        <v>160</v>
      </c>
      <c r="L251" s="69"/>
      <c r="M251" s="174" t="s">
        <v>494</v>
      </c>
      <c r="N251" s="128" t="s">
        <v>185</v>
      </c>
      <c r="O251" s="69">
        <v>9</v>
      </c>
      <c r="P251" s="69">
        <v>2025</v>
      </c>
      <c r="Q251" s="115"/>
    </row>
    <row r="252" spans="1:17" ht="89.25">
      <c r="A252" s="68">
        <f t="shared" si="5"/>
        <v>251</v>
      </c>
      <c r="B252" s="69">
        <v>2025</v>
      </c>
      <c r="C252" s="69" t="s">
        <v>154</v>
      </c>
      <c r="D252" s="71" t="s">
        <v>495</v>
      </c>
      <c r="E252" s="70">
        <v>45898</v>
      </c>
      <c r="F252" s="69" t="s">
        <v>152</v>
      </c>
      <c r="G252" s="69"/>
      <c r="H252" s="79" t="s">
        <v>584</v>
      </c>
      <c r="I252" s="69" t="s">
        <v>233</v>
      </c>
      <c r="J252" s="70">
        <v>45898</v>
      </c>
      <c r="K252" s="69" t="s">
        <v>160</v>
      </c>
      <c r="L252" s="69"/>
      <c r="M252" s="174" t="s">
        <v>495</v>
      </c>
      <c r="N252" s="128" t="s">
        <v>185</v>
      </c>
      <c r="O252" s="69">
        <v>9</v>
      </c>
      <c r="P252" s="69">
        <v>2025</v>
      </c>
      <c r="Q252" s="115"/>
    </row>
    <row r="253" spans="1:17" ht="89.25">
      <c r="A253" s="68">
        <f t="shared" si="5"/>
        <v>252</v>
      </c>
      <c r="B253" s="69">
        <v>2025</v>
      </c>
      <c r="C253" s="69" t="s">
        <v>154</v>
      </c>
      <c r="D253" s="71" t="s">
        <v>594</v>
      </c>
      <c r="E253" s="70">
        <v>45899</v>
      </c>
      <c r="F253" s="69" t="s">
        <v>151</v>
      </c>
      <c r="G253" s="69"/>
      <c r="H253" s="79" t="s">
        <v>806</v>
      </c>
      <c r="I253" s="69" t="s">
        <v>196</v>
      </c>
      <c r="J253" s="70">
        <v>45945</v>
      </c>
      <c r="K253" s="69" t="s">
        <v>160</v>
      </c>
      <c r="L253" s="69"/>
      <c r="M253" s="174" t="s">
        <v>496</v>
      </c>
      <c r="N253" s="128" t="s">
        <v>185</v>
      </c>
      <c r="O253" s="69">
        <v>9</v>
      </c>
      <c r="P253" s="69">
        <v>2025</v>
      </c>
      <c r="Q253" s="115"/>
    </row>
    <row r="254" spans="1:17" ht="89.25">
      <c r="A254" s="68">
        <f t="shared" si="5"/>
        <v>253</v>
      </c>
      <c r="B254" s="69">
        <v>2025</v>
      </c>
      <c r="C254" s="69" t="s">
        <v>150</v>
      </c>
      <c r="D254" s="71" t="s">
        <v>497</v>
      </c>
      <c r="E254" s="70">
        <v>45903</v>
      </c>
      <c r="F254" s="69" t="s">
        <v>215</v>
      </c>
      <c r="G254" s="69"/>
      <c r="H254" s="79" t="s">
        <v>966</v>
      </c>
      <c r="I254" s="69" t="s">
        <v>196</v>
      </c>
      <c r="J254" s="70">
        <v>45903</v>
      </c>
      <c r="K254" s="69" t="s">
        <v>160</v>
      </c>
      <c r="L254" s="69"/>
      <c r="M254" s="174" t="s">
        <v>497</v>
      </c>
      <c r="N254" s="128" t="s">
        <v>185</v>
      </c>
      <c r="O254" s="69">
        <v>9</v>
      </c>
      <c r="P254" s="69">
        <v>2025</v>
      </c>
      <c r="Q254" s="115"/>
    </row>
    <row r="255" spans="1:17" ht="89.25">
      <c r="A255" s="68">
        <f t="shared" si="5"/>
        <v>254</v>
      </c>
      <c r="B255" s="69">
        <v>2025</v>
      </c>
      <c r="C255" s="69" t="s">
        <v>155</v>
      </c>
      <c r="D255" s="71" t="s">
        <v>498</v>
      </c>
      <c r="E255" s="70">
        <v>45908</v>
      </c>
      <c r="F255" s="69" t="s">
        <v>198</v>
      </c>
      <c r="G255" s="69"/>
      <c r="H255" s="79" t="s">
        <v>967</v>
      </c>
      <c r="I255" s="69" t="s">
        <v>252</v>
      </c>
      <c r="J255" s="70">
        <v>45942</v>
      </c>
      <c r="K255" s="69" t="s">
        <v>160</v>
      </c>
      <c r="L255" s="69"/>
      <c r="M255" s="174" t="s">
        <v>498</v>
      </c>
      <c r="N255" s="128" t="s">
        <v>185</v>
      </c>
      <c r="O255" s="69">
        <v>9</v>
      </c>
      <c r="P255" s="69">
        <v>2025</v>
      </c>
      <c r="Q255" s="115"/>
    </row>
    <row r="256" spans="1:17" ht="89.25">
      <c r="A256" s="68">
        <f t="shared" si="5"/>
        <v>255</v>
      </c>
      <c r="B256" s="69">
        <v>2025</v>
      </c>
      <c r="C256" s="69" t="s">
        <v>150</v>
      </c>
      <c r="D256" s="71" t="s">
        <v>499</v>
      </c>
      <c r="E256" s="70">
        <v>45903</v>
      </c>
      <c r="F256" s="69" t="s">
        <v>151</v>
      </c>
      <c r="G256" s="69"/>
      <c r="H256" s="79" t="s">
        <v>968</v>
      </c>
      <c r="I256" s="69" t="s">
        <v>196</v>
      </c>
      <c r="J256" s="70">
        <v>45903</v>
      </c>
      <c r="K256" s="69" t="s">
        <v>160</v>
      </c>
      <c r="L256" s="69"/>
      <c r="M256" s="174" t="s">
        <v>499</v>
      </c>
      <c r="N256" s="128" t="s">
        <v>185</v>
      </c>
      <c r="O256" s="69">
        <v>9</v>
      </c>
      <c r="P256" s="69">
        <v>2025</v>
      </c>
      <c r="Q256" s="115"/>
    </row>
    <row r="257" spans="1:17" ht="89.25">
      <c r="A257" s="68">
        <f t="shared" si="5"/>
        <v>256</v>
      </c>
      <c r="B257" s="69">
        <v>2025</v>
      </c>
      <c r="C257" s="79" t="s">
        <v>154</v>
      </c>
      <c r="D257" s="80" t="s">
        <v>500</v>
      </c>
      <c r="E257" s="81">
        <v>45899</v>
      </c>
      <c r="F257" s="79" t="s">
        <v>152</v>
      </c>
      <c r="G257" s="79"/>
      <c r="H257" s="79" t="s">
        <v>969</v>
      </c>
      <c r="I257" s="79" t="s">
        <v>233</v>
      </c>
      <c r="J257" s="81">
        <v>45899</v>
      </c>
      <c r="K257" s="69" t="s">
        <v>160</v>
      </c>
      <c r="L257" s="79"/>
      <c r="M257" s="177" t="s">
        <v>500</v>
      </c>
      <c r="N257" s="206" t="s">
        <v>186</v>
      </c>
      <c r="O257" s="69">
        <v>9</v>
      </c>
      <c r="P257" s="69">
        <v>2025</v>
      </c>
      <c r="Q257" s="115"/>
    </row>
    <row r="258" spans="1:17" ht="89.25">
      <c r="A258" s="68">
        <f t="shared" si="5"/>
        <v>257</v>
      </c>
      <c r="B258" s="69">
        <v>2025</v>
      </c>
      <c r="C258" s="79" t="s">
        <v>154</v>
      </c>
      <c r="D258" s="80" t="s">
        <v>501</v>
      </c>
      <c r="E258" s="81">
        <v>45909</v>
      </c>
      <c r="F258" s="79" t="s">
        <v>172</v>
      </c>
      <c r="G258" s="79"/>
      <c r="H258" s="79" t="s">
        <v>583</v>
      </c>
      <c r="I258" s="79" t="s">
        <v>486</v>
      </c>
      <c r="J258" s="81">
        <v>45909</v>
      </c>
      <c r="K258" s="69" t="s">
        <v>160</v>
      </c>
      <c r="L258" s="79"/>
      <c r="M258" s="177" t="s">
        <v>501</v>
      </c>
      <c r="N258" s="206" t="s">
        <v>186</v>
      </c>
      <c r="O258" s="69">
        <v>9</v>
      </c>
      <c r="P258" s="69">
        <v>2025</v>
      </c>
      <c r="Q258" s="115"/>
    </row>
    <row r="259" spans="1:17" ht="89.25">
      <c r="A259" s="68">
        <f t="shared" si="5"/>
        <v>258</v>
      </c>
      <c r="B259" s="69">
        <v>2025</v>
      </c>
      <c r="C259" s="79" t="s">
        <v>154</v>
      </c>
      <c r="D259" s="80" t="s">
        <v>502</v>
      </c>
      <c r="E259" s="81">
        <v>45917</v>
      </c>
      <c r="F259" s="79" t="s">
        <v>172</v>
      </c>
      <c r="G259" s="79"/>
      <c r="H259" s="79" t="s">
        <v>582</v>
      </c>
      <c r="I259" s="79" t="s">
        <v>196</v>
      </c>
      <c r="J259" s="81">
        <v>45917</v>
      </c>
      <c r="K259" s="69" t="s">
        <v>160</v>
      </c>
      <c r="L259" s="79"/>
      <c r="M259" s="177" t="s">
        <v>502</v>
      </c>
      <c r="N259" s="206" t="s">
        <v>186</v>
      </c>
      <c r="O259" s="69">
        <v>9</v>
      </c>
      <c r="P259" s="69">
        <v>2025</v>
      </c>
      <c r="Q259" s="115"/>
    </row>
    <row r="260" spans="1:17" ht="89.25">
      <c r="A260" s="68">
        <f t="shared" ref="A260:A295" si="7">A259+1</f>
        <v>259</v>
      </c>
      <c r="B260" s="69">
        <v>2025</v>
      </c>
      <c r="C260" s="69" t="s">
        <v>154</v>
      </c>
      <c r="D260" s="80" t="s">
        <v>503</v>
      </c>
      <c r="E260" s="81">
        <v>45919</v>
      </c>
      <c r="F260" s="79" t="s">
        <v>215</v>
      </c>
      <c r="G260" s="79"/>
      <c r="H260" s="79" t="s">
        <v>970</v>
      </c>
      <c r="I260" s="79" t="s">
        <v>196</v>
      </c>
      <c r="J260" s="81">
        <v>45919</v>
      </c>
      <c r="K260" s="69" t="s">
        <v>160</v>
      </c>
      <c r="L260" s="79"/>
      <c r="M260" s="177" t="s">
        <v>503</v>
      </c>
      <c r="N260" s="206" t="s">
        <v>186</v>
      </c>
      <c r="O260" s="69">
        <v>9</v>
      </c>
      <c r="P260" s="69">
        <v>2025</v>
      </c>
      <c r="Q260" s="115"/>
    </row>
    <row r="261" spans="1:17" ht="89.25">
      <c r="A261" s="68">
        <f t="shared" si="7"/>
        <v>260</v>
      </c>
      <c r="B261" s="69">
        <v>2025</v>
      </c>
      <c r="C261" s="79" t="s">
        <v>154</v>
      </c>
      <c r="D261" s="80" t="s">
        <v>504</v>
      </c>
      <c r="E261" s="81">
        <v>45917</v>
      </c>
      <c r="F261" s="69" t="s">
        <v>151</v>
      </c>
      <c r="G261" s="79"/>
      <c r="H261" s="79" t="s">
        <v>581</v>
      </c>
      <c r="I261" s="69" t="s">
        <v>252</v>
      </c>
      <c r="J261" s="81">
        <v>45917</v>
      </c>
      <c r="K261" s="69" t="s">
        <v>160</v>
      </c>
      <c r="L261" s="79"/>
      <c r="M261" s="177" t="s">
        <v>504</v>
      </c>
      <c r="N261" s="206" t="s">
        <v>186</v>
      </c>
      <c r="O261" s="69">
        <v>9</v>
      </c>
      <c r="P261" s="69">
        <v>2025</v>
      </c>
      <c r="Q261" s="115"/>
    </row>
    <row r="262" spans="1:17" ht="89.25">
      <c r="A262" s="68">
        <f t="shared" si="7"/>
        <v>261</v>
      </c>
      <c r="B262" s="69">
        <v>2025</v>
      </c>
      <c r="C262" s="79" t="s">
        <v>161</v>
      </c>
      <c r="D262" s="80" t="s">
        <v>593</v>
      </c>
      <c r="E262" s="81">
        <v>45911</v>
      </c>
      <c r="F262" s="79" t="s">
        <v>151</v>
      </c>
      <c r="G262" s="79"/>
      <c r="H262" s="79" t="s">
        <v>580</v>
      </c>
      <c r="I262" s="79" t="s">
        <v>196</v>
      </c>
      <c r="J262" s="81">
        <v>45839</v>
      </c>
      <c r="K262" s="69" t="s">
        <v>160</v>
      </c>
      <c r="L262" s="79"/>
      <c r="M262" s="177" t="s">
        <v>505</v>
      </c>
      <c r="N262" s="206" t="s">
        <v>186</v>
      </c>
      <c r="O262" s="69">
        <v>9</v>
      </c>
      <c r="P262" s="69">
        <v>2025</v>
      </c>
      <c r="Q262" s="115"/>
    </row>
    <row r="263" spans="1:17" ht="89.25">
      <c r="A263" s="68">
        <f t="shared" si="7"/>
        <v>262</v>
      </c>
      <c r="B263" s="69">
        <v>2025</v>
      </c>
      <c r="C263" s="79" t="s">
        <v>155</v>
      </c>
      <c r="D263" s="80" t="s">
        <v>506</v>
      </c>
      <c r="E263" s="81">
        <v>45915</v>
      </c>
      <c r="F263" s="79" t="s">
        <v>198</v>
      </c>
      <c r="G263" s="79"/>
      <c r="H263" s="79" t="s">
        <v>971</v>
      </c>
      <c r="I263" s="69" t="s">
        <v>252</v>
      </c>
      <c r="J263" s="81">
        <v>45961</v>
      </c>
      <c r="K263" s="69" t="s">
        <v>160</v>
      </c>
      <c r="L263" s="79"/>
      <c r="M263" s="177" t="s">
        <v>506</v>
      </c>
      <c r="N263" s="206" t="s">
        <v>186</v>
      </c>
      <c r="O263" s="69">
        <v>9</v>
      </c>
      <c r="P263" s="69">
        <v>2025</v>
      </c>
      <c r="Q263" s="115"/>
    </row>
    <row r="264" spans="1:17" ht="89.25">
      <c r="A264" s="68">
        <f t="shared" si="7"/>
        <v>263</v>
      </c>
      <c r="B264" s="69">
        <v>2025</v>
      </c>
      <c r="C264" s="79" t="s">
        <v>161</v>
      </c>
      <c r="D264" s="80" t="s">
        <v>574</v>
      </c>
      <c r="E264" s="81">
        <v>45923</v>
      </c>
      <c r="F264" s="79" t="s">
        <v>198</v>
      </c>
      <c r="G264" s="79"/>
      <c r="H264" s="79" t="s">
        <v>972</v>
      </c>
      <c r="I264" s="69" t="s">
        <v>252</v>
      </c>
      <c r="J264" s="81">
        <v>45923</v>
      </c>
      <c r="K264" s="69" t="s">
        <v>160</v>
      </c>
      <c r="L264" s="79"/>
      <c r="M264" s="177" t="s">
        <v>507</v>
      </c>
      <c r="N264" s="206" t="s">
        <v>186</v>
      </c>
      <c r="O264" s="69">
        <v>9</v>
      </c>
      <c r="P264" s="69">
        <v>2025</v>
      </c>
      <c r="Q264" s="115"/>
    </row>
    <row r="265" spans="1:17" ht="89.25">
      <c r="A265" s="68">
        <f t="shared" si="7"/>
        <v>264</v>
      </c>
      <c r="B265" s="69">
        <v>2025</v>
      </c>
      <c r="C265" s="79" t="s">
        <v>161</v>
      </c>
      <c r="D265" s="80" t="s">
        <v>508</v>
      </c>
      <c r="E265" s="81">
        <v>45900</v>
      </c>
      <c r="F265" s="79" t="s">
        <v>198</v>
      </c>
      <c r="G265" s="79"/>
      <c r="H265" s="79" t="s">
        <v>973</v>
      </c>
      <c r="I265" s="79" t="s">
        <v>561</v>
      </c>
      <c r="J265" s="81">
        <v>45900</v>
      </c>
      <c r="K265" s="69" t="s">
        <v>160</v>
      </c>
      <c r="L265" s="79"/>
      <c r="M265" s="177" t="s">
        <v>508</v>
      </c>
      <c r="N265" s="206" t="s">
        <v>186</v>
      </c>
      <c r="O265" s="69">
        <v>9</v>
      </c>
      <c r="P265" s="69">
        <v>2025</v>
      </c>
      <c r="Q265" s="115"/>
    </row>
    <row r="266" spans="1:17" ht="89.25">
      <c r="A266" s="68">
        <f t="shared" si="7"/>
        <v>265</v>
      </c>
      <c r="B266" s="69">
        <v>2025</v>
      </c>
      <c r="C266" s="79" t="s">
        <v>150</v>
      </c>
      <c r="D266" s="80" t="s">
        <v>509</v>
      </c>
      <c r="E266" s="81">
        <v>45907</v>
      </c>
      <c r="F266" s="79" t="s">
        <v>170</v>
      </c>
      <c r="G266" s="79"/>
      <c r="H266" s="79" t="s">
        <v>765</v>
      </c>
      <c r="I266" s="79" t="s">
        <v>273</v>
      </c>
      <c r="J266" s="81">
        <v>45907</v>
      </c>
      <c r="K266" s="69" t="s">
        <v>160</v>
      </c>
      <c r="L266" s="79"/>
      <c r="M266" s="177" t="s">
        <v>510</v>
      </c>
      <c r="N266" s="206" t="s">
        <v>186</v>
      </c>
      <c r="O266" s="69">
        <v>9</v>
      </c>
      <c r="P266" s="69">
        <v>2025</v>
      </c>
      <c r="Q266" s="115"/>
    </row>
    <row r="267" spans="1:17" ht="89.25">
      <c r="A267" s="68">
        <f t="shared" si="7"/>
        <v>266</v>
      </c>
      <c r="B267" s="69">
        <v>2025</v>
      </c>
      <c r="C267" s="79" t="s">
        <v>161</v>
      </c>
      <c r="D267" s="80" t="s">
        <v>511</v>
      </c>
      <c r="E267" s="81">
        <v>45915</v>
      </c>
      <c r="F267" s="79" t="s">
        <v>206</v>
      </c>
      <c r="G267" s="79"/>
      <c r="H267" s="79" t="s">
        <v>579</v>
      </c>
      <c r="I267" s="79" t="s">
        <v>196</v>
      </c>
      <c r="J267" s="81">
        <v>45915</v>
      </c>
      <c r="K267" s="69" t="s">
        <v>160</v>
      </c>
      <c r="L267" s="79"/>
      <c r="M267" s="177" t="s">
        <v>511</v>
      </c>
      <c r="N267" s="206" t="s">
        <v>186</v>
      </c>
      <c r="O267" s="69">
        <v>9</v>
      </c>
      <c r="P267" s="69">
        <v>2025</v>
      </c>
      <c r="Q267" s="115"/>
    </row>
    <row r="268" spans="1:17" ht="89.25">
      <c r="A268" s="68">
        <f t="shared" si="7"/>
        <v>267</v>
      </c>
      <c r="B268" s="69">
        <v>2025</v>
      </c>
      <c r="C268" s="79" t="s">
        <v>154</v>
      </c>
      <c r="D268" s="80" t="s">
        <v>687</v>
      </c>
      <c r="E268" s="81">
        <v>45921</v>
      </c>
      <c r="F268" s="79" t="s">
        <v>169</v>
      </c>
      <c r="G268" s="79"/>
      <c r="H268" s="79" t="s">
        <v>974</v>
      </c>
      <c r="I268" s="79" t="s">
        <v>512</v>
      </c>
      <c r="J268" s="81">
        <v>45921</v>
      </c>
      <c r="K268" s="79" t="s">
        <v>160</v>
      </c>
      <c r="L268" s="79"/>
      <c r="M268" s="177" t="s">
        <v>513</v>
      </c>
      <c r="N268" s="206" t="s">
        <v>186</v>
      </c>
      <c r="O268" s="69">
        <v>9</v>
      </c>
      <c r="P268" s="69">
        <v>2025</v>
      </c>
      <c r="Q268" s="115"/>
    </row>
    <row r="269" spans="1:17" s="193" customFormat="1" ht="89.25">
      <c r="A269" s="68">
        <f t="shared" si="7"/>
        <v>268</v>
      </c>
      <c r="B269" s="79">
        <v>2025</v>
      </c>
      <c r="C269" s="79" t="s">
        <v>161</v>
      </c>
      <c r="D269" s="80" t="s">
        <v>514</v>
      </c>
      <c r="E269" s="81">
        <v>45899</v>
      </c>
      <c r="F269" s="79" t="s">
        <v>170</v>
      </c>
      <c r="G269" s="79"/>
      <c r="H269" s="79" t="s">
        <v>766</v>
      </c>
      <c r="I269" s="79" t="s">
        <v>252</v>
      </c>
      <c r="J269" s="81">
        <v>45899</v>
      </c>
      <c r="K269" s="79" t="s">
        <v>160</v>
      </c>
      <c r="L269" s="79"/>
      <c r="M269" s="177" t="s">
        <v>515</v>
      </c>
      <c r="N269" s="206" t="s">
        <v>186</v>
      </c>
      <c r="O269" s="79">
        <v>9</v>
      </c>
      <c r="P269" s="79">
        <v>2025</v>
      </c>
      <c r="Q269" s="207"/>
    </row>
    <row r="270" spans="1:17" s="194" customFormat="1" ht="89.25">
      <c r="A270" s="68">
        <f t="shared" si="7"/>
        <v>269</v>
      </c>
      <c r="B270" s="82">
        <v>2025</v>
      </c>
      <c r="C270" s="82" t="s">
        <v>161</v>
      </c>
      <c r="D270" s="82" t="s">
        <v>573</v>
      </c>
      <c r="E270" s="83">
        <v>45937</v>
      </c>
      <c r="F270" s="82" t="s">
        <v>151</v>
      </c>
      <c r="G270" s="82"/>
      <c r="H270" s="82" t="s">
        <v>578</v>
      </c>
      <c r="I270" s="82" t="s">
        <v>207</v>
      </c>
      <c r="J270" s="83">
        <v>45937</v>
      </c>
      <c r="K270" s="82" t="s">
        <v>160</v>
      </c>
      <c r="L270" s="82"/>
      <c r="M270" s="177" t="s">
        <v>556</v>
      </c>
      <c r="N270" s="206" t="s">
        <v>571</v>
      </c>
      <c r="O270" s="82">
        <v>10</v>
      </c>
      <c r="P270" s="82">
        <v>2025</v>
      </c>
      <c r="Q270" s="208"/>
    </row>
    <row r="271" spans="1:17" s="194" customFormat="1" ht="89.25">
      <c r="A271" s="68">
        <f t="shared" si="7"/>
        <v>270</v>
      </c>
      <c r="B271" s="82">
        <v>2025</v>
      </c>
      <c r="C271" s="82" t="s">
        <v>150</v>
      </c>
      <c r="D271" s="82" t="s">
        <v>557</v>
      </c>
      <c r="E271" s="83">
        <v>45933</v>
      </c>
      <c r="F271" s="82" t="s">
        <v>172</v>
      </c>
      <c r="G271" s="82"/>
      <c r="H271" s="82" t="s">
        <v>577</v>
      </c>
      <c r="I271" s="82" t="s">
        <v>196</v>
      </c>
      <c r="J271" s="83">
        <v>45933</v>
      </c>
      <c r="K271" s="82" t="s">
        <v>160</v>
      </c>
      <c r="L271" s="82"/>
      <c r="M271" s="177" t="s">
        <v>557</v>
      </c>
      <c r="N271" s="206" t="s">
        <v>571</v>
      </c>
      <c r="O271" s="82">
        <v>10</v>
      </c>
      <c r="P271" s="82">
        <v>2025</v>
      </c>
      <c r="Q271" s="208"/>
    </row>
    <row r="272" spans="1:17" s="194" customFormat="1" ht="89.25">
      <c r="A272" s="68">
        <f t="shared" si="7"/>
        <v>271</v>
      </c>
      <c r="B272" s="82">
        <v>2025</v>
      </c>
      <c r="C272" s="69" t="s">
        <v>165</v>
      </c>
      <c r="D272" s="82" t="s">
        <v>558</v>
      </c>
      <c r="E272" s="83">
        <v>45933</v>
      </c>
      <c r="F272" s="82" t="s">
        <v>488</v>
      </c>
      <c r="G272" s="82"/>
      <c r="H272" s="82" t="s">
        <v>975</v>
      </c>
      <c r="I272" s="82" t="s">
        <v>233</v>
      </c>
      <c r="J272" s="83">
        <v>45933</v>
      </c>
      <c r="K272" s="82" t="s">
        <v>160</v>
      </c>
      <c r="L272" s="82"/>
      <c r="M272" s="177" t="s">
        <v>558</v>
      </c>
      <c r="N272" s="206" t="s">
        <v>571</v>
      </c>
      <c r="O272" s="82">
        <v>10</v>
      </c>
      <c r="P272" s="82">
        <v>2025</v>
      </c>
      <c r="Q272" s="208"/>
    </row>
    <row r="273" spans="1:17" ht="89.25">
      <c r="A273" s="68">
        <f t="shared" si="7"/>
        <v>272</v>
      </c>
      <c r="B273" s="84">
        <v>2025</v>
      </c>
      <c r="C273" s="84" t="s">
        <v>150</v>
      </c>
      <c r="D273" s="84" t="s">
        <v>559</v>
      </c>
      <c r="E273" s="85">
        <v>45933</v>
      </c>
      <c r="F273" s="84" t="s">
        <v>170</v>
      </c>
      <c r="G273" s="79"/>
      <c r="H273" s="84" t="s">
        <v>767</v>
      </c>
      <c r="I273" s="84" t="s">
        <v>364</v>
      </c>
      <c r="J273" s="85">
        <v>45933</v>
      </c>
      <c r="K273" s="84" t="s">
        <v>160</v>
      </c>
      <c r="L273" s="79"/>
      <c r="M273" s="177" t="s">
        <v>559</v>
      </c>
      <c r="N273" s="206" t="s">
        <v>571</v>
      </c>
      <c r="O273" s="84">
        <v>10</v>
      </c>
      <c r="P273" s="84">
        <v>2025</v>
      </c>
      <c r="Q273" s="115"/>
    </row>
    <row r="274" spans="1:17" ht="89.25">
      <c r="A274" s="68">
        <f t="shared" si="7"/>
        <v>273</v>
      </c>
      <c r="B274" s="84">
        <v>2025</v>
      </c>
      <c r="C274" s="84" t="s">
        <v>161</v>
      </c>
      <c r="D274" s="84" t="s">
        <v>560</v>
      </c>
      <c r="E274" s="85">
        <v>45930</v>
      </c>
      <c r="F274" s="84" t="s">
        <v>198</v>
      </c>
      <c r="G274" s="79"/>
      <c r="H274" s="84" t="s">
        <v>976</v>
      </c>
      <c r="I274" s="84" t="s">
        <v>561</v>
      </c>
      <c r="J274" s="85">
        <v>45979</v>
      </c>
      <c r="K274" s="84" t="s">
        <v>160</v>
      </c>
      <c r="L274" s="79"/>
      <c r="M274" s="177" t="s">
        <v>560</v>
      </c>
      <c r="N274" s="206" t="s">
        <v>571</v>
      </c>
      <c r="O274" s="84">
        <v>10</v>
      </c>
      <c r="P274" s="84">
        <v>2025</v>
      </c>
      <c r="Q274" s="115"/>
    </row>
    <row r="275" spans="1:17" ht="89.25">
      <c r="A275" s="68">
        <f t="shared" si="7"/>
        <v>274</v>
      </c>
      <c r="B275" s="84">
        <v>2025</v>
      </c>
      <c r="C275" s="84" t="s">
        <v>155</v>
      </c>
      <c r="D275" s="84" t="s">
        <v>562</v>
      </c>
      <c r="E275" s="85">
        <v>45933</v>
      </c>
      <c r="F275" s="84" t="s">
        <v>151</v>
      </c>
      <c r="G275" s="79"/>
      <c r="H275" s="84" t="s">
        <v>807</v>
      </c>
      <c r="I275" s="84" t="s">
        <v>252</v>
      </c>
      <c r="J275" s="85">
        <v>45925</v>
      </c>
      <c r="K275" s="84" t="s">
        <v>160</v>
      </c>
      <c r="L275" s="79"/>
      <c r="M275" s="177" t="s">
        <v>562</v>
      </c>
      <c r="N275" s="206" t="s">
        <v>571</v>
      </c>
      <c r="O275" s="84">
        <v>10</v>
      </c>
      <c r="P275" s="84">
        <v>2025</v>
      </c>
      <c r="Q275" s="115"/>
    </row>
    <row r="276" spans="1:17" ht="89.25">
      <c r="A276" s="68">
        <f t="shared" si="7"/>
        <v>275</v>
      </c>
      <c r="B276" s="84">
        <v>2025</v>
      </c>
      <c r="C276" s="84" t="s">
        <v>150</v>
      </c>
      <c r="D276" s="84" t="s">
        <v>563</v>
      </c>
      <c r="E276" s="85">
        <v>45938</v>
      </c>
      <c r="F276" s="84" t="s">
        <v>215</v>
      </c>
      <c r="G276" s="79"/>
      <c r="H276" s="84" t="s">
        <v>977</v>
      </c>
      <c r="I276" s="84" t="s">
        <v>196</v>
      </c>
      <c r="J276" s="85">
        <v>45938</v>
      </c>
      <c r="K276" s="84" t="s">
        <v>160</v>
      </c>
      <c r="L276" s="79"/>
      <c r="M276" s="177" t="s">
        <v>563</v>
      </c>
      <c r="N276" s="206" t="s">
        <v>571</v>
      </c>
      <c r="O276" s="84">
        <v>10</v>
      </c>
      <c r="P276" s="84">
        <v>2025</v>
      </c>
      <c r="Q276" s="115"/>
    </row>
    <row r="277" spans="1:17" ht="89.25">
      <c r="A277" s="68">
        <f t="shared" si="7"/>
        <v>276</v>
      </c>
      <c r="B277" s="84">
        <v>2025</v>
      </c>
      <c r="C277" s="84" t="s">
        <v>150</v>
      </c>
      <c r="D277" s="84" t="s">
        <v>564</v>
      </c>
      <c r="E277" s="85">
        <v>45935</v>
      </c>
      <c r="F277" s="84" t="s">
        <v>172</v>
      </c>
      <c r="G277" s="79"/>
      <c r="H277" s="84" t="s">
        <v>978</v>
      </c>
      <c r="I277" s="84" t="s">
        <v>196</v>
      </c>
      <c r="J277" s="85">
        <v>45935</v>
      </c>
      <c r="K277" s="84" t="s">
        <v>160</v>
      </c>
      <c r="L277" s="79"/>
      <c r="M277" s="177" t="s">
        <v>565</v>
      </c>
      <c r="N277" s="206" t="s">
        <v>571</v>
      </c>
      <c r="O277" s="84">
        <v>10</v>
      </c>
      <c r="P277" s="84">
        <v>2025</v>
      </c>
      <c r="Q277" s="115"/>
    </row>
    <row r="278" spans="1:17" ht="89.25">
      <c r="A278" s="68">
        <f t="shared" si="7"/>
        <v>277</v>
      </c>
      <c r="B278" s="84">
        <v>2025</v>
      </c>
      <c r="C278" s="84" t="s">
        <v>155</v>
      </c>
      <c r="D278" s="84" t="s">
        <v>566</v>
      </c>
      <c r="E278" s="85">
        <v>45940</v>
      </c>
      <c r="F278" s="84" t="s">
        <v>170</v>
      </c>
      <c r="G278" s="79"/>
      <c r="H278" s="84" t="s">
        <v>768</v>
      </c>
      <c r="I278" s="84" t="s">
        <v>252</v>
      </c>
      <c r="J278" s="85">
        <v>45940</v>
      </c>
      <c r="K278" s="84" t="s">
        <v>160</v>
      </c>
      <c r="L278" s="79"/>
      <c r="M278" s="177" t="s">
        <v>567</v>
      </c>
      <c r="N278" s="206" t="s">
        <v>571</v>
      </c>
      <c r="O278" s="84">
        <v>10</v>
      </c>
      <c r="P278" s="84">
        <v>2025</v>
      </c>
      <c r="Q278" s="115"/>
    </row>
    <row r="279" spans="1:17" ht="140.25">
      <c r="A279" s="68">
        <f t="shared" si="7"/>
        <v>278</v>
      </c>
      <c r="B279" s="84">
        <v>2025</v>
      </c>
      <c r="C279" s="84" t="s">
        <v>155</v>
      </c>
      <c r="D279" s="84" t="s">
        <v>568</v>
      </c>
      <c r="E279" s="85">
        <v>45933</v>
      </c>
      <c r="F279" s="84" t="s">
        <v>198</v>
      </c>
      <c r="G279" s="79"/>
      <c r="H279" s="84" t="s">
        <v>575</v>
      </c>
      <c r="I279" s="84" t="s">
        <v>364</v>
      </c>
      <c r="J279" s="85">
        <v>45992</v>
      </c>
      <c r="K279" s="84" t="s">
        <v>160</v>
      </c>
      <c r="L279" s="79"/>
      <c r="M279" s="177" t="s">
        <v>568</v>
      </c>
      <c r="N279" s="206" t="s">
        <v>571</v>
      </c>
      <c r="O279" s="84">
        <v>10</v>
      </c>
      <c r="P279" s="84">
        <v>2025</v>
      </c>
      <c r="Q279" s="115"/>
    </row>
    <row r="280" spans="1:17" ht="89.25">
      <c r="A280" s="68">
        <f t="shared" si="7"/>
        <v>279</v>
      </c>
      <c r="B280" s="84">
        <v>2025</v>
      </c>
      <c r="C280" s="84" t="s">
        <v>154</v>
      </c>
      <c r="D280" s="84" t="s">
        <v>569</v>
      </c>
      <c r="E280" s="85">
        <v>45932</v>
      </c>
      <c r="F280" s="84" t="s">
        <v>198</v>
      </c>
      <c r="G280" s="79"/>
      <c r="H280" s="84" t="s">
        <v>979</v>
      </c>
      <c r="I280" s="84" t="s">
        <v>361</v>
      </c>
      <c r="J280" s="85">
        <v>45977</v>
      </c>
      <c r="K280" s="84" t="s">
        <v>160</v>
      </c>
      <c r="L280" s="79"/>
      <c r="M280" s="177" t="s">
        <v>569</v>
      </c>
      <c r="N280" s="206" t="s">
        <v>571</v>
      </c>
      <c r="O280" s="84">
        <v>10</v>
      </c>
      <c r="P280" s="84">
        <v>2025</v>
      </c>
      <c r="Q280" s="115"/>
    </row>
    <row r="281" spans="1:17" ht="89.25">
      <c r="A281" s="68">
        <f t="shared" si="7"/>
        <v>280</v>
      </c>
      <c r="B281" s="79">
        <v>2025</v>
      </c>
      <c r="C281" s="79" t="s">
        <v>353</v>
      </c>
      <c r="D281" s="80" t="s">
        <v>609</v>
      </c>
      <c r="E281" s="81">
        <v>45938</v>
      </c>
      <c r="F281" s="79" t="s">
        <v>152</v>
      </c>
      <c r="G281" s="79"/>
      <c r="H281" s="79" t="s">
        <v>691</v>
      </c>
      <c r="I281" s="82" t="s">
        <v>233</v>
      </c>
      <c r="J281" s="81">
        <v>45938</v>
      </c>
      <c r="K281" s="79" t="s">
        <v>160</v>
      </c>
      <c r="L281" s="79"/>
      <c r="M281" s="177" t="s">
        <v>610</v>
      </c>
      <c r="N281" s="206" t="s">
        <v>571</v>
      </c>
      <c r="O281" s="79">
        <v>10</v>
      </c>
      <c r="P281" s="79">
        <v>2025</v>
      </c>
      <c r="Q281" s="115"/>
    </row>
    <row r="282" spans="1:17" ht="89.25">
      <c r="A282" s="68">
        <f t="shared" si="7"/>
        <v>281</v>
      </c>
      <c r="B282" s="79">
        <v>2025</v>
      </c>
      <c r="C282" s="79" t="s">
        <v>353</v>
      </c>
      <c r="D282" s="80" t="s">
        <v>612</v>
      </c>
      <c r="E282" s="81">
        <v>45940</v>
      </c>
      <c r="F282" s="79" t="s">
        <v>611</v>
      </c>
      <c r="G282" s="79"/>
      <c r="H282" s="79" t="s">
        <v>615</v>
      </c>
      <c r="I282" s="79" t="s">
        <v>613</v>
      </c>
      <c r="J282" s="81">
        <v>45940</v>
      </c>
      <c r="K282" s="79" t="s">
        <v>160</v>
      </c>
      <c r="L282" s="79"/>
      <c r="M282" s="177" t="s">
        <v>612</v>
      </c>
      <c r="N282" s="206" t="s">
        <v>571</v>
      </c>
      <c r="O282" s="79">
        <v>10</v>
      </c>
      <c r="P282" s="79">
        <v>2025</v>
      </c>
      <c r="Q282" s="115"/>
    </row>
    <row r="283" spans="1:17" ht="89.25">
      <c r="A283" s="68">
        <f t="shared" si="7"/>
        <v>282</v>
      </c>
      <c r="B283" s="79">
        <v>2025</v>
      </c>
      <c r="C283" s="79" t="s">
        <v>154</v>
      </c>
      <c r="D283" s="80" t="s">
        <v>614</v>
      </c>
      <c r="E283" s="81">
        <v>45947</v>
      </c>
      <c r="F283" s="79" t="s">
        <v>172</v>
      </c>
      <c r="G283" s="79"/>
      <c r="H283" s="79" t="s">
        <v>616</v>
      </c>
      <c r="I283" s="79" t="s">
        <v>617</v>
      </c>
      <c r="J283" s="81">
        <v>45947</v>
      </c>
      <c r="K283" s="79" t="s">
        <v>160</v>
      </c>
      <c r="L283" s="79"/>
      <c r="M283" s="177" t="s">
        <v>614</v>
      </c>
      <c r="N283" s="206" t="s">
        <v>571</v>
      </c>
      <c r="O283" s="79">
        <v>10</v>
      </c>
      <c r="P283" s="79">
        <v>2025</v>
      </c>
      <c r="Q283" s="115"/>
    </row>
    <row r="284" spans="1:17" ht="89.25">
      <c r="A284" s="68">
        <f t="shared" si="7"/>
        <v>283</v>
      </c>
      <c r="B284" s="79">
        <v>2025</v>
      </c>
      <c r="C284" s="79" t="s">
        <v>168</v>
      </c>
      <c r="D284" s="80" t="s">
        <v>618</v>
      </c>
      <c r="E284" s="81">
        <v>45957</v>
      </c>
      <c r="F284" s="79" t="s">
        <v>172</v>
      </c>
      <c r="G284" s="79"/>
      <c r="H284" s="79" t="s">
        <v>619</v>
      </c>
      <c r="I284" s="79" t="s">
        <v>196</v>
      </c>
      <c r="J284" s="81">
        <v>45957</v>
      </c>
      <c r="K284" s="79" t="s">
        <v>160</v>
      </c>
      <c r="L284" s="79"/>
      <c r="M284" s="177" t="s">
        <v>618</v>
      </c>
      <c r="N284" s="206" t="s">
        <v>571</v>
      </c>
      <c r="O284" s="79">
        <v>10</v>
      </c>
      <c r="P284" s="79">
        <v>2025</v>
      </c>
      <c r="Q284" s="115"/>
    </row>
    <row r="285" spans="1:17" s="195" customFormat="1" ht="89.25">
      <c r="A285" s="166">
        <f t="shared" si="7"/>
        <v>284</v>
      </c>
      <c r="B285" s="167">
        <v>2025</v>
      </c>
      <c r="C285" s="167" t="s">
        <v>156</v>
      </c>
      <c r="D285" s="168" t="s">
        <v>621</v>
      </c>
      <c r="E285" s="169">
        <v>45944</v>
      </c>
      <c r="F285" s="167" t="s">
        <v>215</v>
      </c>
      <c r="G285" s="167"/>
      <c r="H285" s="167" t="s">
        <v>627</v>
      </c>
      <c r="I285" s="167" t="s">
        <v>196</v>
      </c>
      <c r="J285" s="169">
        <v>45944</v>
      </c>
      <c r="K285" s="167" t="s">
        <v>160</v>
      </c>
      <c r="L285" s="167"/>
      <c r="M285" s="177" t="s">
        <v>621</v>
      </c>
      <c r="N285" s="209" t="s">
        <v>571</v>
      </c>
      <c r="O285" s="167">
        <v>10</v>
      </c>
      <c r="P285" s="167">
        <v>2025</v>
      </c>
      <c r="Q285" s="170"/>
    </row>
    <row r="286" spans="1:17" ht="89.25">
      <c r="A286" s="68">
        <f t="shared" si="7"/>
        <v>285</v>
      </c>
      <c r="B286" s="79">
        <v>2025</v>
      </c>
      <c r="C286" s="79" t="s">
        <v>156</v>
      </c>
      <c r="D286" s="80" t="s">
        <v>636</v>
      </c>
      <c r="E286" s="81">
        <v>45944</v>
      </c>
      <c r="F286" s="79" t="s">
        <v>215</v>
      </c>
      <c r="G286" s="79"/>
      <c r="H286" s="79" t="s">
        <v>633</v>
      </c>
      <c r="I286" s="79" t="s">
        <v>196</v>
      </c>
      <c r="J286" s="81">
        <v>45944</v>
      </c>
      <c r="K286" s="79" t="s">
        <v>160</v>
      </c>
      <c r="L286" s="79"/>
      <c r="M286" s="177" t="s">
        <v>636</v>
      </c>
      <c r="N286" s="206" t="s">
        <v>571</v>
      </c>
      <c r="O286" s="79">
        <v>10</v>
      </c>
      <c r="P286" s="79">
        <v>2025</v>
      </c>
      <c r="Q286" s="115"/>
    </row>
    <row r="287" spans="1:17" ht="89.25">
      <c r="A287" s="68">
        <f t="shared" si="7"/>
        <v>286</v>
      </c>
      <c r="B287" s="79">
        <v>2025</v>
      </c>
      <c r="C287" s="79" t="s">
        <v>161</v>
      </c>
      <c r="D287" s="80" t="s">
        <v>622</v>
      </c>
      <c r="E287" s="81">
        <v>45945</v>
      </c>
      <c r="F287" s="79" t="s">
        <v>215</v>
      </c>
      <c r="G287" s="79"/>
      <c r="H287" s="79" t="s">
        <v>632</v>
      </c>
      <c r="I287" s="79" t="s">
        <v>196</v>
      </c>
      <c r="J287" s="81">
        <v>45945</v>
      </c>
      <c r="K287" s="79" t="s">
        <v>160</v>
      </c>
      <c r="L287" s="79"/>
      <c r="M287" s="177" t="s">
        <v>622</v>
      </c>
      <c r="N287" s="206" t="s">
        <v>571</v>
      </c>
      <c r="O287" s="79">
        <v>10</v>
      </c>
      <c r="P287" s="79">
        <v>2025</v>
      </c>
      <c r="Q287" s="115"/>
    </row>
    <row r="288" spans="1:17" ht="89.25">
      <c r="A288" s="68">
        <f t="shared" si="7"/>
        <v>287</v>
      </c>
      <c r="B288" s="79">
        <v>2025</v>
      </c>
      <c r="C288" s="79" t="s">
        <v>161</v>
      </c>
      <c r="D288" s="80" t="s">
        <v>620</v>
      </c>
      <c r="E288" s="81">
        <v>45946</v>
      </c>
      <c r="F288" s="79" t="s">
        <v>215</v>
      </c>
      <c r="G288" s="79"/>
      <c r="H288" s="79" t="s">
        <v>631</v>
      </c>
      <c r="I288" s="79" t="s">
        <v>196</v>
      </c>
      <c r="J288" s="81">
        <v>45991</v>
      </c>
      <c r="K288" s="79" t="s">
        <v>160</v>
      </c>
      <c r="L288" s="79"/>
      <c r="M288" s="177" t="s">
        <v>620</v>
      </c>
      <c r="N288" s="206" t="s">
        <v>571</v>
      </c>
      <c r="O288" s="79">
        <v>10</v>
      </c>
      <c r="P288" s="79">
        <v>2025</v>
      </c>
      <c r="Q288" s="115"/>
    </row>
    <row r="289" spans="1:17" ht="89.25">
      <c r="A289" s="68">
        <f t="shared" si="7"/>
        <v>288</v>
      </c>
      <c r="B289" s="79">
        <v>2025</v>
      </c>
      <c r="C289" s="79" t="s">
        <v>156</v>
      </c>
      <c r="D289" s="80" t="s">
        <v>623</v>
      </c>
      <c r="E289" s="81">
        <v>45951</v>
      </c>
      <c r="F289" s="79" t="s">
        <v>151</v>
      </c>
      <c r="G289" s="79"/>
      <c r="H289" s="79" t="s">
        <v>630</v>
      </c>
      <c r="I289" s="79" t="s">
        <v>196</v>
      </c>
      <c r="J289" s="81">
        <v>45951</v>
      </c>
      <c r="K289" s="79" t="s">
        <v>160</v>
      </c>
      <c r="L289" s="79"/>
      <c r="M289" s="177" t="s">
        <v>623</v>
      </c>
      <c r="N289" s="206" t="s">
        <v>571</v>
      </c>
      <c r="O289" s="79">
        <v>10</v>
      </c>
      <c r="P289" s="79">
        <v>2025</v>
      </c>
      <c r="Q289" s="115"/>
    </row>
    <row r="290" spans="1:17" ht="89.25">
      <c r="A290" s="68">
        <f t="shared" si="7"/>
        <v>289</v>
      </c>
      <c r="B290" s="79">
        <v>2025</v>
      </c>
      <c r="C290" s="79" t="s">
        <v>353</v>
      </c>
      <c r="D290" s="80" t="s">
        <v>625</v>
      </c>
      <c r="E290" s="81">
        <v>45951</v>
      </c>
      <c r="F290" s="79" t="s">
        <v>206</v>
      </c>
      <c r="G290" s="79"/>
      <c r="H290" s="79" t="s">
        <v>629</v>
      </c>
      <c r="I290" s="79" t="s">
        <v>196</v>
      </c>
      <c r="J290" s="81">
        <v>45951</v>
      </c>
      <c r="K290" s="79" t="s">
        <v>160</v>
      </c>
      <c r="L290" s="79"/>
      <c r="M290" s="177" t="s">
        <v>625</v>
      </c>
      <c r="N290" s="206" t="s">
        <v>571</v>
      </c>
      <c r="O290" s="79">
        <v>10</v>
      </c>
      <c r="P290" s="79">
        <v>2025</v>
      </c>
      <c r="Q290" s="115"/>
    </row>
    <row r="291" spans="1:17" ht="89.25">
      <c r="A291" s="68">
        <f t="shared" si="7"/>
        <v>290</v>
      </c>
      <c r="B291" s="79">
        <v>2025</v>
      </c>
      <c r="C291" s="79" t="s">
        <v>353</v>
      </c>
      <c r="D291" s="80" t="s">
        <v>626</v>
      </c>
      <c r="E291" s="81">
        <v>45950</v>
      </c>
      <c r="F291" s="79" t="s">
        <v>158</v>
      </c>
      <c r="G291" s="79"/>
      <c r="H291" s="79" t="s">
        <v>628</v>
      </c>
      <c r="I291" s="79" t="s">
        <v>712</v>
      </c>
      <c r="J291" s="81">
        <v>45950</v>
      </c>
      <c r="K291" s="79" t="s">
        <v>160</v>
      </c>
      <c r="L291" s="79"/>
      <c r="M291" s="177" t="s">
        <v>626</v>
      </c>
      <c r="N291" s="206" t="s">
        <v>571</v>
      </c>
      <c r="O291" s="79">
        <v>10</v>
      </c>
      <c r="P291" s="79">
        <v>2025</v>
      </c>
      <c r="Q291" s="115"/>
    </row>
    <row r="292" spans="1:17" ht="89.25">
      <c r="A292" s="68">
        <f t="shared" si="7"/>
        <v>291</v>
      </c>
      <c r="B292" s="79">
        <v>2025</v>
      </c>
      <c r="C292" s="79" t="s">
        <v>353</v>
      </c>
      <c r="D292" s="80" t="s">
        <v>624</v>
      </c>
      <c r="E292" s="81">
        <v>45954</v>
      </c>
      <c r="F292" s="79" t="s">
        <v>151</v>
      </c>
      <c r="G292" s="79"/>
      <c r="H292" s="79" t="s">
        <v>711</v>
      </c>
      <c r="I292" s="79" t="s">
        <v>634</v>
      </c>
      <c r="J292" s="81">
        <v>45954</v>
      </c>
      <c r="K292" s="79" t="s">
        <v>160</v>
      </c>
      <c r="L292" s="79"/>
      <c r="M292" s="177" t="s">
        <v>624</v>
      </c>
      <c r="N292" s="206" t="s">
        <v>571</v>
      </c>
      <c r="O292" s="79">
        <v>10</v>
      </c>
      <c r="P292" s="79">
        <v>2025</v>
      </c>
      <c r="Q292" s="115"/>
    </row>
    <row r="293" spans="1:17" ht="89.25">
      <c r="A293" s="68">
        <f t="shared" si="7"/>
        <v>292</v>
      </c>
      <c r="B293" s="79">
        <v>2025</v>
      </c>
      <c r="C293" s="79" t="s">
        <v>165</v>
      </c>
      <c r="D293" s="80" t="s">
        <v>635</v>
      </c>
      <c r="E293" s="81">
        <v>45957</v>
      </c>
      <c r="F293" s="79" t="s">
        <v>151</v>
      </c>
      <c r="G293" s="79"/>
      <c r="H293" s="79" t="s">
        <v>980</v>
      </c>
      <c r="I293" s="79" t="s">
        <v>252</v>
      </c>
      <c r="J293" s="81">
        <v>45957</v>
      </c>
      <c r="K293" s="79" t="s">
        <v>160</v>
      </c>
      <c r="L293" s="79"/>
      <c r="M293" s="177" t="s">
        <v>635</v>
      </c>
      <c r="N293" s="206" t="s">
        <v>571</v>
      </c>
      <c r="O293" s="79">
        <v>10</v>
      </c>
      <c r="P293" s="79">
        <v>2025</v>
      </c>
      <c r="Q293" s="115"/>
    </row>
    <row r="294" spans="1:17" ht="89.25">
      <c r="A294" s="68">
        <f t="shared" si="7"/>
        <v>293</v>
      </c>
      <c r="B294" s="79">
        <v>2025</v>
      </c>
      <c r="C294" s="79" t="s">
        <v>161</v>
      </c>
      <c r="D294" s="80" t="s">
        <v>637</v>
      </c>
      <c r="E294" s="81">
        <v>45958</v>
      </c>
      <c r="F294" s="79" t="s">
        <v>198</v>
      </c>
      <c r="G294" s="79"/>
      <c r="H294" s="79" t="s">
        <v>688</v>
      </c>
      <c r="I294" s="79" t="s">
        <v>364</v>
      </c>
      <c r="J294" s="81">
        <v>45958</v>
      </c>
      <c r="K294" s="79" t="s">
        <v>160</v>
      </c>
      <c r="L294" s="79"/>
      <c r="M294" s="177" t="s">
        <v>638</v>
      </c>
      <c r="N294" s="206" t="s">
        <v>571</v>
      </c>
      <c r="O294" s="79">
        <v>10</v>
      </c>
      <c r="P294" s="79">
        <v>2025</v>
      </c>
      <c r="Q294" s="115"/>
    </row>
    <row r="295" spans="1:17" ht="89.25">
      <c r="A295" s="68">
        <f t="shared" si="7"/>
        <v>294</v>
      </c>
      <c r="B295" s="79">
        <v>2025</v>
      </c>
      <c r="C295" s="79" t="s">
        <v>155</v>
      </c>
      <c r="D295" s="80" t="s">
        <v>639</v>
      </c>
      <c r="E295" s="81">
        <v>45957</v>
      </c>
      <c r="F295" s="79" t="s">
        <v>151</v>
      </c>
      <c r="G295" s="79"/>
      <c r="H295" s="79" t="s">
        <v>640</v>
      </c>
      <c r="I295" s="79" t="s">
        <v>196</v>
      </c>
      <c r="J295" s="81">
        <v>45957</v>
      </c>
      <c r="K295" s="79" t="s">
        <v>160</v>
      </c>
      <c r="L295" s="79"/>
      <c r="M295" s="177" t="s">
        <v>639</v>
      </c>
      <c r="N295" s="206" t="s">
        <v>571</v>
      </c>
      <c r="O295" s="79">
        <v>10</v>
      </c>
      <c r="P295" s="79">
        <v>2025</v>
      </c>
      <c r="Q295" s="115"/>
    </row>
    <row r="296" spans="1:17" ht="89.25">
      <c r="A296" s="68">
        <v>295</v>
      </c>
      <c r="B296" s="79">
        <v>2025</v>
      </c>
      <c r="C296" s="79" t="s">
        <v>154</v>
      </c>
      <c r="D296" s="80" t="s">
        <v>692</v>
      </c>
      <c r="E296" s="81">
        <v>45968</v>
      </c>
      <c r="F296" s="79" t="s">
        <v>488</v>
      </c>
      <c r="G296" s="79"/>
      <c r="H296" s="79" t="s">
        <v>717</v>
      </c>
      <c r="I296" s="79" t="s">
        <v>735</v>
      </c>
      <c r="J296" s="81">
        <v>45968</v>
      </c>
      <c r="K296" s="79" t="s">
        <v>160</v>
      </c>
      <c r="L296" s="79"/>
      <c r="M296" s="177" t="s">
        <v>692</v>
      </c>
      <c r="N296" s="206" t="s">
        <v>715</v>
      </c>
      <c r="O296" s="79">
        <v>11</v>
      </c>
      <c r="P296" s="79">
        <v>2025</v>
      </c>
      <c r="Q296" s="11"/>
    </row>
    <row r="297" spans="1:17" ht="89.25">
      <c r="A297" s="68">
        <v>296</v>
      </c>
      <c r="B297" s="79">
        <v>2025</v>
      </c>
      <c r="C297" s="79" t="s">
        <v>154</v>
      </c>
      <c r="D297" s="80" t="s">
        <v>693</v>
      </c>
      <c r="E297" s="81">
        <v>45956</v>
      </c>
      <c r="F297" s="79" t="s">
        <v>694</v>
      </c>
      <c r="G297" s="79"/>
      <c r="H297" s="79" t="s">
        <v>981</v>
      </c>
      <c r="I297" s="79" t="s">
        <v>695</v>
      </c>
      <c r="J297" s="81">
        <v>45956</v>
      </c>
      <c r="K297" s="79" t="s">
        <v>160</v>
      </c>
      <c r="L297" s="79"/>
      <c r="M297" s="177" t="s">
        <v>693</v>
      </c>
      <c r="N297" s="206" t="s">
        <v>715</v>
      </c>
      <c r="O297" s="79">
        <v>11</v>
      </c>
      <c r="P297" s="79">
        <v>2025</v>
      </c>
      <c r="Q297" s="11"/>
    </row>
    <row r="298" spans="1:17" ht="89.25">
      <c r="A298" s="68">
        <v>297</v>
      </c>
      <c r="B298" s="79">
        <v>2025</v>
      </c>
      <c r="C298" s="79" t="s">
        <v>529</v>
      </c>
      <c r="D298" s="80" t="s">
        <v>696</v>
      </c>
      <c r="E298" s="81">
        <v>45967</v>
      </c>
      <c r="F298" s="79" t="s">
        <v>158</v>
      </c>
      <c r="G298" s="79"/>
      <c r="H298" s="79" t="s">
        <v>982</v>
      </c>
      <c r="I298" s="79" t="s">
        <v>613</v>
      </c>
      <c r="J298" s="81">
        <v>45967</v>
      </c>
      <c r="K298" s="79" t="s">
        <v>160</v>
      </c>
      <c r="L298" s="79"/>
      <c r="M298" s="177" t="s">
        <v>696</v>
      </c>
      <c r="N298" s="206" t="s">
        <v>715</v>
      </c>
      <c r="O298" s="79">
        <v>11</v>
      </c>
      <c r="P298" s="79">
        <v>2025</v>
      </c>
      <c r="Q298" s="11"/>
    </row>
    <row r="299" spans="1:17" ht="89.25">
      <c r="A299" s="68">
        <v>298</v>
      </c>
      <c r="B299" s="79">
        <v>2025</v>
      </c>
      <c r="C299" s="79" t="s">
        <v>529</v>
      </c>
      <c r="D299" s="80" t="s">
        <v>697</v>
      </c>
      <c r="E299" s="81">
        <v>45967</v>
      </c>
      <c r="F299" s="79" t="s">
        <v>170</v>
      </c>
      <c r="G299" s="79"/>
      <c r="H299" s="79" t="s">
        <v>769</v>
      </c>
      <c r="I299" s="79" t="s">
        <v>613</v>
      </c>
      <c r="J299" s="81">
        <v>45967</v>
      </c>
      <c r="K299" s="79" t="s">
        <v>160</v>
      </c>
      <c r="L299" s="79"/>
      <c r="M299" s="177" t="s">
        <v>697</v>
      </c>
      <c r="N299" s="206" t="s">
        <v>715</v>
      </c>
      <c r="O299" s="79">
        <v>11</v>
      </c>
      <c r="P299" s="79">
        <v>2025</v>
      </c>
      <c r="Q299" s="11"/>
    </row>
    <row r="300" spans="1:17" ht="89.25">
      <c r="A300" s="68">
        <v>299</v>
      </c>
      <c r="B300" s="79">
        <v>2025</v>
      </c>
      <c r="C300" s="79" t="s">
        <v>529</v>
      </c>
      <c r="D300" s="80" t="s">
        <v>698</v>
      </c>
      <c r="E300" s="81">
        <v>45967</v>
      </c>
      <c r="F300" s="79" t="s">
        <v>170</v>
      </c>
      <c r="G300" s="79"/>
      <c r="H300" s="79" t="s">
        <v>770</v>
      </c>
      <c r="I300" s="79" t="s">
        <v>712</v>
      </c>
      <c r="J300" s="81">
        <v>45967</v>
      </c>
      <c r="K300" s="79" t="s">
        <v>160</v>
      </c>
      <c r="L300" s="79"/>
      <c r="M300" s="177" t="s">
        <v>698</v>
      </c>
      <c r="N300" s="206" t="s">
        <v>715</v>
      </c>
      <c r="O300" s="79">
        <v>11</v>
      </c>
      <c r="P300" s="79">
        <v>2025</v>
      </c>
      <c r="Q300" s="11"/>
    </row>
    <row r="301" spans="1:17" ht="89.25">
      <c r="A301" s="68">
        <v>300</v>
      </c>
      <c r="B301" s="79">
        <v>2025</v>
      </c>
      <c r="C301" s="79" t="s">
        <v>161</v>
      </c>
      <c r="D301" s="80" t="s">
        <v>699</v>
      </c>
      <c r="E301" s="81">
        <v>45947</v>
      </c>
      <c r="F301" s="79" t="s">
        <v>172</v>
      </c>
      <c r="G301" s="79"/>
      <c r="H301" s="79" t="s">
        <v>983</v>
      </c>
      <c r="I301" s="79" t="s">
        <v>713</v>
      </c>
      <c r="J301" s="81">
        <v>46023</v>
      </c>
      <c r="K301" s="79" t="s">
        <v>160</v>
      </c>
      <c r="L301" s="79"/>
      <c r="M301" s="177" t="s">
        <v>699</v>
      </c>
      <c r="N301" s="206" t="s">
        <v>715</v>
      </c>
      <c r="O301" s="79">
        <v>11</v>
      </c>
      <c r="P301" s="79">
        <v>2025</v>
      </c>
      <c r="Q301" s="11"/>
    </row>
    <row r="302" spans="1:17" ht="89.25">
      <c r="A302" s="68">
        <v>301</v>
      </c>
      <c r="B302" s="79">
        <v>2025</v>
      </c>
      <c r="C302" s="79" t="s">
        <v>154</v>
      </c>
      <c r="D302" s="80" t="s">
        <v>718</v>
      </c>
      <c r="E302" s="81">
        <v>45971</v>
      </c>
      <c r="F302" s="79" t="s">
        <v>710</v>
      </c>
      <c r="G302" s="79"/>
      <c r="H302" s="79" t="s">
        <v>984</v>
      </c>
      <c r="I302" s="79" t="s">
        <v>617</v>
      </c>
      <c r="J302" s="81">
        <v>45971</v>
      </c>
      <c r="K302" s="79" t="s">
        <v>160</v>
      </c>
      <c r="L302" s="79" t="s">
        <v>714</v>
      </c>
      <c r="M302" s="177" t="s">
        <v>700</v>
      </c>
      <c r="N302" s="206" t="s">
        <v>715</v>
      </c>
      <c r="O302" s="79">
        <v>11</v>
      </c>
      <c r="P302" s="79">
        <v>2025</v>
      </c>
      <c r="Q302" s="11"/>
    </row>
    <row r="303" spans="1:17" ht="89.25">
      <c r="A303" s="68">
        <v>302</v>
      </c>
      <c r="B303" s="79">
        <v>2025</v>
      </c>
      <c r="C303" s="79" t="s">
        <v>154</v>
      </c>
      <c r="D303" s="80" t="s">
        <v>701</v>
      </c>
      <c r="E303" s="81">
        <v>45952</v>
      </c>
      <c r="F303" s="79" t="s">
        <v>710</v>
      </c>
      <c r="G303" s="79"/>
      <c r="H303" s="79" t="s">
        <v>985</v>
      </c>
      <c r="I303" s="79" t="s">
        <v>617</v>
      </c>
      <c r="J303" s="81">
        <v>45952</v>
      </c>
      <c r="K303" s="79" t="s">
        <v>160</v>
      </c>
      <c r="L303" s="79"/>
      <c r="M303" s="177" t="s">
        <v>701</v>
      </c>
      <c r="N303" s="206" t="s">
        <v>715</v>
      </c>
      <c r="O303" s="79">
        <v>11</v>
      </c>
      <c r="P303" s="79">
        <v>2025</v>
      </c>
      <c r="Q303" s="11"/>
    </row>
    <row r="304" spans="1:17" ht="89.25">
      <c r="A304" s="68">
        <v>303</v>
      </c>
      <c r="B304" s="79">
        <v>2025</v>
      </c>
      <c r="C304" s="79" t="s">
        <v>155</v>
      </c>
      <c r="D304" s="80" t="s">
        <v>702</v>
      </c>
      <c r="E304" s="81">
        <v>45966</v>
      </c>
      <c r="F304" s="79" t="s">
        <v>710</v>
      </c>
      <c r="G304" s="79"/>
      <c r="H304" s="79" t="s">
        <v>719</v>
      </c>
      <c r="I304" s="79" t="s">
        <v>617</v>
      </c>
      <c r="J304" s="81">
        <v>46011</v>
      </c>
      <c r="K304" s="79" t="s">
        <v>160</v>
      </c>
      <c r="L304" s="79"/>
      <c r="M304" s="177" t="s">
        <v>702</v>
      </c>
      <c r="N304" s="206" t="s">
        <v>715</v>
      </c>
      <c r="O304" s="79">
        <v>11</v>
      </c>
      <c r="P304" s="79">
        <v>2025</v>
      </c>
      <c r="Q304" s="11"/>
    </row>
    <row r="305" spans="1:17" ht="153">
      <c r="A305" s="68">
        <v>304</v>
      </c>
      <c r="B305" s="79">
        <v>2025</v>
      </c>
      <c r="C305" s="79" t="s">
        <v>154</v>
      </c>
      <c r="D305" s="80" t="s">
        <v>703</v>
      </c>
      <c r="E305" s="81">
        <v>45839</v>
      </c>
      <c r="F305" s="79" t="s">
        <v>710</v>
      </c>
      <c r="G305" s="79"/>
      <c r="H305" s="79" t="s">
        <v>986</v>
      </c>
      <c r="I305" s="79" t="s">
        <v>617</v>
      </c>
      <c r="J305" s="81">
        <v>45839</v>
      </c>
      <c r="K305" s="79" t="s">
        <v>160</v>
      </c>
      <c r="L305" s="79"/>
      <c r="M305" s="177" t="s">
        <v>703</v>
      </c>
      <c r="N305" s="206" t="s">
        <v>715</v>
      </c>
      <c r="O305" s="79">
        <v>11</v>
      </c>
      <c r="P305" s="79">
        <v>2025</v>
      </c>
      <c r="Q305" s="11"/>
    </row>
    <row r="306" spans="1:17" ht="89.25">
      <c r="A306" s="68">
        <v>305</v>
      </c>
      <c r="B306" s="79">
        <v>2025</v>
      </c>
      <c r="C306" s="79" t="s">
        <v>150</v>
      </c>
      <c r="D306" s="80" t="s">
        <v>704</v>
      </c>
      <c r="E306" s="81">
        <v>45964</v>
      </c>
      <c r="F306" s="79" t="s">
        <v>710</v>
      </c>
      <c r="G306" s="79"/>
      <c r="H306" s="79" t="s">
        <v>987</v>
      </c>
      <c r="I306" s="79" t="s">
        <v>617</v>
      </c>
      <c r="J306" s="81">
        <v>45964</v>
      </c>
      <c r="K306" s="79" t="s">
        <v>160</v>
      </c>
      <c r="L306" s="79"/>
      <c r="M306" s="177" t="s">
        <v>704</v>
      </c>
      <c r="N306" s="206" t="s">
        <v>715</v>
      </c>
      <c r="O306" s="79">
        <v>11</v>
      </c>
      <c r="P306" s="79">
        <v>2025</v>
      </c>
      <c r="Q306" s="11"/>
    </row>
    <row r="307" spans="1:17" ht="89.25">
      <c r="A307" s="68">
        <v>306</v>
      </c>
      <c r="B307" s="79">
        <v>2025</v>
      </c>
      <c r="C307" s="79" t="s">
        <v>154</v>
      </c>
      <c r="D307" s="80" t="s">
        <v>705</v>
      </c>
      <c r="E307" s="81">
        <v>45961</v>
      </c>
      <c r="F307" s="79" t="s">
        <v>710</v>
      </c>
      <c r="G307" s="79"/>
      <c r="H307" s="79" t="s">
        <v>988</v>
      </c>
      <c r="I307" s="79" t="s">
        <v>617</v>
      </c>
      <c r="J307" s="81">
        <v>45961</v>
      </c>
      <c r="K307" s="79" t="s">
        <v>160</v>
      </c>
      <c r="L307" s="79"/>
      <c r="M307" s="177" t="s">
        <v>705</v>
      </c>
      <c r="N307" s="206" t="s">
        <v>715</v>
      </c>
      <c r="O307" s="79">
        <v>11</v>
      </c>
      <c r="P307" s="79">
        <v>2025</v>
      </c>
      <c r="Q307" s="11"/>
    </row>
    <row r="308" spans="1:17" ht="89.25">
      <c r="A308" s="68">
        <v>307</v>
      </c>
      <c r="B308" s="79">
        <v>2025</v>
      </c>
      <c r="C308" s="79" t="s">
        <v>150</v>
      </c>
      <c r="D308" s="80" t="s">
        <v>706</v>
      </c>
      <c r="E308" s="81">
        <v>45965</v>
      </c>
      <c r="F308" s="79" t="s">
        <v>198</v>
      </c>
      <c r="G308" s="79"/>
      <c r="H308" s="79" t="s">
        <v>808</v>
      </c>
      <c r="I308" s="79" t="s">
        <v>338</v>
      </c>
      <c r="J308" s="81">
        <v>46021</v>
      </c>
      <c r="K308" s="79" t="s">
        <v>160</v>
      </c>
      <c r="L308" s="79"/>
      <c r="M308" s="177" t="s">
        <v>706</v>
      </c>
      <c r="N308" s="206" t="s">
        <v>715</v>
      </c>
      <c r="O308" s="79">
        <v>11</v>
      </c>
      <c r="P308" s="79">
        <v>2025</v>
      </c>
      <c r="Q308" s="11"/>
    </row>
    <row r="309" spans="1:17" ht="89.25">
      <c r="A309" s="68">
        <v>308</v>
      </c>
      <c r="B309" s="79">
        <v>2025</v>
      </c>
      <c r="C309" s="79" t="s">
        <v>156</v>
      </c>
      <c r="D309" s="80" t="s">
        <v>707</v>
      </c>
      <c r="E309" s="81">
        <v>45961</v>
      </c>
      <c r="F309" s="79" t="s">
        <v>198</v>
      </c>
      <c r="G309" s="79"/>
      <c r="H309" s="79" t="s">
        <v>989</v>
      </c>
      <c r="I309" s="79" t="s">
        <v>477</v>
      </c>
      <c r="J309" s="81">
        <v>46006</v>
      </c>
      <c r="K309" s="79" t="s">
        <v>160</v>
      </c>
      <c r="L309" s="79"/>
      <c r="M309" s="177" t="s">
        <v>707</v>
      </c>
      <c r="N309" s="206" t="s">
        <v>715</v>
      </c>
      <c r="O309" s="79">
        <v>11</v>
      </c>
      <c r="P309" s="79">
        <v>2025</v>
      </c>
      <c r="Q309" s="11"/>
    </row>
    <row r="310" spans="1:17" ht="89.25">
      <c r="A310" s="68">
        <v>309</v>
      </c>
      <c r="B310" s="79">
        <v>2025</v>
      </c>
      <c r="C310" s="79" t="s">
        <v>150</v>
      </c>
      <c r="D310" s="80" t="s">
        <v>708</v>
      </c>
      <c r="E310" s="81">
        <v>45965</v>
      </c>
      <c r="F310" s="79" t="s">
        <v>198</v>
      </c>
      <c r="G310" s="79"/>
      <c r="H310" s="79" t="s">
        <v>990</v>
      </c>
      <c r="I310" s="79" t="s">
        <v>477</v>
      </c>
      <c r="J310" s="81">
        <v>46023</v>
      </c>
      <c r="K310" s="79" t="s">
        <v>160</v>
      </c>
      <c r="L310" s="79"/>
      <c r="M310" s="177" t="s">
        <v>708</v>
      </c>
      <c r="N310" s="206" t="s">
        <v>715</v>
      </c>
      <c r="O310" s="79">
        <v>11</v>
      </c>
      <c r="P310" s="79">
        <v>2025</v>
      </c>
      <c r="Q310" s="11"/>
    </row>
    <row r="311" spans="1:17" ht="89.25">
      <c r="A311" s="68">
        <v>310</v>
      </c>
      <c r="B311" s="79">
        <v>2025</v>
      </c>
      <c r="C311" s="79" t="s">
        <v>156</v>
      </c>
      <c r="D311" s="80" t="s">
        <v>749</v>
      </c>
      <c r="E311" s="81">
        <v>45960</v>
      </c>
      <c r="F311" s="79" t="s">
        <v>198</v>
      </c>
      <c r="G311" s="79"/>
      <c r="H311" s="79" t="s">
        <v>809</v>
      </c>
      <c r="I311" s="79" t="s">
        <v>477</v>
      </c>
      <c r="J311" s="81">
        <v>46006</v>
      </c>
      <c r="K311" s="79" t="s">
        <v>160</v>
      </c>
      <c r="L311" s="79"/>
      <c r="M311" s="177" t="s">
        <v>749</v>
      </c>
      <c r="N311" s="206" t="s">
        <v>715</v>
      </c>
      <c r="O311" s="79">
        <v>11</v>
      </c>
      <c r="P311" s="79">
        <v>2025</v>
      </c>
      <c r="Q311" s="11"/>
    </row>
    <row r="312" spans="1:17" ht="89.25">
      <c r="A312" s="68">
        <v>311</v>
      </c>
      <c r="B312" s="79">
        <v>2025</v>
      </c>
      <c r="C312" s="79" t="s">
        <v>156</v>
      </c>
      <c r="D312" s="80" t="s">
        <v>709</v>
      </c>
      <c r="E312" s="81">
        <v>45962</v>
      </c>
      <c r="F312" s="79" t="s">
        <v>151</v>
      </c>
      <c r="G312" s="79"/>
      <c r="H312" s="79" t="s">
        <v>991</v>
      </c>
      <c r="I312" s="79" t="s">
        <v>477</v>
      </c>
      <c r="J312" s="81">
        <v>45962</v>
      </c>
      <c r="K312" s="79" t="s">
        <v>160</v>
      </c>
      <c r="L312" s="79"/>
      <c r="M312" s="177" t="s">
        <v>709</v>
      </c>
      <c r="N312" s="206" t="s">
        <v>715</v>
      </c>
      <c r="O312" s="79">
        <v>11</v>
      </c>
      <c r="P312" s="79">
        <v>2025</v>
      </c>
      <c r="Q312" s="11"/>
    </row>
    <row r="313" spans="1:17" ht="89.25">
      <c r="A313" s="68">
        <v>312</v>
      </c>
      <c r="B313" s="79">
        <v>2025</v>
      </c>
      <c r="C313" s="132" t="s">
        <v>161</v>
      </c>
      <c r="D313" s="80" t="s">
        <v>740</v>
      </c>
      <c r="E313" s="81">
        <v>45974</v>
      </c>
      <c r="F313" s="79" t="s">
        <v>172</v>
      </c>
      <c r="G313" s="132"/>
      <c r="H313" s="79" t="s">
        <v>992</v>
      </c>
      <c r="I313" s="79" t="s">
        <v>384</v>
      </c>
      <c r="J313" s="81">
        <v>46019</v>
      </c>
      <c r="K313" s="79" t="s">
        <v>160</v>
      </c>
      <c r="L313" s="79"/>
      <c r="M313" s="177" t="s">
        <v>736</v>
      </c>
      <c r="N313" s="206" t="s">
        <v>715</v>
      </c>
      <c r="O313" s="79">
        <v>11</v>
      </c>
      <c r="P313" s="79">
        <v>2025</v>
      </c>
      <c r="Q313" s="11"/>
    </row>
    <row r="314" spans="1:17" ht="89.25">
      <c r="A314" s="132">
        <v>313</v>
      </c>
      <c r="B314" s="79">
        <v>2025</v>
      </c>
      <c r="C314" s="132" t="s">
        <v>165</v>
      </c>
      <c r="D314" s="80" t="s">
        <v>737</v>
      </c>
      <c r="E314" s="81">
        <v>45973</v>
      </c>
      <c r="F314" s="79" t="s">
        <v>488</v>
      </c>
      <c r="G314" s="132"/>
      <c r="H314" s="79" t="s">
        <v>993</v>
      </c>
      <c r="I314" s="132" t="s">
        <v>233</v>
      </c>
      <c r="J314" s="81">
        <v>45973</v>
      </c>
      <c r="K314" s="79" t="s">
        <v>160</v>
      </c>
      <c r="L314" s="132"/>
      <c r="M314" s="177" t="s">
        <v>737</v>
      </c>
      <c r="N314" s="206" t="s">
        <v>715</v>
      </c>
      <c r="O314" s="79">
        <v>11</v>
      </c>
      <c r="P314" s="79">
        <v>2025</v>
      </c>
      <c r="Q314" s="11"/>
    </row>
    <row r="315" spans="1:17" ht="89.25">
      <c r="A315" s="132">
        <v>314</v>
      </c>
      <c r="B315" s="79">
        <v>2025</v>
      </c>
      <c r="C315" s="132" t="s">
        <v>165</v>
      </c>
      <c r="D315" s="80" t="s">
        <v>738</v>
      </c>
      <c r="E315" s="81">
        <v>45967</v>
      </c>
      <c r="F315" s="132" t="s">
        <v>198</v>
      </c>
      <c r="G315" s="132"/>
      <c r="H315" s="79" t="s">
        <v>994</v>
      </c>
      <c r="I315" s="132" t="s">
        <v>377</v>
      </c>
      <c r="J315" s="81">
        <v>46013</v>
      </c>
      <c r="K315" s="79" t="s">
        <v>160</v>
      </c>
      <c r="L315" s="132"/>
      <c r="M315" s="177" t="s">
        <v>738</v>
      </c>
      <c r="N315" s="206" t="s">
        <v>715</v>
      </c>
      <c r="O315" s="79">
        <v>11</v>
      </c>
      <c r="P315" s="79">
        <v>2025</v>
      </c>
      <c r="Q315" s="11"/>
    </row>
    <row r="316" spans="1:17" ht="89.25">
      <c r="A316" s="132">
        <v>315</v>
      </c>
      <c r="B316" s="79">
        <v>2025</v>
      </c>
      <c r="C316" s="132" t="s">
        <v>165</v>
      </c>
      <c r="D316" s="80" t="s">
        <v>739</v>
      </c>
      <c r="E316" s="81">
        <v>45977</v>
      </c>
      <c r="F316" s="132" t="s">
        <v>215</v>
      </c>
      <c r="G316" s="132"/>
      <c r="H316" s="79" t="s">
        <v>995</v>
      </c>
      <c r="I316" s="132" t="s">
        <v>196</v>
      </c>
      <c r="J316" s="81">
        <v>46023</v>
      </c>
      <c r="K316" s="79" t="s">
        <v>160</v>
      </c>
      <c r="L316" s="132"/>
      <c r="M316" s="177" t="s">
        <v>739</v>
      </c>
      <c r="N316" s="206" t="s">
        <v>715</v>
      </c>
      <c r="O316" s="79">
        <v>11</v>
      </c>
      <c r="P316" s="79">
        <v>2025</v>
      </c>
      <c r="Q316" s="11"/>
    </row>
    <row r="317" spans="1:17" ht="89.25">
      <c r="A317" s="132">
        <v>316</v>
      </c>
      <c r="B317" s="79">
        <v>2025</v>
      </c>
      <c r="C317" s="132" t="s">
        <v>165</v>
      </c>
      <c r="D317" s="80" t="s">
        <v>741</v>
      </c>
      <c r="E317" s="81">
        <v>45961</v>
      </c>
      <c r="F317" s="132" t="s">
        <v>198</v>
      </c>
      <c r="G317" s="132"/>
      <c r="H317" s="79" t="s">
        <v>996</v>
      </c>
      <c r="I317" s="132" t="s">
        <v>377</v>
      </c>
      <c r="J317" s="81">
        <v>46007</v>
      </c>
      <c r="K317" s="79" t="s">
        <v>160</v>
      </c>
      <c r="L317" s="132"/>
      <c r="M317" s="177" t="s">
        <v>741</v>
      </c>
      <c r="N317" s="206" t="s">
        <v>715</v>
      </c>
      <c r="O317" s="79">
        <v>11</v>
      </c>
      <c r="P317" s="79">
        <v>2025</v>
      </c>
      <c r="Q317" s="11"/>
    </row>
    <row r="318" spans="1:17" ht="89.25">
      <c r="A318" s="132">
        <v>317</v>
      </c>
      <c r="B318" s="79">
        <v>2025</v>
      </c>
      <c r="C318" s="132" t="s">
        <v>165</v>
      </c>
      <c r="D318" s="80" t="s">
        <v>742</v>
      </c>
      <c r="E318" s="81">
        <v>45980</v>
      </c>
      <c r="F318" s="132" t="s">
        <v>215</v>
      </c>
      <c r="G318" s="132"/>
      <c r="H318" s="79" t="s">
        <v>997</v>
      </c>
      <c r="I318" s="132" t="s">
        <v>196</v>
      </c>
      <c r="J318" s="81">
        <v>45981</v>
      </c>
      <c r="K318" s="79" t="s">
        <v>160</v>
      </c>
      <c r="L318" s="132"/>
      <c r="M318" s="177" t="s">
        <v>742</v>
      </c>
      <c r="N318" s="206" t="s">
        <v>715</v>
      </c>
      <c r="O318" s="79">
        <v>11</v>
      </c>
      <c r="P318" s="79">
        <v>2025</v>
      </c>
      <c r="Q318" s="11"/>
    </row>
    <row r="319" spans="1:17" ht="89.25">
      <c r="A319" s="132">
        <v>318</v>
      </c>
      <c r="B319" s="79">
        <v>2025</v>
      </c>
      <c r="C319" s="132" t="s">
        <v>161</v>
      </c>
      <c r="D319" s="80" t="s">
        <v>743</v>
      </c>
      <c r="E319" s="81">
        <v>45961</v>
      </c>
      <c r="F319" s="132" t="s">
        <v>198</v>
      </c>
      <c r="G319" s="132"/>
      <c r="H319" s="79" t="s">
        <v>810</v>
      </c>
      <c r="I319" s="132" t="s">
        <v>561</v>
      </c>
      <c r="J319" s="81">
        <v>46006</v>
      </c>
      <c r="K319" s="79" t="s">
        <v>160</v>
      </c>
      <c r="L319" s="132"/>
      <c r="M319" s="177" t="s">
        <v>743</v>
      </c>
      <c r="N319" s="206" t="s">
        <v>715</v>
      </c>
      <c r="O319" s="79">
        <v>11</v>
      </c>
      <c r="P319" s="79">
        <v>2025</v>
      </c>
      <c r="Q319" s="11"/>
    </row>
    <row r="320" spans="1:17" ht="89.25">
      <c r="A320" s="132">
        <v>319</v>
      </c>
      <c r="B320" s="79">
        <v>2025</v>
      </c>
      <c r="C320" s="132" t="s">
        <v>150</v>
      </c>
      <c r="D320" s="80" t="s">
        <v>744</v>
      </c>
      <c r="E320" s="81">
        <v>45976</v>
      </c>
      <c r="F320" s="132" t="s">
        <v>172</v>
      </c>
      <c r="G320" s="132"/>
      <c r="H320" s="79" t="s">
        <v>998</v>
      </c>
      <c r="I320" s="132" t="s">
        <v>196</v>
      </c>
      <c r="J320" s="81">
        <v>46023</v>
      </c>
      <c r="K320" s="79" t="s">
        <v>160</v>
      </c>
      <c r="L320" s="132"/>
      <c r="M320" s="177" t="s">
        <v>744</v>
      </c>
      <c r="N320" s="206" t="s">
        <v>715</v>
      </c>
      <c r="O320" s="79">
        <v>11</v>
      </c>
      <c r="P320" s="79">
        <v>2025</v>
      </c>
      <c r="Q320" s="11"/>
    </row>
    <row r="321" spans="1:17" ht="89.25">
      <c r="A321" s="132">
        <v>320</v>
      </c>
      <c r="B321" s="79">
        <v>2025</v>
      </c>
      <c r="C321" s="132" t="s">
        <v>154</v>
      </c>
      <c r="D321" s="80" t="s">
        <v>746</v>
      </c>
      <c r="E321" s="81">
        <v>45978</v>
      </c>
      <c r="F321" s="132" t="s">
        <v>151</v>
      </c>
      <c r="G321" s="132"/>
      <c r="H321" s="79" t="s">
        <v>811</v>
      </c>
      <c r="I321" s="132" t="s">
        <v>196</v>
      </c>
      <c r="J321" s="81">
        <v>45978</v>
      </c>
      <c r="K321" s="79" t="s">
        <v>160</v>
      </c>
      <c r="L321" s="132"/>
      <c r="M321" s="177" t="s">
        <v>746</v>
      </c>
      <c r="N321" s="206" t="s">
        <v>715</v>
      </c>
      <c r="O321" s="79">
        <v>11</v>
      </c>
      <c r="P321" s="79">
        <v>2025</v>
      </c>
      <c r="Q321" s="11"/>
    </row>
    <row r="322" spans="1:17" ht="89.25">
      <c r="A322" s="132">
        <v>321</v>
      </c>
      <c r="B322" s="79">
        <v>2025</v>
      </c>
      <c r="C322" s="132" t="s">
        <v>154</v>
      </c>
      <c r="D322" s="80" t="s">
        <v>747</v>
      </c>
      <c r="E322" s="81">
        <v>45964</v>
      </c>
      <c r="F322" s="132" t="s">
        <v>215</v>
      </c>
      <c r="G322" s="132"/>
      <c r="H322" s="79" t="s">
        <v>748</v>
      </c>
      <c r="I322" s="132" t="s">
        <v>196</v>
      </c>
      <c r="J322" s="81">
        <v>46021</v>
      </c>
      <c r="K322" s="79" t="s">
        <v>160</v>
      </c>
      <c r="L322" s="132"/>
      <c r="M322" s="177" t="s">
        <v>747</v>
      </c>
      <c r="N322" s="206" t="s">
        <v>715</v>
      </c>
      <c r="O322" s="79">
        <v>11</v>
      </c>
      <c r="P322" s="79">
        <v>2025</v>
      </c>
      <c r="Q322" s="11"/>
    </row>
    <row r="323" spans="1:17" ht="89.25">
      <c r="A323" s="138">
        <v>322</v>
      </c>
      <c r="B323" s="139">
        <v>2025</v>
      </c>
      <c r="C323" s="138" t="s">
        <v>161</v>
      </c>
      <c r="D323" s="140" t="s">
        <v>1012</v>
      </c>
      <c r="E323" s="141">
        <v>45980</v>
      </c>
      <c r="F323" s="138" t="s">
        <v>198</v>
      </c>
      <c r="G323" s="138"/>
      <c r="H323" s="147" t="s">
        <v>1021</v>
      </c>
      <c r="I323" s="138" t="s">
        <v>561</v>
      </c>
      <c r="J323" s="141">
        <v>46027</v>
      </c>
      <c r="K323" s="139" t="s">
        <v>160</v>
      </c>
      <c r="L323" s="138"/>
      <c r="M323" s="177" t="s">
        <v>1012</v>
      </c>
      <c r="N323" s="142" t="s">
        <v>1047</v>
      </c>
      <c r="O323" s="138">
        <v>12</v>
      </c>
      <c r="P323" s="138">
        <v>2025</v>
      </c>
      <c r="Q323" s="11"/>
    </row>
    <row r="324" spans="1:17" ht="89.25">
      <c r="A324" s="138">
        <v>323</v>
      </c>
      <c r="B324" s="139">
        <v>2025</v>
      </c>
      <c r="C324" s="138" t="s">
        <v>150</v>
      </c>
      <c r="D324" s="140" t="s">
        <v>1013</v>
      </c>
      <c r="E324" s="141">
        <v>45976</v>
      </c>
      <c r="F324" s="138" t="s">
        <v>198</v>
      </c>
      <c r="G324" s="138"/>
      <c r="H324" s="147" t="s">
        <v>1019</v>
      </c>
      <c r="I324" s="138" t="s">
        <v>477</v>
      </c>
      <c r="J324" s="141">
        <v>46023</v>
      </c>
      <c r="K324" s="139" t="s">
        <v>160</v>
      </c>
      <c r="L324" s="138"/>
      <c r="M324" s="177" t="s">
        <v>1013</v>
      </c>
      <c r="N324" s="142" t="s">
        <v>1047</v>
      </c>
      <c r="O324" s="138">
        <v>12</v>
      </c>
      <c r="P324" s="138">
        <v>2025</v>
      </c>
      <c r="Q324" s="11"/>
    </row>
    <row r="325" spans="1:17" ht="89.25">
      <c r="A325" s="138">
        <v>324</v>
      </c>
      <c r="B325" s="139">
        <v>2025</v>
      </c>
      <c r="C325" s="138" t="s">
        <v>161</v>
      </c>
      <c r="D325" s="140" t="s">
        <v>1014</v>
      </c>
      <c r="E325" s="141">
        <v>45982</v>
      </c>
      <c r="F325" s="138" t="s">
        <v>151</v>
      </c>
      <c r="G325" s="138"/>
      <c r="H325" s="147" t="s">
        <v>1020</v>
      </c>
      <c r="I325" s="138" t="s">
        <v>196</v>
      </c>
      <c r="J325" s="141">
        <v>45982</v>
      </c>
      <c r="K325" s="139" t="s">
        <v>160</v>
      </c>
      <c r="L325" s="138"/>
      <c r="M325" s="177" t="s">
        <v>1014</v>
      </c>
      <c r="N325" s="142" t="s">
        <v>1047</v>
      </c>
      <c r="O325" s="138">
        <v>12</v>
      </c>
      <c r="P325" s="138">
        <v>2025</v>
      </c>
      <c r="Q325" s="11"/>
    </row>
    <row r="326" spans="1:17" ht="89.25">
      <c r="A326" s="138">
        <v>325</v>
      </c>
      <c r="B326" s="139">
        <v>2025</v>
      </c>
      <c r="C326" s="138" t="s">
        <v>155</v>
      </c>
      <c r="D326" s="140" t="s">
        <v>1015</v>
      </c>
      <c r="E326" s="141">
        <v>45954</v>
      </c>
      <c r="F326" s="138" t="s">
        <v>198</v>
      </c>
      <c r="G326" s="138"/>
      <c r="H326" s="147" t="s">
        <v>1018</v>
      </c>
      <c r="I326" s="138" t="s">
        <v>252</v>
      </c>
      <c r="J326" s="141">
        <v>46000</v>
      </c>
      <c r="K326" s="139" t="s">
        <v>160</v>
      </c>
      <c r="L326" s="138"/>
      <c r="M326" s="177" t="s">
        <v>1015</v>
      </c>
      <c r="N326" s="142" t="s">
        <v>1047</v>
      </c>
      <c r="O326" s="138">
        <v>12</v>
      </c>
      <c r="P326" s="138">
        <v>2025</v>
      </c>
      <c r="Q326" s="11"/>
    </row>
    <row r="327" spans="1:17" ht="89.25">
      <c r="A327" s="138">
        <v>326</v>
      </c>
      <c r="B327" s="139">
        <v>2025</v>
      </c>
      <c r="C327" s="138" t="s">
        <v>154</v>
      </c>
      <c r="D327" s="140" t="s">
        <v>1017</v>
      </c>
      <c r="E327" s="143">
        <v>45993</v>
      </c>
      <c r="F327" s="138" t="s">
        <v>172</v>
      </c>
      <c r="G327" s="138"/>
      <c r="H327" s="147" t="s">
        <v>1022</v>
      </c>
      <c r="I327" s="138" t="s">
        <v>196</v>
      </c>
      <c r="J327" s="143">
        <v>45993</v>
      </c>
      <c r="K327" s="139" t="s">
        <v>160</v>
      </c>
      <c r="L327" s="138"/>
      <c r="M327" s="177" t="s">
        <v>1017</v>
      </c>
      <c r="N327" s="142" t="s">
        <v>1047</v>
      </c>
      <c r="O327" s="138">
        <v>12</v>
      </c>
      <c r="P327" s="138">
        <v>2025</v>
      </c>
      <c r="Q327" s="11"/>
    </row>
    <row r="328" spans="1:17" ht="89.25">
      <c r="A328" s="138">
        <v>327</v>
      </c>
      <c r="B328" s="139">
        <v>2025</v>
      </c>
      <c r="C328" s="138" t="s">
        <v>165</v>
      </c>
      <c r="D328" s="140" t="s">
        <v>1023</v>
      </c>
      <c r="E328" s="143">
        <v>45992</v>
      </c>
      <c r="F328" s="138" t="s">
        <v>151</v>
      </c>
      <c r="G328" s="138"/>
      <c r="H328" s="147" t="s">
        <v>1024</v>
      </c>
      <c r="I328" s="138" t="s">
        <v>196</v>
      </c>
      <c r="J328" s="143">
        <v>46042</v>
      </c>
      <c r="K328" s="139" t="s">
        <v>160</v>
      </c>
      <c r="L328" s="138"/>
      <c r="M328" s="177" t="s">
        <v>1023</v>
      </c>
      <c r="N328" s="142" t="s">
        <v>1047</v>
      </c>
      <c r="O328" s="138">
        <v>12</v>
      </c>
      <c r="P328" s="138">
        <v>2025</v>
      </c>
      <c r="Q328" s="11"/>
    </row>
    <row r="329" spans="1:17" ht="89.25">
      <c r="A329" s="138">
        <v>328</v>
      </c>
      <c r="B329" s="139">
        <v>2025</v>
      </c>
      <c r="C329" s="138" t="s">
        <v>154</v>
      </c>
      <c r="D329" s="140" t="s">
        <v>1025</v>
      </c>
      <c r="E329" s="143">
        <v>45990</v>
      </c>
      <c r="F329" s="138" t="s">
        <v>151</v>
      </c>
      <c r="G329" s="138"/>
      <c r="H329" s="147" t="s">
        <v>1026</v>
      </c>
      <c r="I329" s="138" t="s">
        <v>196</v>
      </c>
      <c r="J329" s="143">
        <v>45990</v>
      </c>
      <c r="K329" s="139" t="s">
        <v>160</v>
      </c>
      <c r="L329" s="138"/>
      <c r="M329" s="177" t="s">
        <v>1025</v>
      </c>
      <c r="N329" s="142" t="s">
        <v>1047</v>
      </c>
      <c r="O329" s="138">
        <v>12</v>
      </c>
      <c r="P329" s="138">
        <v>2025</v>
      </c>
      <c r="Q329" s="11"/>
    </row>
    <row r="330" spans="1:17" ht="89.25">
      <c r="A330" s="138">
        <v>329</v>
      </c>
      <c r="B330" s="138">
        <v>2025</v>
      </c>
      <c r="C330" s="138" t="s">
        <v>154</v>
      </c>
      <c r="D330" s="144" t="s">
        <v>1050</v>
      </c>
      <c r="E330" s="143">
        <v>46001</v>
      </c>
      <c r="F330" s="138" t="s">
        <v>383</v>
      </c>
      <c r="G330" s="138"/>
      <c r="H330" s="146" t="s">
        <v>1027</v>
      </c>
      <c r="I330" s="138" t="s">
        <v>384</v>
      </c>
      <c r="J330" s="143">
        <v>46204</v>
      </c>
      <c r="K330" s="138" t="s">
        <v>160</v>
      </c>
      <c r="L330" s="138"/>
      <c r="M330" s="177" t="s">
        <v>1050</v>
      </c>
      <c r="N330" s="142" t="s">
        <v>1047</v>
      </c>
      <c r="O330" s="138">
        <v>12</v>
      </c>
      <c r="P330" s="138">
        <v>2025</v>
      </c>
      <c r="Q330" s="11"/>
    </row>
    <row r="331" spans="1:17" ht="89.25">
      <c r="A331" s="138">
        <v>330</v>
      </c>
      <c r="B331" s="139">
        <v>2025</v>
      </c>
      <c r="C331" s="138" t="s">
        <v>155</v>
      </c>
      <c r="D331" s="138" t="s">
        <v>1133</v>
      </c>
      <c r="E331" s="143">
        <v>46001</v>
      </c>
      <c r="F331" s="138" t="s">
        <v>383</v>
      </c>
      <c r="G331" s="138"/>
      <c r="H331" s="146" t="s">
        <v>1028</v>
      </c>
      <c r="I331" s="138" t="s">
        <v>384</v>
      </c>
      <c r="J331" s="143">
        <v>46023</v>
      </c>
      <c r="K331" s="138" t="s">
        <v>160</v>
      </c>
      <c r="L331" s="138"/>
      <c r="M331" s="138" t="s">
        <v>1133</v>
      </c>
      <c r="N331" s="142" t="s">
        <v>1047</v>
      </c>
      <c r="O331" s="138">
        <v>12</v>
      </c>
      <c r="P331" s="138">
        <v>2025</v>
      </c>
      <c r="Q331" s="11"/>
    </row>
    <row r="332" spans="1:17" ht="89.25">
      <c r="A332" s="138">
        <v>331</v>
      </c>
      <c r="B332" s="138">
        <v>2025</v>
      </c>
      <c r="C332" s="138" t="s">
        <v>155</v>
      </c>
      <c r="D332" s="138" t="s">
        <v>1136</v>
      </c>
      <c r="E332" s="143">
        <v>45942</v>
      </c>
      <c r="F332" s="138" t="s">
        <v>383</v>
      </c>
      <c r="G332" s="138"/>
      <c r="H332" s="146" t="s">
        <v>1029</v>
      </c>
      <c r="I332" s="138" t="s">
        <v>384</v>
      </c>
      <c r="J332" s="143">
        <v>46023</v>
      </c>
      <c r="K332" s="138" t="s">
        <v>160</v>
      </c>
      <c r="L332" s="138"/>
      <c r="M332" s="138" t="s">
        <v>1136</v>
      </c>
      <c r="N332" s="142" t="s">
        <v>1047</v>
      </c>
      <c r="O332" s="138">
        <v>12</v>
      </c>
      <c r="P332" s="138">
        <v>2025</v>
      </c>
      <c r="Q332" s="11"/>
    </row>
    <row r="333" spans="1:17" ht="89.25">
      <c r="A333" s="138">
        <v>332</v>
      </c>
      <c r="B333" s="139">
        <v>2025</v>
      </c>
      <c r="C333" s="138" t="s">
        <v>155</v>
      </c>
      <c r="D333" s="138" t="s">
        <v>1072</v>
      </c>
      <c r="E333" s="143">
        <v>46001</v>
      </c>
      <c r="F333" s="138" t="s">
        <v>383</v>
      </c>
      <c r="G333" s="138"/>
      <c r="H333" s="146" t="s">
        <v>1030</v>
      </c>
      <c r="I333" s="138" t="s">
        <v>384</v>
      </c>
      <c r="J333" s="143">
        <v>46204</v>
      </c>
      <c r="K333" s="138" t="s">
        <v>160</v>
      </c>
      <c r="L333" s="138"/>
      <c r="M333" s="138" t="s">
        <v>1072</v>
      </c>
      <c r="N333" s="142" t="s">
        <v>1047</v>
      </c>
      <c r="O333" s="138">
        <v>12</v>
      </c>
      <c r="P333" s="138">
        <v>2025</v>
      </c>
      <c r="Q333" s="11"/>
    </row>
    <row r="334" spans="1:17" ht="89.25">
      <c r="A334" s="138">
        <v>333</v>
      </c>
      <c r="B334" s="138">
        <v>2025</v>
      </c>
      <c r="C334" s="138" t="s">
        <v>154</v>
      </c>
      <c r="D334" s="210" t="s">
        <v>1051</v>
      </c>
      <c r="E334" s="143">
        <v>46001</v>
      </c>
      <c r="F334" s="138" t="s">
        <v>383</v>
      </c>
      <c r="G334" s="138"/>
      <c r="H334" s="146" t="s">
        <v>1031</v>
      </c>
      <c r="I334" s="138" t="s">
        <v>384</v>
      </c>
      <c r="J334" s="143">
        <v>46082</v>
      </c>
      <c r="K334" s="138" t="s">
        <v>160</v>
      </c>
      <c r="L334" s="138"/>
      <c r="M334" s="177" t="s">
        <v>1051</v>
      </c>
      <c r="N334" s="142" t="s">
        <v>1047</v>
      </c>
      <c r="O334" s="138">
        <v>12</v>
      </c>
      <c r="P334" s="138">
        <v>2025</v>
      </c>
      <c r="Q334" s="11"/>
    </row>
    <row r="335" spans="1:17" ht="89.25">
      <c r="A335" s="138">
        <v>334</v>
      </c>
      <c r="B335" s="139">
        <v>2025</v>
      </c>
      <c r="C335" s="138" t="s">
        <v>154</v>
      </c>
      <c r="D335" s="138" t="s">
        <v>1071</v>
      </c>
      <c r="E335" s="143">
        <v>46001</v>
      </c>
      <c r="F335" s="138" t="s">
        <v>383</v>
      </c>
      <c r="G335" s="138"/>
      <c r="H335" s="146" t="s">
        <v>1032</v>
      </c>
      <c r="I335" s="138" t="s">
        <v>384</v>
      </c>
      <c r="J335" s="143">
        <v>46204</v>
      </c>
      <c r="K335" s="138" t="s">
        <v>160</v>
      </c>
      <c r="L335" s="138"/>
      <c r="M335" s="138" t="s">
        <v>1071</v>
      </c>
      <c r="N335" s="142" t="s">
        <v>1047</v>
      </c>
      <c r="O335" s="138">
        <v>12</v>
      </c>
      <c r="P335" s="138">
        <v>2025</v>
      </c>
      <c r="Q335" s="11"/>
    </row>
    <row r="336" spans="1:17" ht="89.25">
      <c r="A336" s="138">
        <v>335</v>
      </c>
      <c r="B336" s="138">
        <v>2025</v>
      </c>
      <c r="C336" s="138" t="s">
        <v>154</v>
      </c>
      <c r="D336" s="210" t="s">
        <v>449</v>
      </c>
      <c r="E336" s="143">
        <v>45834</v>
      </c>
      <c r="F336" s="138" t="s">
        <v>383</v>
      </c>
      <c r="G336" s="138"/>
      <c r="H336" s="146" t="s">
        <v>1033</v>
      </c>
      <c r="I336" s="138" t="s">
        <v>384</v>
      </c>
      <c r="J336" s="143">
        <v>46023</v>
      </c>
      <c r="K336" s="138" t="s">
        <v>160</v>
      </c>
      <c r="L336" s="138"/>
      <c r="M336" s="177" t="s">
        <v>449</v>
      </c>
      <c r="N336" s="142" t="s">
        <v>1047</v>
      </c>
      <c r="O336" s="138">
        <v>12</v>
      </c>
      <c r="P336" s="138">
        <v>2025</v>
      </c>
      <c r="Q336" s="11"/>
    </row>
    <row r="337" spans="1:17" ht="89.25">
      <c r="A337" s="138">
        <v>336</v>
      </c>
      <c r="B337" s="139">
        <v>2025</v>
      </c>
      <c r="C337" s="138" t="s">
        <v>154</v>
      </c>
      <c r="D337" s="138" t="s">
        <v>1069</v>
      </c>
      <c r="E337" s="143">
        <v>46001</v>
      </c>
      <c r="F337" s="138" t="s">
        <v>383</v>
      </c>
      <c r="G337" s="138"/>
      <c r="H337" s="146" t="s">
        <v>1034</v>
      </c>
      <c r="I337" s="138" t="s">
        <v>384</v>
      </c>
      <c r="J337" s="143">
        <v>46204</v>
      </c>
      <c r="K337" s="138" t="s">
        <v>160</v>
      </c>
      <c r="L337" s="138"/>
      <c r="M337" s="138" t="s">
        <v>1069</v>
      </c>
      <c r="N337" s="142" t="s">
        <v>1047</v>
      </c>
      <c r="O337" s="138">
        <v>12</v>
      </c>
      <c r="P337" s="138">
        <v>2025</v>
      </c>
      <c r="Q337" s="11"/>
    </row>
    <row r="338" spans="1:17" ht="89.25">
      <c r="A338" s="138">
        <v>337</v>
      </c>
      <c r="B338" s="138">
        <v>2025</v>
      </c>
      <c r="C338" s="138" t="s">
        <v>161</v>
      </c>
      <c r="D338" s="138" t="s">
        <v>1070</v>
      </c>
      <c r="E338" s="143">
        <v>46001</v>
      </c>
      <c r="F338" s="138" t="s">
        <v>383</v>
      </c>
      <c r="G338" s="138"/>
      <c r="H338" s="146" t="s">
        <v>1052</v>
      </c>
      <c r="I338" s="138" t="s">
        <v>384</v>
      </c>
      <c r="J338" s="143">
        <v>46204</v>
      </c>
      <c r="K338" s="138" t="s">
        <v>160</v>
      </c>
      <c r="L338" s="138"/>
      <c r="M338" s="138" t="s">
        <v>1070</v>
      </c>
      <c r="N338" s="142" t="s">
        <v>1047</v>
      </c>
      <c r="O338" s="138">
        <v>12</v>
      </c>
      <c r="P338" s="138">
        <v>2025</v>
      </c>
      <c r="Q338" s="11"/>
    </row>
    <row r="339" spans="1:17" ht="89.25">
      <c r="A339" s="138">
        <v>338</v>
      </c>
      <c r="B339" s="139">
        <v>2025</v>
      </c>
      <c r="C339" s="138" t="s">
        <v>154</v>
      </c>
      <c r="D339" s="144" t="s">
        <v>1036</v>
      </c>
      <c r="E339" s="143">
        <v>46003</v>
      </c>
      <c r="F339" s="138" t="s">
        <v>215</v>
      </c>
      <c r="G339" s="138"/>
      <c r="H339" s="146" t="s">
        <v>1035</v>
      </c>
      <c r="I339" s="138" t="s">
        <v>215</v>
      </c>
      <c r="J339" s="143">
        <v>46023</v>
      </c>
      <c r="K339" s="138" t="s">
        <v>160</v>
      </c>
      <c r="L339" s="138"/>
      <c r="M339" s="179" t="s">
        <v>1036</v>
      </c>
      <c r="N339" s="142" t="s">
        <v>1047</v>
      </c>
      <c r="O339" s="138">
        <v>12</v>
      </c>
      <c r="P339" s="138">
        <v>2025</v>
      </c>
      <c r="Q339" s="11"/>
    </row>
    <row r="340" spans="1:17" ht="89.25">
      <c r="A340" s="138">
        <v>339</v>
      </c>
      <c r="B340" s="138">
        <v>2025</v>
      </c>
      <c r="C340" s="138" t="s">
        <v>154</v>
      </c>
      <c r="D340" s="144" t="s">
        <v>1038</v>
      </c>
      <c r="E340" s="143">
        <v>45992</v>
      </c>
      <c r="F340" s="138" t="s">
        <v>151</v>
      </c>
      <c r="G340" s="138"/>
      <c r="H340" s="146" t="s">
        <v>1037</v>
      </c>
      <c r="I340" s="138" t="s">
        <v>151</v>
      </c>
      <c r="J340" s="143">
        <v>46042</v>
      </c>
      <c r="K340" s="138" t="s">
        <v>160</v>
      </c>
      <c r="L340" s="138"/>
      <c r="M340" s="179" t="s">
        <v>1038</v>
      </c>
      <c r="N340" s="142" t="s">
        <v>1047</v>
      </c>
      <c r="O340" s="138">
        <v>12</v>
      </c>
      <c r="P340" s="138">
        <v>2025</v>
      </c>
      <c r="Q340" s="11"/>
    </row>
    <row r="341" spans="1:17" ht="89.25">
      <c r="A341" s="138">
        <v>340</v>
      </c>
      <c r="B341" s="139">
        <v>2025</v>
      </c>
      <c r="C341" s="138" t="s">
        <v>150</v>
      </c>
      <c r="D341" s="144" t="s">
        <v>1040</v>
      </c>
      <c r="E341" s="143">
        <v>45999</v>
      </c>
      <c r="F341" s="138" t="s">
        <v>198</v>
      </c>
      <c r="G341" s="138"/>
      <c r="H341" s="146" t="s">
        <v>1039</v>
      </c>
      <c r="I341" s="138" t="s">
        <v>198</v>
      </c>
      <c r="J341" s="143">
        <v>46047</v>
      </c>
      <c r="K341" s="138" t="s">
        <v>160</v>
      </c>
      <c r="L341" s="138"/>
      <c r="M341" s="179" t="s">
        <v>1040</v>
      </c>
      <c r="N341" s="142" t="s">
        <v>1047</v>
      </c>
      <c r="O341" s="138">
        <v>12</v>
      </c>
      <c r="P341" s="138">
        <v>2025</v>
      </c>
      <c r="Q341" s="11"/>
    </row>
    <row r="342" spans="1:17" ht="89.25">
      <c r="A342" s="138">
        <v>341</v>
      </c>
      <c r="B342" s="138">
        <v>2025</v>
      </c>
      <c r="C342" s="138" t="s">
        <v>154</v>
      </c>
      <c r="D342" s="144" t="s">
        <v>1041</v>
      </c>
      <c r="E342" s="143">
        <v>45995</v>
      </c>
      <c r="F342" s="138" t="s">
        <v>215</v>
      </c>
      <c r="G342" s="138"/>
      <c r="H342" s="146" t="s">
        <v>1048</v>
      </c>
      <c r="I342" s="138" t="s">
        <v>215</v>
      </c>
      <c r="J342" s="143">
        <v>45962</v>
      </c>
      <c r="K342" s="138" t="s">
        <v>160</v>
      </c>
      <c r="L342" s="138"/>
      <c r="M342" s="179" t="s">
        <v>1041</v>
      </c>
      <c r="N342" s="142" t="s">
        <v>1047</v>
      </c>
      <c r="O342" s="138">
        <v>12</v>
      </c>
      <c r="P342" s="138">
        <v>2025</v>
      </c>
      <c r="Q342" s="11"/>
    </row>
    <row r="343" spans="1:17" ht="89.25">
      <c r="A343" s="138">
        <v>342</v>
      </c>
      <c r="B343" s="139">
        <v>2025</v>
      </c>
      <c r="C343" s="138" t="s">
        <v>154</v>
      </c>
      <c r="D343" s="144" t="s">
        <v>1042</v>
      </c>
      <c r="E343" s="143">
        <v>45975</v>
      </c>
      <c r="F343" s="138" t="s">
        <v>198</v>
      </c>
      <c r="G343" s="138"/>
      <c r="H343" s="146" t="s">
        <v>1049</v>
      </c>
      <c r="I343" s="138" t="s">
        <v>198</v>
      </c>
      <c r="J343" s="143">
        <v>46023</v>
      </c>
      <c r="K343" s="138" t="s">
        <v>160</v>
      </c>
      <c r="L343" s="138"/>
      <c r="M343" s="179" t="s">
        <v>1042</v>
      </c>
      <c r="N343" s="142" t="s">
        <v>1047</v>
      </c>
      <c r="O343" s="138">
        <v>12</v>
      </c>
      <c r="P343" s="138">
        <v>2025</v>
      </c>
      <c r="Q343" s="11"/>
    </row>
    <row r="344" spans="1:17" ht="89.25">
      <c r="A344" s="138">
        <v>343</v>
      </c>
      <c r="B344" s="138">
        <v>2025</v>
      </c>
      <c r="C344" s="138" t="s">
        <v>154</v>
      </c>
      <c r="D344" s="144" t="s">
        <v>1044</v>
      </c>
      <c r="E344" s="143">
        <v>45991</v>
      </c>
      <c r="F344" s="138" t="s">
        <v>198</v>
      </c>
      <c r="G344" s="138"/>
      <c r="H344" s="146" t="s">
        <v>1043</v>
      </c>
      <c r="I344" s="138" t="s">
        <v>198</v>
      </c>
      <c r="J344" s="143">
        <v>46006</v>
      </c>
      <c r="K344" s="138" t="s">
        <v>160</v>
      </c>
      <c r="L344" s="138"/>
      <c r="M344" s="179" t="s">
        <v>1044</v>
      </c>
      <c r="N344" s="142" t="s">
        <v>1047</v>
      </c>
      <c r="O344" s="138">
        <v>12</v>
      </c>
      <c r="P344" s="138">
        <v>2025</v>
      </c>
      <c r="Q344" s="11"/>
    </row>
    <row r="345" spans="1:17" ht="89.25">
      <c r="A345" s="138">
        <v>344</v>
      </c>
      <c r="B345" s="139">
        <v>2025</v>
      </c>
      <c r="C345" s="138" t="s">
        <v>154</v>
      </c>
      <c r="D345" s="144" t="s">
        <v>1046</v>
      </c>
      <c r="E345" s="143">
        <v>46001</v>
      </c>
      <c r="F345" s="138" t="s">
        <v>151</v>
      </c>
      <c r="G345" s="138"/>
      <c r="H345" s="146" t="s">
        <v>1045</v>
      </c>
      <c r="I345" s="138" t="s">
        <v>151</v>
      </c>
      <c r="J345" s="143">
        <v>46001</v>
      </c>
      <c r="K345" s="138" t="s">
        <v>160</v>
      </c>
      <c r="L345" s="138"/>
      <c r="M345" s="179" t="s">
        <v>1046</v>
      </c>
      <c r="N345" s="142" t="s">
        <v>1047</v>
      </c>
      <c r="O345" s="138">
        <v>12</v>
      </c>
      <c r="P345" s="138">
        <v>2025</v>
      </c>
      <c r="Q345" s="11"/>
    </row>
    <row r="346" spans="1:17" ht="89.25">
      <c r="A346" s="11">
        <v>345</v>
      </c>
      <c r="B346" s="11">
        <v>2026</v>
      </c>
      <c r="C346" s="138" t="s">
        <v>154</v>
      </c>
      <c r="D346" s="12" t="s">
        <v>1054</v>
      </c>
      <c r="E346" s="13">
        <v>46029</v>
      </c>
      <c r="F346" s="11" t="s">
        <v>172</v>
      </c>
      <c r="G346" s="11"/>
      <c r="H346" s="9" t="s">
        <v>1053</v>
      </c>
      <c r="I346" s="11" t="s">
        <v>172</v>
      </c>
      <c r="J346" s="13">
        <v>46029</v>
      </c>
      <c r="K346" s="138" t="s">
        <v>160</v>
      </c>
      <c r="L346" s="11"/>
      <c r="M346" s="177" t="s">
        <v>1054</v>
      </c>
      <c r="N346" s="137" t="s">
        <v>1068</v>
      </c>
      <c r="O346" s="11">
        <v>1</v>
      </c>
      <c r="P346" s="11">
        <v>2026</v>
      </c>
      <c r="Q346" s="14"/>
    </row>
    <row r="347" spans="1:17" ht="89.25">
      <c r="A347" s="138">
        <v>346</v>
      </c>
      <c r="B347" s="11">
        <v>2026</v>
      </c>
      <c r="C347" s="138" t="s">
        <v>154</v>
      </c>
      <c r="D347" s="12" t="s">
        <v>1056</v>
      </c>
      <c r="E347" s="13">
        <v>46001</v>
      </c>
      <c r="F347" s="138" t="s">
        <v>383</v>
      </c>
      <c r="G347" s="11"/>
      <c r="H347" s="9" t="s">
        <v>1055</v>
      </c>
      <c r="I347" s="138" t="s">
        <v>383</v>
      </c>
      <c r="J347" s="13">
        <v>46113</v>
      </c>
      <c r="K347" s="138" t="s">
        <v>160</v>
      </c>
      <c r="L347" s="11"/>
      <c r="M347" s="179" t="s">
        <v>1056</v>
      </c>
      <c r="N347" s="137" t="s">
        <v>1068</v>
      </c>
      <c r="O347" s="11">
        <v>1</v>
      </c>
      <c r="P347" s="11">
        <v>2026</v>
      </c>
      <c r="Q347" s="14"/>
    </row>
    <row r="348" spans="1:17" ht="89.25">
      <c r="A348" s="138">
        <v>347</v>
      </c>
      <c r="B348" s="11">
        <v>2026</v>
      </c>
      <c r="C348" s="138" t="s">
        <v>161</v>
      </c>
      <c r="D348" s="12" t="s">
        <v>1058</v>
      </c>
      <c r="E348" s="13">
        <v>46001</v>
      </c>
      <c r="F348" s="138" t="s">
        <v>383</v>
      </c>
      <c r="G348" s="11"/>
      <c r="H348" s="9" t="s">
        <v>1057</v>
      </c>
      <c r="I348" s="138" t="s">
        <v>383</v>
      </c>
      <c r="J348" s="13">
        <v>46204</v>
      </c>
      <c r="K348" s="138" t="s">
        <v>160</v>
      </c>
      <c r="L348" s="11"/>
      <c r="M348" s="179" t="s">
        <v>1058</v>
      </c>
      <c r="N348" s="137" t="s">
        <v>1068</v>
      </c>
      <c r="O348" s="11">
        <v>1</v>
      </c>
      <c r="P348" s="11">
        <v>2026</v>
      </c>
      <c r="Q348" s="14"/>
    </row>
    <row r="349" spans="1:17" ht="89.25">
      <c r="A349" s="138">
        <v>348</v>
      </c>
      <c r="B349" s="11">
        <v>2026</v>
      </c>
      <c r="C349" s="138" t="s">
        <v>161</v>
      </c>
      <c r="D349" s="12" t="s">
        <v>1060</v>
      </c>
      <c r="E349" s="13">
        <v>46022</v>
      </c>
      <c r="F349" s="11" t="s">
        <v>1061</v>
      </c>
      <c r="G349" s="11"/>
      <c r="H349" s="9" t="s">
        <v>1059</v>
      </c>
      <c r="I349" s="11" t="s">
        <v>1061</v>
      </c>
      <c r="J349" s="13">
        <v>46023</v>
      </c>
      <c r="K349" s="138" t="s">
        <v>160</v>
      </c>
      <c r="L349" s="11"/>
      <c r="M349" s="177" t="s">
        <v>1060</v>
      </c>
      <c r="N349" s="137" t="s">
        <v>1068</v>
      </c>
      <c r="O349" s="11">
        <v>1</v>
      </c>
      <c r="P349" s="11">
        <v>2026</v>
      </c>
      <c r="Q349" s="14"/>
    </row>
    <row r="350" spans="1:17" ht="89.25">
      <c r="A350" s="11">
        <v>349</v>
      </c>
      <c r="B350" s="11">
        <v>2026</v>
      </c>
      <c r="C350" s="11" t="s">
        <v>150</v>
      </c>
      <c r="D350" s="12" t="s">
        <v>1063</v>
      </c>
      <c r="E350" s="13">
        <v>46023</v>
      </c>
      <c r="F350" s="11" t="s">
        <v>198</v>
      </c>
      <c r="G350" s="11"/>
      <c r="H350" s="9" t="s">
        <v>1062</v>
      </c>
      <c r="I350" s="11" t="s">
        <v>198</v>
      </c>
      <c r="J350" s="13">
        <v>46073</v>
      </c>
      <c r="K350" s="138" t="s">
        <v>160</v>
      </c>
      <c r="L350" s="11"/>
      <c r="M350" s="177" t="s">
        <v>1063</v>
      </c>
      <c r="N350" s="137" t="s">
        <v>1068</v>
      </c>
      <c r="O350" s="11">
        <v>1</v>
      </c>
      <c r="P350" s="11">
        <v>2026</v>
      </c>
      <c r="Q350" s="14"/>
    </row>
    <row r="351" spans="1:17" ht="89.25">
      <c r="A351" s="138">
        <v>350</v>
      </c>
      <c r="B351" s="11">
        <v>2026</v>
      </c>
      <c r="C351" s="11" t="s">
        <v>161</v>
      </c>
      <c r="D351" s="12" t="s">
        <v>1065</v>
      </c>
      <c r="E351" s="13">
        <v>46022</v>
      </c>
      <c r="F351" s="11" t="s">
        <v>198</v>
      </c>
      <c r="G351" s="11"/>
      <c r="H351" s="9" t="s">
        <v>1064</v>
      </c>
      <c r="I351" s="11" t="s">
        <v>198</v>
      </c>
      <c r="J351" s="13">
        <v>46082</v>
      </c>
      <c r="K351" s="11" t="s">
        <v>160</v>
      </c>
      <c r="L351" s="11"/>
      <c r="M351" s="177" t="s">
        <v>1065</v>
      </c>
      <c r="N351" s="137" t="s">
        <v>1068</v>
      </c>
      <c r="O351" s="11">
        <v>1</v>
      </c>
      <c r="P351" s="11">
        <v>2026</v>
      </c>
      <c r="Q351" s="14"/>
    </row>
    <row r="352" spans="1:17" ht="89.25">
      <c r="A352" s="138">
        <v>351</v>
      </c>
      <c r="B352" s="11">
        <v>2026</v>
      </c>
      <c r="C352" s="11" t="s">
        <v>150</v>
      </c>
      <c r="D352" s="12" t="s">
        <v>1067</v>
      </c>
      <c r="E352" s="13">
        <v>46009</v>
      </c>
      <c r="F352" s="11" t="s">
        <v>198</v>
      </c>
      <c r="G352" s="11"/>
      <c r="H352" s="9" t="s">
        <v>1066</v>
      </c>
      <c r="I352" s="11" t="s">
        <v>198</v>
      </c>
      <c r="J352" s="13">
        <v>46009</v>
      </c>
      <c r="K352" s="11" t="s">
        <v>160</v>
      </c>
      <c r="L352" s="11"/>
      <c r="M352" s="177" t="s">
        <v>1067</v>
      </c>
      <c r="N352" s="137" t="s">
        <v>1068</v>
      </c>
      <c r="O352" s="11">
        <v>1</v>
      </c>
      <c r="P352" s="11">
        <v>2026</v>
      </c>
      <c r="Q352" s="14"/>
    </row>
    <row r="353" spans="1:17" ht="89.25">
      <c r="A353" s="11">
        <v>352</v>
      </c>
      <c r="B353" s="11">
        <v>2026</v>
      </c>
      <c r="C353" s="11" t="s">
        <v>154</v>
      </c>
      <c r="D353" s="11" t="s">
        <v>1073</v>
      </c>
      <c r="E353" s="13">
        <v>46031</v>
      </c>
      <c r="F353" s="11" t="s">
        <v>152</v>
      </c>
      <c r="G353" s="11" t="s">
        <v>152</v>
      </c>
      <c r="H353" s="9" t="s">
        <v>1091</v>
      </c>
      <c r="I353" s="11" t="s">
        <v>1074</v>
      </c>
      <c r="J353" s="13">
        <v>46031</v>
      </c>
      <c r="K353" s="11" t="s">
        <v>160</v>
      </c>
      <c r="L353" s="11"/>
      <c r="M353" s="177" t="s">
        <v>1075</v>
      </c>
      <c r="N353" s="137" t="s">
        <v>1090</v>
      </c>
      <c r="O353" s="11">
        <v>1</v>
      </c>
      <c r="P353" s="11">
        <v>2026</v>
      </c>
      <c r="Q353" s="14"/>
    </row>
    <row r="354" spans="1:17" ht="89.25">
      <c r="A354" s="11">
        <v>353</v>
      </c>
      <c r="B354" s="11">
        <v>2026</v>
      </c>
      <c r="C354" s="11" t="s">
        <v>154</v>
      </c>
      <c r="D354" s="12" t="s">
        <v>1076</v>
      </c>
      <c r="E354" s="13">
        <v>46001</v>
      </c>
      <c r="F354" s="11" t="s">
        <v>383</v>
      </c>
      <c r="G354" s="11"/>
      <c r="H354" s="9" t="s">
        <v>1077</v>
      </c>
      <c r="I354" s="11" t="s">
        <v>384</v>
      </c>
      <c r="J354" s="13">
        <v>46204</v>
      </c>
      <c r="K354" s="11" t="s">
        <v>160</v>
      </c>
      <c r="L354" s="11"/>
      <c r="M354" s="177" t="s">
        <v>1078</v>
      </c>
      <c r="N354" s="137" t="s">
        <v>1090</v>
      </c>
      <c r="O354" s="11">
        <v>2</v>
      </c>
      <c r="P354" s="11">
        <v>2026</v>
      </c>
      <c r="Q354" s="14"/>
    </row>
    <row r="355" spans="1:17" ht="89.25">
      <c r="A355" s="11">
        <v>354</v>
      </c>
      <c r="B355" s="11">
        <v>2026</v>
      </c>
      <c r="C355" s="11" t="s">
        <v>161</v>
      </c>
      <c r="D355" s="12" t="s">
        <v>1079</v>
      </c>
      <c r="E355" s="13">
        <v>45994</v>
      </c>
      <c r="F355" s="11" t="s">
        <v>215</v>
      </c>
      <c r="G355" s="11"/>
      <c r="H355" s="9" t="s">
        <v>1080</v>
      </c>
      <c r="I355" s="11" t="s">
        <v>196</v>
      </c>
      <c r="J355" s="13">
        <v>46067</v>
      </c>
      <c r="K355" s="11" t="s">
        <v>160</v>
      </c>
      <c r="L355" s="11"/>
      <c r="M355" s="216" t="s">
        <v>1079</v>
      </c>
      <c r="N355" s="137" t="s">
        <v>1090</v>
      </c>
      <c r="O355" s="11">
        <v>2</v>
      </c>
      <c r="P355" s="11">
        <v>2026</v>
      </c>
      <c r="Q355" s="14"/>
    </row>
    <row r="356" spans="1:17" ht="89.25">
      <c r="A356" s="11">
        <v>355</v>
      </c>
      <c r="B356" s="11">
        <v>2026</v>
      </c>
      <c r="C356" s="11" t="s">
        <v>150</v>
      </c>
      <c r="D356" s="12" t="s">
        <v>1082</v>
      </c>
      <c r="E356" s="13">
        <v>46001</v>
      </c>
      <c r="F356" s="11" t="s">
        <v>215</v>
      </c>
      <c r="G356" s="11"/>
      <c r="H356" s="9" t="s">
        <v>1081</v>
      </c>
      <c r="I356" s="11" t="s">
        <v>196</v>
      </c>
      <c r="J356" s="13">
        <v>46204</v>
      </c>
      <c r="K356" s="11" t="s">
        <v>160</v>
      </c>
      <c r="L356" s="11"/>
      <c r="M356" s="216" t="s">
        <v>1396</v>
      </c>
      <c r="N356" s="137" t="s">
        <v>1090</v>
      </c>
      <c r="O356" s="11">
        <v>2</v>
      </c>
      <c r="P356" s="11">
        <v>2026</v>
      </c>
      <c r="Q356" s="14"/>
    </row>
    <row r="357" spans="1:17" ht="89.25">
      <c r="A357" s="11">
        <v>356</v>
      </c>
      <c r="B357" s="11">
        <v>2026</v>
      </c>
      <c r="C357" s="11" t="s">
        <v>161</v>
      </c>
      <c r="D357" s="12" t="s">
        <v>1084</v>
      </c>
      <c r="E357" s="13">
        <v>46038</v>
      </c>
      <c r="F357" s="11" t="s">
        <v>215</v>
      </c>
      <c r="G357" s="11"/>
      <c r="H357" s="9" t="s">
        <v>1083</v>
      </c>
      <c r="I357" s="11" t="s">
        <v>196</v>
      </c>
      <c r="J357" s="13">
        <v>46038</v>
      </c>
      <c r="K357" s="11" t="s">
        <v>160</v>
      </c>
      <c r="L357" s="11"/>
      <c r="M357" s="216" t="s">
        <v>1397</v>
      </c>
      <c r="N357" s="137" t="s">
        <v>1090</v>
      </c>
      <c r="O357" s="11">
        <v>2</v>
      </c>
      <c r="P357" s="11">
        <v>2026</v>
      </c>
      <c r="Q357" s="14"/>
    </row>
    <row r="358" spans="1:17" ht="89.25">
      <c r="A358" s="11">
        <v>357</v>
      </c>
      <c r="B358" s="11">
        <v>2026</v>
      </c>
      <c r="C358" s="11" t="s">
        <v>161</v>
      </c>
      <c r="D358" s="12" t="s">
        <v>1086</v>
      </c>
      <c r="E358" s="13">
        <v>46023</v>
      </c>
      <c r="F358" s="11" t="s">
        <v>198</v>
      </c>
      <c r="G358" s="11"/>
      <c r="H358" s="9" t="s">
        <v>1085</v>
      </c>
      <c r="I358" s="11" t="s">
        <v>364</v>
      </c>
      <c r="J358" s="13">
        <v>46073</v>
      </c>
      <c r="K358" s="11" t="s">
        <v>160</v>
      </c>
      <c r="L358" s="11"/>
      <c r="M358" s="216" t="s">
        <v>1086</v>
      </c>
      <c r="N358" s="137" t="s">
        <v>1090</v>
      </c>
      <c r="O358" s="11">
        <v>2</v>
      </c>
      <c r="P358" s="11">
        <v>2026</v>
      </c>
      <c r="Q358" s="14"/>
    </row>
    <row r="359" spans="1:17" ht="89.25">
      <c r="A359" s="11">
        <v>358</v>
      </c>
      <c r="B359" s="11">
        <v>2026</v>
      </c>
      <c r="C359" s="11" t="s">
        <v>161</v>
      </c>
      <c r="D359" s="12" t="s">
        <v>1088</v>
      </c>
      <c r="E359" s="13">
        <v>46022</v>
      </c>
      <c r="F359" s="11" t="s">
        <v>198</v>
      </c>
      <c r="G359" s="11"/>
      <c r="H359" s="9" t="s">
        <v>1087</v>
      </c>
      <c r="I359" s="11" t="s">
        <v>1089</v>
      </c>
      <c r="J359" s="13">
        <v>46082</v>
      </c>
      <c r="K359" s="11" t="s">
        <v>160</v>
      </c>
      <c r="L359" s="11"/>
      <c r="M359" s="216" t="s">
        <v>1398</v>
      </c>
      <c r="N359" s="137" t="s">
        <v>1090</v>
      </c>
      <c r="O359" s="11">
        <v>2</v>
      </c>
      <c r="P359" s="11">
        <v>2026</v>
      </c>
      <c r="Q359" s="14"/>
    </row>
    <row r="360" spans="1:17" ht="102">
      <c r="A360" s="11">
        <v>359</v>
      </c>
      <c r="B360" s="11">
        <v>2026</v>
      </c>
      <c r="C360" s="11" t="s">
        <v>154</v>
      </c>
      <c r="D360" s="12" t="s">
        <v>1094</v>
      </c>
      <c r="E360" s="13">
        <v>46062</v>
      </c>
      <c r="F360" s="11" t="s">
        <v>152</v>
      </c>
      <c r="G360" s="11"/>
      <c r="H360" s="9" t="s">
        <v>1093</v>
      </c>
      <c r="I360" s="11" t="s">
        <v>1074</v>
      </c>
      <c r="J360" s="13">
        <v>46062</v>
      </c>
      <c r="K360" s="11" t="s">
        <v>160</v>
      </c>
      <c r="L360" s="11"/>
      <c r="M360" s="215" t="s">
        <v>1094</v>
      </c>
      <c r="N360" s="211" t="s">
        <v>1107</v>
      </c>
      <c r="O360" s="11">
        <v>2</v>
      </c>
      <c r="P360" s="11">
        <v>2026</v>
      </c>
      <c r="Q360" s="14"/>
    </row>
    <row r="361" spans="1:17" ht="102">
      <c r="A361" s="11">
        <v>360</v>
      </c>
      <c r="B361" s="11">
        <v>2026</v>
      </c>
      <c r="C361" s="11" t="s">
        <v>154</v>
      </c>
      <c r="D361" s="12" t="s">
        <v>1096</v>
      </c>
      <c r="E361" s="13">
        <v>46056</v>
      </c>
      <c r="F361" s="11" t="s">
        <v>151</v>
      </c>
      <c r="G361" s="11"/>
      <c r="H361" s="9" t="s">
        <v>1095</v>
      </c>
      <c r="I361" s="11" t="s">
        <v>1074</v>
      </c>
      <c r="J361" s="13">
        <v>46054</v>
      </c>
      <c r="K361" s="11" t="s">
        <v>160</v>
      </c>
      <c r="L361" s="11"/>
      <c r="M361" s="215" t="s">
        <v>1096</v>
      </c>
      <c r="N361" s="211" t="s">
        <v>1107</v>
      </c>
      <c r="O361" s="11">
        <v>2</v>
      </c>
      <c r="P361" s="11">
        <v>2026</v>
      </c>
      <c r="Q361" s="14"/>
    </row>
    <row r="362" spans="1:17" ht="102">
      <c r="A362" s="11">
        <v>361</v>
      </c>
      <c r="B362" s="11">
        <v>2026</v>
      </c>
      <c r="C362" s="11" t="s">
        <v>161</v>
      </c>
      <c r="D362" s="12" t="s">
        <v>1098</v>
      </c>
      <c r="E362" s="13">
        <v>46055</v>
      </c>
      <c r="F362" s="11" t="s">
        <v>215</v>
      </c>
      <c r="G362" s="11"/>
      <c r="H362" s="9" t="s">
        <v>1097</v>
      </c>
      <c r="I362" s="11" t="s">
        <v>196</v>
      </c>
      <c r="J362" s="13">
        <v>46107</v>
      </c>
      <c r="K362" s="11" t="s">
        <v>160</v>
      </c>
      <c r="L362" s="11"/>
      <c r="M362" s="215" t="s">
        <v>1098</v>
      </c>
      <c r="N362" s="211" t="s">
        <v>1107</v>
      </c>
      <c r="O362" s="11">
        <v>2</v>
      </c>
      <c r="P362" s="11">
        <v>2026</v>
      </c>
      <c r="Q362" s="14"/>
    </row>
    <row r="363" spans="1:17" ht="102">
      <c r="A363" s="11">
        <v>362</v>
      </c>
      <c r="B363" s="11">
        <v>2026</v>
      </c>
      <c r="C363" s="11" t="s">
        <v>150</v>
      </c>
      <c r="D363" s="12" t="s">
        <v>1100</v>
      </c>
      <c r="E363" s="13">
        <v>46043</v>
      </c>
      <c r="F363" s="11" t="s">
        <v>215</v>
      </c>
      <c r="G363" s="11"/>
      <c r="H363" s="9" t="s">
        <v>1099</v>
      </c>
      <c r="I363" s="11" t="s">
        <v>196</v>
      </c>
      <c r="J363" s="13">
        <v>46089</v>
      </c>
      <c r="K363" s="11" t="s">
        <v>160</v>
      </c>
      <c r="L363" s="11"/>
      <c r="M363" s="215" t="s">
        <v>1100</v>
      </c>
      <c r="N363" s="211" t="s">
        <v>1107</v>
      </c>
      <c r="O363" s="11">
        <v>2</v>
      </c>
      <c r="P363" s="11">
        <v>2026</v>
      </c>
      <c r="Q363" s="14"/>
    </row>
    <row r="364" spans="1:17" ht="102">
      <c r="A364" s="11">
        <v>363</v>
      </c>
      <c r="B364" s="11">
        <v>2026</v>
      </c>
      <c r="C364" s="11" t="s">
        <v>150</v>
      </c>
      <c r="D364" s="12" t="s">
        <v>1102</v>
      </c>
      <c r="E364" s="13">
        <v>46052</v>
      </c>
      <c r="F364" s="11" t="s">
        <v>206</v>
      </c>
      <c r="G364" s="11"/>
      <c r="H364" s="9" t="s">
        <v>1101</v>
      </c>
      <c r="I364" s="11" t="s">
        <v>196</v>
      </c>
      <c r="J364" s="13">
        <v>46052</v>
      </c>
      <c r="K364" s="11" t="s">
        <v>160</v>
      </c>
      <c r="L364" s="11"/>
      <c r="M364" s="215" t="s">
        <v>1102</v>
      </c>
      <c r="N364" s="211" t="s">
        <v>1107</v>
      </c>
      <c r="O364" s="11">
        <v>2</v>
      </c>
      <c r="P364" s="11">
        <v>2026</v>
      </c>
      <c r="Q364" s="14"/>
    </row>
    <row r="365" spans="1:17" ht="102">
      <c r="A365" s="11">
        <v>364</v>
      </c>
      <c r="B365" s="11">
        <v>2026</v>
      </c>
      <c r="C365" s="11" t="s">
        <v>154</v>
      </c>
      <c r="D365" s="12" t="s">
        <v>1104</v>
      </c>
      <c r="E365" s="13">
        <v>46052</v>
      </c>
      <c r="F365" s="11" t="s">
        <v>198</v>
      </c>
      <c r="G365" s="11"/>
      <c r="H365" s="9" t="s">
        <v>1103</v>
      </c>
      <c r="I365" s="11" t="s">
        <v>252</v>
      </c>
      <c r="J365" s="13">
        <v>46052</v>
      </c>
      <c r="K365" s="11" t="s">
        <v>160</v>
      </c>
      <c r="L365" s="11"/>
      <c r="M365" s="215" t="s">
        <v>1104</v>
      </c>
      <c r="N365" s="211" t="s">
        <v>1107</v>
      </c>
      <c r="O365" s="11">
        <v>2</v>
      </c>
      <c r="P365" s="11">
        <v>2026</v>
      </c>
      <c r="Q365" s="14"/>
    </row>
    <row r="366" spans="1:17" ht="102">
      <c r="A366" s="11">
        <v>365</v>
      </c>
      <c r="B366" s="11">
        <v>2026</v>
      </c>
      <c r="C366" s="11" t="s">
        <v>161</v>
      </c>
      <c r="D366" s="12" t="s">
        <v>1106</v>
      </c>
      <c r="E366" s="13">
        <v>46056</v>
      </c>
      <c r="F366" s="11" t="s">
        <v>198</v>
      </c>
      <c r="G366" s="11"/>
      <c r="H366" s="9" t="s">
        <v>1105</v>
      </c>
      <c r="I366" s="11" t="s">
        <v>364</v>
      </c>
      <c r="J366" s="13">
        <v>46056</v>
      </c>
      <c r="K366" s="11" t="s">
        <v>160</v>
      </c>
      <c r="L366" s="11"/>
      <c r="M366" s="215" t="s">
        <v>1399</v>
      </c>
      <c r="N366" s="211" t="s">
        <v>1107</v>
      </c>
      <c r="O366" s="11">
        <v>2</v>
      </c>
      <c r="P366" s="11">
        <v>2026</v>
      </c>
      <c r="Q366" s="14"/>
    </row>
    <row r="367" spans="1:17" ht="89.25">
      <c r="A367" s="11">
        <v>366</v>
      </c>
      <c r="B367" s="11">
        <v>2026</v>
      </c>
      <c r="C367" s="11" t="s">
        <v>154</v>
      </c>
      <c r="D367" s="12" t="s">
        <v>1141</v>
      </c>
      <c r="E367" s="13">
        <v>46091</v>
      </c>
      <c r="F367" s="11" t="s">
        <v>172</v>
      </c>
      <c r="G367" s="11"/>
      <c r="H367" s="9" t="s">
        <v>1140</v>
      </c>
      <c r="I367" s="11" t="s">
        <v>196</v>
      </c>
      <c r="J367" s="13">
        <v>46091</v>
      </c>
      <c r="K367" s="11" t="s">
        <v>160</v>
      </c>
      <c r="L367" s="11"/>
      <c r="M367" s="215" t="s">
        <v>1142</v>
      </c>
      <c r="N367" s="137" t="s">
        <v>1154</v>
      </c>
      <c r="O367" s="11">
        <v>3</v>
      </c>
      <c r="P367" s="11">
        <v>2026</v>
      </c>
      <c r="Q367" s="14"/>
    </row>
    <row r="368" spans="1:17" ht="89.25">
      <c r="A368" s="11">
        <v>367</v>
      </c>
      <c r="B368" s="11">
        <v>2026</v>
      </c>
      <c r="C368" s="11" t="s">
        <v>155</v>
      </c>
      <c r="D368" s="12" t="s">
        <v>1143</v>
      </c>
      <c r="E368" s="13">
        <v>46083</v>
      </c>
      <c r="F368" s="11" t="s">
        <v>215</v>
      </c>
      <c r="G368" s="11"/>
      <c r="H368" s="9" t="s">
        <v>1144</v>
      </c>
      <c r="I368" s="11" t="s">
        <v>196</v>
      </c>
      <c r="J368" s="13">
        <v>46096</v>
      </c>
      <c r="K368" s="11" t="s">
        <v>160</v>
      </c>
      <c r="L368" s="11"/>
      <c r="M368" s="215" t="s">
        <v>1143</v>
      </c>
      <c r="N368" s="137" t="s">
        <v>1154</v>
      </c>
      <c r="O368" s="11">
        <v>3</v>
      </c>
      <c r="P368" s="11">
        <v>2026</v>
      </c>
      <c r="Q368" s="14"/>
    </row>
    <row r="369" spans="1:17" ht="89.25">
      <c r="A369" s="11">
        <v>368</v>
      </c>
      <c r="B369" s="11">
        <v>2026</v>
      </c>
      <c r="C369" s="11" t="s">
        <v>155</v>
      </c>
      <c r="D369" s="12" t="s">
        <v>1146</v>
      </c>
      <c r="E369" s="13">
        <v>46079</v>
      </c>
      <c r="F369" s="11" t="s">
        <v>198</v>
      </c>
      <c r="G369" s="11"/>
      <c r="H369" s="9" t="s">
        <v>1145</v>
      </c>
      <c r="I369" s="11" t="s">
        <v>252</v>
      </c>
      <c r="J369" s="13">
        <v>46126</v>
      </c>
      <c r="K369" s="11" t="s">
        <v>160</v>
      </c>
      <c r="L369" s="11"/>
      <c r="M369" s="215" t="s">
        <v>1146</v>
      </c>
      <c r="N369" s="137" t="s">
        <v>1154</v>
      </c>
      <c r="O369" s="11">
        <v>3</v>
      </c>
      <c r="P369" s="11">
        <v>2026</v>
      </c>
      <c r="Q369" s="14"/>
    </row>
    <row r="370" spans="1:17" ht="89.25">
      <c r="A370" s="11">
        <v>369</v>
      </c>
      <c r="B370" s="11">
        <v>2026</v>
      </c>
      <c r="C370" s="11" t="s">
        <v>155</v>
      </c>
      <c r="D370" s="12" t="s">
        <v>1148</v>
      </c>
      <c r="E370" s="13">
        <v>46090</v>
      </c>
      <c r="F370" s="11" t="s">
        <v>198</v>
      </c>
      <c r="G370" s="11"/>
      <c r="H370" s="9" t="s">
        <v>1147</v>
      </c>
      <c r="I370" s="11" t="s">
        <v>252</v>
      </c>
      <c r="J370" s="13">
        <v>46136</v>
      </c>
      <c r="K370" s="11" t="s">
        <v>160</v>
      </c>
      <c r="L370" s="11"/>
      <c r="M370" s="215" t="s">
        <v>1148</v>
      </c>
      <c r="N370" s="137" t="s">
        <v>1154</v>
      </c>
      <c r="O370" s="11">
        <v>3</v>
      </c>
      <c r="P370" s="11">
        <v>2026</v>
      </c>
      <c r="Q370" s="14"/>
    </row>
    <row r="371" spans="1:17" ht="89.25">
      <c r="A371" s="11">
        <v>370</v>
      </c>
      <c r="B371" s="11">
        <v>2026</v>
      </c>
      <c r="C371" s="11" t="s">
        <v>154</v>
      </c>
      <c r="D371" s="12" t="s">
        <v>1150</v>
      </c>
      <c r="E371" s="13">
        <v>46086</v>
      </c>
      <c r="F371" s="11" t="s">
        <v>151</v>
      </c>
      <c r="G371" s="11"/>
      <c r="H371" s="9" t="s">
        <v>1149</v>
      </c>
      <c r="I371" s="11" t="s">
        <v>493</v>
      </c>
      <c r="J371" s="13">
        <v>46086</v>
      </c>
      <c r="K371" s="11" t="s">
        <v>160</v>
      </c>
      <c r="L371" s="11"/>
      <c r="M371" s="215" t="s">
        <v>1150</v>
      </c>
      <c r="N371" s="137" t="s">
        <v>1154</v>
      </c>
      <c r="O371" s="11">
        <v>3</v>
      </c>
      <c r="P371" s="11">
        <v>2026</v>
      </c>
      <c r="Q371" s="14"/>
    </row>
    <row r="372" spans="1:17" ht="89.25">
      <c r="A372" s="11">
        <v>371</v>
      </c>
      <c r="B372" s="11">
        <v>2026</v>
      </c>
      <c r="C372" s="11" t="s">
        <v>161</v>
      </c>
      <c r="D372" s="12" t="s">
        <v>1152</v>
      </c>
      <c r="E372" s="13">
        <v>46085</v>
      </c>
      <c r="F372" s="11" t="s">
        <v>170</v>
      </c>
      <c r="G372" s="11"/>
      <c r="H372" s="9" t="s">
        <v>1151</v>
      </c>
      <c r="I372" s="11" t="s">
        <v>1153</v>
      </c>
      <c r="J372" s="13">
        <v>46085</v>
      </c>
      <c r="K372" s="11" t="s">
        <v>160</v>
      </c>
      <c r="L372" s="11"/>
      <c r="M372" s="215" t="s">
        <v>1152</v>
      </c>
      <c r="N372" s="137" t="s">
        <v>1154</v>
      </c>
      <c r="O372" s="11">
        <v>3</v>
      </c>
      <c r="P372" s="11">
        <v>2026</v>
      </c>
      <c r="Q372" s="14"/>
    </row>
    <row r="373" spans="1:17" ht="89.25">
      <c r="A373" s="11">
        <v>372</v>
      </c>
      <c r="B373" s="11">
        <v>2026</v>
      </c>
      <c r="C373" s="11" t="s">
        <v>154</v>
      </c>
      <c r="D373" s="12" t="s">
        <v>1160</v>
      </c>
      <c r="E373" s="13">
        <v>46073</v>
      </c>
      <c r="F373" s="11" t="s">
        <v>172</v>
      </c>
      <c r="G373" s="11"/>
      <c r="H373" s="9" t="s">
        <v>1159</v>
      </c>
      <c r="I373" s="11" t="s">
        <v>486</v>
      </c>
      <c r="J373" s="13">
        <v>46073</v>
      </c>
      <c r="K373" s="11" t="s">
        <v>160</v>
      </c>
      <c r="L373" s="11"/>
      <c r="M373" s="215" t="s">
        <v>1160</v>
      </c>
      <c r="N373" s="137" t="s">
        <v>1182</v>
      </c>
      <c r="O373" s="11">
        <v>4</v>
      </c>
      <c r="P373" s="11">
        <v>2026</v>
      </c>
      <c r="Q373" s="14"/>
    </row>
    <row r="374" spans="1:17" ht="89.25">
      <c r="A374" s="11">
        <v>373</v>
      </c>
      <c r="B374" s="11">
        <v>2026</v>
      </c>
      <c r="C374" s="11" t="s">
        <v>155</v>
      </c>
      <c r="D374" s="12" t="s">
        <v>1162</v>
      </c>
      <c r="E374" s="13">
        <v>46120</v>
      </c>
      <c r="F374" s="11" t="s">
        <v>152</v>
      </c>
      <c r="G374" s="11"/>
      <c r="H374" s="9" t="s">
        <v>1161</v>
      </c>
      <c r="I374" s="11" t="s">
        <v>1074</v>
      </c>
      <c r="J374" s="13">
        <v>46120</v>
      </c>
      <c r="K374" s="11" t="s">
        <v>160</v>
      </c>
      <c r="L374" s="11"/>
      <c r="M374" s="215" t="s">
        <v>1162</v>
      </c>
      <c r="N374" s="137" t="s">
        <v>1182</v>
      </c>
      <c r="O374" s="11">
        <v>4</v>
      </c>
      <c r="P374" s="11">
        <v>2026</v>
      </c>
      <c r="Q374" s="14"/>
    </row>
    <row r="375" spans="1:17" ht="89.25">
      <c r="A375" s="11">
        <v>374</v>
      </c>
      <c r="B375" s="11">
        <v>2026</v>
      </c>
      <c r="C375" s="11" t="s">
        <v>154</v>
      </c>
      <c r="D375" s="13" t="s">
        <v>1164</v>
      </c>
      <c r="E375" s="13">
        <v>46120</v>
      </c>
      <c r="F375" s="11" t="s">
        <v>152</v>
      </c>
      <c r="G375" s="11"/>
      <c r="H375" s="9" t="s">
        <v>1163</v>
      </c>
      <c r="I375" s="11" t="s">
        <v>1074</v>
      </c>
      <c r="J375" s="13">
        <v>46120</v>
      </c>
      <c r="K375" s="11" t="s">
        <v>160</v>
      </c>
      <c r="L375" s="11"/>
      <c r="M375" s="215" t="s">
        <v>1164</v>
      </c>
      <c r="N375" s="137" t="s">
        <v>1182</v>
      </c>
      <c r="O375" s="11">
        <v>4</v>
      </c>
      <c r="P375" s="11">
        <v>2026</v>
      </c>
      <c r="Q375" s="14"/>
    </row>
    <row r="376" spans="1:17" ht="89.25">
      <c r="A376" s="11">
        <v>375</v>
      </c>
      <c r="B376" s="11">
        <v>2026</v>
      </c>
      <c r="C376" s="11" t="s">
        <v>155</v>
      </c>
      <c r="D376" s="164" t="s">
        <v>1166</v>
      </c>
      <c r="E376" s="13">
        <v>46112</v>
      </c>
      <c r="F376" s="11" t="s">
        <v>172</v>
      </c>
      <c r="G376" s="11"/>
      <c r="H376" s="9" t="s">
        <v>1165</v>
      </c>
      <c r="I376" s="11" t="s">
        <v>1167</v>
      </c>
      <c r="J376" s="13">
        <v>46112</v>
      </c>
      <c r="K376" s="11" t="s">
        <v>160</v>
      </c>
      <c r="L376" s="11"/>
      <c r="M376" s="215" t="s">
        <v>1166</v>
      </c>
      <c r="N376" s="137" t="s">
        <v>1182</v>
      </c>
      <c r="O376" s="11">
        <v>4</v>
      </c>
      <c r="P376" s="11">
        <v>2026</v>
      </c>
      <c r="Q376" s="14"/>
    </row>
    <row r="377" spans="1:17" ht="89.25">
      <c r="A377" s="11">
        <v>376</v>
      </c>
      <c r="B377" s="11">
        <v>2026</v>
      </c>
      <c r="C377" s="11" t="s">
        <v>155</v>
      </c>
      <c r="D377" s="12" t="s">
        <v>1169</v>
      </c>
      <c r="E377" s="13">
        <v>46118</v>
      </c>
      <c r="F377" s="11" t="s">
        <v>215</v>
      </c>
      <c r="G377" s="11"/>
      <c r="H377" s="9" t="s">
        <v>1168</v>
      </c>
      <c r="I377" s="11" t="s">
        <v>1167</v>
      </c>
      <c r="J377" s="13">
        <v>46118</v>
      </c>
      <c r="K377" s="11" t="s">
        <v>160</v>
      </c>
      <c r="L377" s="11"/>
      <c r="M377" s="215" t="s">
        <v>1169</v>
      </c>
      <c r="N377" s="137" t="s">
        <v>1182</v>
      </c>
      <c r="O377" s="11">
        <v>4</v>
      </c>
      <c r="P377" s="11">
        <v>2026</v>
      </c>
      <c r="Q377" s="14"/>
    </row>
    <row r="378" spans="1:17" ht="89.25">
      <c r="A378" s="11">
        <v>377</v>
      </c>
      <c r="B378" s="11">
        <v>2026</v>
      </c>
      <c r="C378" s="11" t="s">
        <v>154</v>
      </c>
      <c r="D378" s="12" t="s">
        <v>1171</v>
      </c>
      <c r="E378" s="13">
        <v>46106</v>
      </c>
      <c r="F378" s="11" t="s">
        <v>215</v>
      </c>
      <c r="G378" s="11"/>
      <c r="H378" s="9" t="s">
        <v>1170</v>
      </c>
      <c r="I378" s="11" t="s">
        <v>1167</v>
      </c>
      <c r="J378" s="13">
        <v>46152</v>
      </c>
      <c r="K378" s="11" t="s">
        <v>160</v>
      </c>
      <c r="L378" s="11"/>
      <c r="M378" s="215" t="s">
        <v>1171</v>
      </c>
      <c r="N378" s="137" t="s">
        <v>1182</v>
      </c>
      <c r="O378" s="11">
        <v>4</v>
      </c>
      <c r="P378" s="11">
        <v>2026</v>
      </c>
      <c r="Q378" s="14"/>
    </row>
    <row r="379" spans="1:17" ht="89.25">
      <c r="A379" s="11">
        <v>378</v>
      </c>
      <c r="B379" s="11">
        <v>2026</v>
      </c>
      <c r="C379" s="11" t="s">
        <v>161</v>
      </c>
      <c r="D379" s="12" t="s">
        <v>1173</v>
      </c>
      <c r="E379" s="13">
        <v>46106</v>
      </c>
      <c r="F379" s="11" t="s">
        <v>215</v>
      </c>
      <c r="G379" s="11"/>
      <c r="H379" s="9" t="s">
        <v>1172</v>
      </c>
      <c r="I379" s="11" t="s">
        <v>1167</v>
      </c>
      <c r="J379" s="13">
        <v>46106</v>
      </c>
      <c r="K379" s="11" t="s">
        <v>160</v>
      </c>
      <c r="L379" s="11"/>
      <c r="M379" s="215" t="s">
        <v>1173</v>
      </c>
      <c r="N379" s="137" t="s">
        <v>1182</v>
      </c>
      <c r="O379" s="11">
        <v>4</v>
      </c>
      <c r="P379" s="11">
        <v>2026</v>
      </c>
      <c r="Q379" s="14"/>
    </row>
    <row r="380" spans="1:17" ht="89.25">
      <c r="A380" s="11">
        <v>379</v>
      </c>
      <c r="B380" s="11">
        <v>2026</v>
      </c>
      <c r="C380" s="11" t="s">
        <v>155</v>
      </c>
      <c r="D380" s="12" t="s">
        <v>1175</v>
      </c>
      <c r="E380" s="13">
        <v>46105</v>
      </c>
      <c r="F380" s="11" t="s">
        <v>198</v>
      </c>
      <c r="G380" s="11"/>
      <c r="H380" s="9" t="s">
        <v>1174</v>
      </c>
      <c r="I380" s="11" t="s">
        <v>252</v>
      </c>
      <c r="J380" s="13">
        <v>46105</v>
      </c>
      <c r="K380" s="11" t="s">
        <v>160</v>
      </c>
      <c r="L380" s="11"/>
      <c r="M380" s="215" t="s">
        <v>1175</v>
      </c>
      <c r="N380" s="137" t="s">
        <v>1182</v>
      </c>
      <c r="O380" s="11">
        <v>4</v>
      </c>
      <c r="P380" s="11">
        <v>2026</v>
      </c>
      <c r="Q380" s="14"/>
    </row>
    <row r="381" spans="1:17" ht="89.25">
      <c r="A381" s="11">
        <v>380</v>
      </c>
      <c r="B381" s="11">
        <v>2026</v>
      </c>
      <c r="C381" s="11" t="s">
        <v>154</v>
      </c>
      <c r="D381" s="12" t="s">
        <v>1177</v>
      </c>
      <c r="E381" s="13">
        <v>46108</v>
      </c>
      <c r="F381" s="11" t="s">
        <v>198</v>
      </c>
      <c r="G381" s="11"/>
      <c r="H381" s="9" t="s">
        <v>1176</v>
      </c>
      <c r="I381" s="11" t="s">
        <v>252</v>
      </c>
      <c r="J381" s="13">
        <v>46108</v>
      </c>
      <c r="K381" s="11" t="s">
        <v>160</v>
      </c>
      <c r="L381" s="11"/>
      <c r="M381" s="215" t="s">
        <v>1177</v>
      </c>
      <c r="N381" s="137" t="s">
        <v>1182</v>
      </c>
      <c r="O381" s="11">
        <v>4</v>
      </c>
      <c r="P381" s="11">
        <v>2026</v>
      </c>
      <c r="Q381" s="14"/>
    </row>
    <row r="382" spans="1:17" ht="89.25">
      <c r="A382" s="11">
        <v>381</v>
      </c>
      <c r="B382" s="11">
        <v>2026</v>
      </c>
      <c r="C382" s="11" t="s">
        <v>162</v>
      </c>
      <c r="D382" s="12" t="s">
        <v>1179</v>
      </c>
      <c r="E382" s="13">
        <v>46112</v>
      </c>
      <c r="F382" s="11" t="s">
        <v>198</v>
      </c>
      <c r="G382" s="11"/>
      <c r="H382" s="9" t="s">
        <v>1178</v>
      </c>
      <c r="I382" s="11" t="s">
        <v>252</v>
      </c>
      <c r="J382" s="13">
        <v>46157</v>
      </c>
      <c r="K382" s="11" t="s">
        <v>160</v>
      </c>
      <c r="L382" s="11"/>
      <c r="M382" s="215" t="s">
        <v>1179</v>
      </c>
      <c r="N382" s="137" t="s">
        <v>1182</v>
      </c>
      <c r="O382" s="11">
        <v>4</v>
      </c>
      <c r="P382" s="11">
        <v>2026</v>
      </c>
      <c r="Q382" s="14"/>
    </row>
    <row r="383" spans="1:17" ht="89.25">
      <c r="A383" s="11">
        <v>382</v>
      </c>
      <c r="B383" s="11">
        <v>2026</v>
      </c>
      <c r="C383" s="11" t="s">
        <v>155</v>
      </c>
      <c r="D383" s="12" t="s">
        <v>1181</v>
      </c>
      <c r="E383" s="13">
        <v>46121</v>
      </c>
      <c r="F383" s="11" t="s">
        <v>198</v>
      </c>
      <c r="G383" s="11"/>
      <c r="H383" s="9" t="s">
        <v>1180</v>
      </c>
      <c r="I383" s="11" t="s">
        <v>252</v>
      </c>
      <c r="J383" s="13">
        <v>46121</v>
      </c>
      <c r="K383" s="11" t="s">
        <v>160</v>
      </c>
      <c r="L383" s="11"/>
      <c r="M383" s="215" t="s">
        <v>1181</v>
      </c>
      <c r="N383" s="137" t="s">
        <v>1182</v>
      </c>
      <c r="O383" s="11">
        <v>4</v>
      </c>
      <c r="P383" s="11">
        <v>2026</v>
      </c>
      <c r="Q383" s="14"/>
    </row>
    <row r="384" spans="1:17" ht="89.25">
      <c r="A384" s="11">
        <v>383</v>
      </c>
      <c r="B384" s="11">
        <v>2025</v>
      </c>
      <c r="C384" s="11" t="s">
        <v>156</v>
      </c>
      <c r="D384" s="12" t="s">
        <v>1186</v>
      </c>
      <c r="E384" s="13">
        <v>45653</v>
      </c>
      <c r="F384" s="11" t="s">
        <v>198</v>
      </c>
      <c r="G384" s="11"/>
      <c r="H384" s="9" t="s">
        <v>1185</v>
      </c>
      <c r="I384" s="11" t="s">
        <v>477</v>
      </c>
      <c r="J384" s="13">
        <v>45698</v>
      </c>
      <c r="K384" s="11" t="s">
        <v>160</v>
      </c>
      <c r="L384" s="11"/>
      <c r="M384" s="215" t="s">
        <v>1199</v>
      </c>
      <c r="N384" s="137" t="s">
        <v>1182</v>
      </c>
      <c r="O384" s="11">
        <v>4</v>
      </c>
      <c r="P384" s="11">
        <v>2025</v>
      </c>
      <c r="Q384" s="14"/>
    </row>
    <row r="385" spans="1:17" ht="89.25">
      <c r="A385" s="11">
        <v>384</v>
      </c>
      <c r="B385" s="11">
        <v>2025</v>
      </c>
      <c r="C385" s="11" t="s">
        <v>156</v>
      </c>
      <c r="D385" s="12" t="s">
        <v>1187</v>
      </c>
      <c r="E385" s="13">
        <v>45991</v>
      </c>
      <c r="F385" s="11" t="s">
        <v>198</v>
      </c>
      <c r="G385" s="11"/>
      <c r="H385" s="9" t="s">
        <v>1188</v>
      </c>
      <c r="I385" s="11" t="s">
        <v>477</v>
      </c>
      <c r="J385" s="13">
        <v>46003</v>
      </c>
      <c r="K385" s="11" t="s">
        <v>160</v>
      </c>
      <c r="L385" s="11"/>
      <c r="M385" s="215" t="s">
        <v>1187</v>
      </c>
      <c r="N385" s="137" t="s">
        <v>1182</v>
      </c>
      <c r="O385" s="11">
        <v>4</v>
      </c>
      <c r="P385" s="11">
        <v>2025</v>
      </c>
      <c r="Q385" s="14"/>
    </row>
    <row r="386" spans="1:17" ht="89.25">
      <c r="A386" s="11">
        <v>385</v>
      </c>
      <c r="B386" s="11">
        <v>2025</v>
      </c>
      <c r="C386" s="11" t="s">
        <v>156</v>
      </c>
      <c r="D386" s="12" t="s">
        <v>1189</v>
      </c>
      <c r="E386" s="13">
        <v>45991</v>
      </c>
      <c r="F386" s="11" t="s">
        <v>198</v>
      </c>
      <c r="G386" s="11"/>
      <c r="H386" s="9" t="s">
        <v>1191</v>
      </c>
      <c r="I386" s="11" t="s">
        <v>477</v>
      </c>
      <c r="J386" s="13">
        <v>46023</v>
      </c>
      <c r="K386" s="11" t="s">
        <v>160</v>
      </c>
      <c r="L386" s="11"/>
      <c r="M386" s="215" t="s">
        <v>1189</v>
      </c>
      <c r="N386" s="137" t="s">
        <v>1182</v>
      </c>
      <c r="O386" s="11">
        <v>4</v>
      </c>
      <c r="P386" s="11">
        <v>2026</v>
      </c>
      <c r="Q386" s="14"/>
    </row>
    <row r="387" spans="1:17" ht="89.25">
      <c r="A387" s="11">
        <v>386</v>
      </c>
      <c r="B387" s="11">
        <v>2025</v>
      </c>
      <c r="C387" s="11" t="s">
        <v>156</v>
      </c>
      <c r="D387" s="12" t="s">
        <v>1192</v>
      </c>
      <c r="E387" s="13">
        <v>45991</v>
      </c>
      <c r="F387" s="11" t="s">
        <v>198</v>
      </c>
      <c r="G387" s="11"/>
      <c r="H387" s="9" t="s">
        <v>1190</v>
      </c>
      <c r="I387" s="11" t="s">
        <v>477</v>
      </c>
      <c r="J387" s="13">
        <v>46023</v>
      </c>
      <c r="K387" s="11" t="s">
        <v>160</v>
      </c>
      <c r="L387" s="11"/>
      <c r="M387" s="215" t="s">
        <v>1192</v>
      </c>
      <c r="N387" s="137" t="s">
        <v>1182</v>
      </c>
      <c r="O387" s="11">
        <v>4</v>
      </c>
      <c r="P387" s="11">
        <v>2026</v>
      </c>
      <c r="Q387" s="14"/>
    </row>
    <row r="388" spans="1:17" ht="89.25">
      <c r="A388" s="11">
        <v>387</v>
      </c>
      <c r="B388" s="11">
        <v>2025</v>
      </c>
      <c r="C388" s="11" t="s">
        <v>156</v>
      </c>
      <c r="D388" s="12" t="s">
        <v>1194</v>
      </c>
      <c r="E388" s="13">
        <v>45835</v>
      </c>
      <c r="F388" s="11" t="s">
        <v>383</v>
      </c>
      <c r="G388" s="11"/>
      <c r="H388" s="9" t="s">
        <v>1193</v>
      </c>
      <c r="I388" s="11" t="s">
        <v>477</v>
      </c>
      <c r="J388" s="13">
        <v>45931</v>
      </c>
      <c r="K388" s="11" t="s">
        <v>160</v>
      </c>
      <c r="L388" s="11"/>
      <c r="M388" s="215" t="s">
        <v>1194</v>
      </c>
      <c r="N388" s="137" t="s">
        <v>1182</v>
      </c>
      <c r="O388" s="11">
        <v>4</v>
      </c>
      <c r="P388" s="11">
        <v>2026</v>
      </c>
      <c r="Q388" s="14"/>
    </row>
    <row r="389" spans="1:17" ht="89.25">
      <c r="A389" s="11">
        <v>388</v>
      </c>
      <c r="B389" s="11">
        <v>2025</v>
      </c>
      <c r="C389" s="11" t="s">
        <v>156</v>
      </c>
      <c r="D389" s="12" t="s">
        <v>1195</v>
      </c>
      <c r="E389" s="13">
        <v>45895</v>
      </c>
      <c r="F389" s="11" t="s">
        <v>215</v>
      </c>
      <c r="G389" s="11"/>
      <c r="H389" s="9" t="s">
        <v>1196</v>
      </c>
      <c r="I389" s="11" t="s">
        <v>196</v>
      </c>
      <c r="J389" s="13">
        <v>45895</v>
      </c>
      <c r="K389" s="11" t="s">
        <v>160</v>
      </c>
      <c r="L389" s="11"/>
      <c r="M389" s="215" t="s">
        <v>1195</v>
      </c>
      <c r="N389" s="137" t="s">
        <v>1182</v>
      </c>
      <c r="O389" s="11">
        <v>4</v>
      </c>
      <c r="P389" s="11">
        <v>2026</v>
      </c>
      <c r="Q389" s="14"/>
    </row>
    <row r="390" spans="1:17" ht="89.25">
      <c r="A390" s="11">
        <v>389</v>
      </c>
      <c r="B390" s="11">
        <v>2025</v>
      </c>
      <c r="C390" s="11" t="s">
        <v>156</v>
      </c>
      <c r="D390" s="12" t="s">
        <v>1198</v>
      </c>
      <c r="E390" s="13">
        <v>45944</v>
      </c>
      <c r="F390" s="11" t="s">
        <v>215</v>
      </c>
      <c r="G390" s="11"/>
      <c r="H390" s="9" t="s">
        <v>1197</v>
      </c>
      <c r="I390" s="11" t="s">
        <v>196</v>
      </c>
      <c r="J390" s="13">
        <v>45944</v>
      </c>
      <c r="K390" s="11" t="s">
        <v>160</v>
      </c>
      <c r="L390" s="11"/>
      <c r="M390" s="215" t="s">
        <v>1400</v>
      </c>
      <c r="N390" s="137" t="s">
        <v>1182</v>
      </c>
      <c r="O390" s="11">
        <v>4</v>
      </c>
      <c r="P390" s="11">
        <v>2026</v>
      </c>
      <c r="Q390" s="14"/>
    </row>
    <row r="391" spans="1:17" ht="89.25">
      <c r="A391" s="11">
        <v>390</v>
      </c>
      <c r="B391" s="11">
        <v>2025</v>
      </c>
      <c r="C391" s="11" t="s">
        <v>156</v>
      </c>
      <c r="D391" s="12" t="s">
        <v>1201</v>
      </c>
      <c r="E391" s="13">
        <v>45656</v>
      </c>
      <c r="F391" s="11" t="s">
        <v>198</v>
      </c>
      <c r="G391" s="11"/>
      <c r="H391" s="9" t="s">
        <v>1200</v>
      </c>
      <c r="I391" s="11" t="s">
        <v>477</v>
      </c>
      <c r="J391" s="13">
        <v>45703</v>
      </c>
      <c r="K391" s="11" t="s">
        <v>160</v>
      </c>
      <c r="L391" s="11"/>
      <c r="M391" s="215" t="s">
        <v>1201</v>
      </c>
      <c r="N391" s="137" t="s">
        <v>1182</v>
      </c>
      <c r="O391" s="11">
        <v>4</v>
      </c>
      <c r="P391" s="11">
        <v>2026</v>
      </c>
      <c r="Q391" s="14"/>
    </row>
    <row r="392" spans="1:17" ht="89.25">
      <c r="A392" s="11">
        <v>391</v>
      </c>
      <c r="B392" s="11">
        <v>2026</v>
      </c>
      <c r="C392" s="11" t="s">
        <v>155</v>
      </c>
      <c r="D392" s="12" t="s">
        <v>1204</v>
      </c>
      <c r="E392" s="13">
        <v>46133</v>
      </c>
      <c r="F392" s="11" t="s">
        <v>198</v>
      </c>
      <c r="G392" s="11"/>
      <c r="H392" s="9" t="s">
        <v>1203</v>
      </c>
      <c r="I392" s="11" t="s">
        <v>252</v>
      </c>
      <c r="J392" s="13">
        <v>46179</v>
      </c>
      <c r="K392" s="11" t="s">
        <v>160</v>
      </c>
      <c r="L392" s="11"/>
      <c r="M392" s="215" t="s">
        <v>1401</v>
      </c>
      <c r="N392" s="137" t="s">
        <v>1202</v>
      </c>
      <c r="O392" s="11">
        <v>5</v>
      </c>
      <c r="P392" s="11">
        <v>2026</v>
      </c>
      <c r="Q392" s="14"/>
    </row>
    <row r="393" spans="1:17" ht="89.25">
      <c r="A393" s="11">
        <v>392</v>
      </c>
      <c r="B393" s="11">
        <v>2026</v>
      </c>
      <c r="C393" s="11" t="s">
        <v>155</v>
      </c>
      <c r="D393" s="12" t="s">
        <v>1206</v>
      </c>
      <c r="E393" s="13">
        <v>46126</v>
      </c>
      <c r="F393" s="11" t="s">
        <v>198</v>
      </c>
      <c r="G393" s="11"/>
      <c r="H393" s="9" t="s">
        <v>1205</v>
      </c>
      <c r="I393" s="11" t="s">
        <v>252</v>
      </c>
      <c r="J393" s="13">
        <v>46126</v>
      </c>
      <c r="K393" s="11" t="s">
        <v>160</v>
      </c>
      <c r="L393" s="11"/>
      <c r="M393" s="215" t="s">
        <v>1402</v>
      </c>
      <c r="N393" s="137" t="s">
        <v>1202</v>
      </c>
      <c r="O393" s="11">
        <v>5</v>
      </c>
      <c r="P393" s="11">
        <v>2026</v>
      </c>
      <c r="Q393" s="14"/>
    </row>
    <row r="394" spans="1:17" ht="89.25">
      <c r="A394" s="11">
        <v>393</v>
      </c>
      <c r="B394" s="11">
        <v>2026</v>
      </c>
      <c r="C394" s="11" t="s">
        <v>155</v>
      </c>
      <c r="D394" s="12" t="s">
        <v>1208</v>
      </c>
      <c r="E394" s="13">
        <v>46127</v>
      </c>
      <c r="F394" s="11" t="s">
        <v>198</v>
      </c>
      <c r="G394" s="11"/>
      <c r="H394" s="9" t="s">
        <v>1207</v>
      </c>
      <c r="I394" s="11" t="s">
        <v>252</v>
      </c>
      <c r="J394" s="13">
        <v>46173</v>
      </c>
      <c r="K394" s="11" t="s">
        <v>160</v>
      </c>
      <c r="L394" s="11"/>
      <c r="M394" s="215" t="s">
        <v>1403</v>
      </c>
      <c r="N394" s="137" t="s">
        <v>1202</v>
      </c>
      <c r="O394" s="11">
        <v>5</v>
      </c>
      <c r="P394" s="11">
        <v>2026</v>
      </c>
      <c r="Q394" s="14"/>
    </row>
    <row r="395" spans="1:17" ht="89.25">
      <c r="A395" s="11">
        <v>394</v>
      </c>
      <c r="B395" s="11">
        <v>2026</v>
      </c>
      <c r="C395" s="11" t="s">
        <v>156</v>
      </c>
      <c r="D395" s="12" t="s">
        <v>1210</v>
      </c>
      <c r="E395" s="13">
        <v>46125</v>
      </c>
      <c r="F395" s="11" t="s">
        <v>198</v>
      </c>
      <c r="G395" s="11"/>
      <c r="H395" s="9" t="s">
        <v>1209</v>
      </c>
      <c r="I395" s="11" t="s">
        <v>477</v>
      </c>
      <c r="J395" s="13">
        <v>46128</v>
      </c>
      <c r="K395" s="11" t="s">
        <v>160</v>
      </c>
      <c r="L395" s="11"/>
      <c r="M395" s="215" t="s">
        <v>1404</v>
      </c>
      <c r="N395" s="137" t="s">
        <v>1202</v>
      </c>
      <c r="O395" s="11">
        <v>5</v>
      </c>
      <c r="P395" s="11">
        <v>2026</v>
      </c>
      <c r="Q395" s="14"/>
    </row>
    <row r="396" spans="1:17" ht="89.25">
      <c r="A396" s="11">
        <v>396</v>
      </c>
      <c r="B396" s="11">
        <v>2026</v>
      </c>
      <c r="C396" s="11" t="s">
        <v>155</v>
      </c>
      <c r="D396" s="12" t="s">
        <v>1212</v>
      </c>
      <c r="E396" s="13">
        <v>46146</v>
      </c>
      <c r="F396" s="11" t="s">
        <v>170</v>
      </c>
      <c r="G396" s="11"/>
      <c r="H396" s="9" t="s">
        <v>1211</v>
      </c>
      <c r="I396" s="11" t="s">
        <v>252</v>
      </c>
      <c r="J396" s="13">
        <v>46146</v>
      </c>
      <c r="K396" s="11" t="s">
        <v>160</v>
      </c>
      <c r="L396" s="11"/>
      <c r="M396" s="215" t="s">
        <v>1405</v>
      </c>
      <c r="N396" s="137" t="s">
        <v>1202</v>
      </c>
      <c r="O396" s="11">
        <v>5</v>
      </c>
      <c r="P396" s="11">
        <v>2026</v>
      </c>
      <c r="Q396" s="14"/>
    </row>
    <row r="397" spans="1:17" ht="89.25">
      <c r="A397" s="11">
        <v>397</v>
      </c>
      <c r="B397" s="11">
        <v>2026</v>
      </c>
      <c r="C397" s="11" t="s">
        <v>154</v>
      </c>
      <c r="D397" s="12" t="s">
        <v>1214</v>
      </c>
      <c r="E397" s="13">
        <v>46123</v>
      </c>
      <c r="F397" s="11" t="s">
        <v>152</v>
      </c>
      <c r="G397" s="11"/>
      <c r="H397" s="9" t="s">
        <v>1213</v>
      </c>
      <c r="I397" s="11" t="s">
        <v>233</v>
      </c>
      <c r="J397" s="13">
        <v>46123</v>
      </c>
      <c r="K397" s="11" t="s">
        <v>160</v>
      </c>
      <c r="L397" s="11"/>
      <c r="M397" s="215" t="s">
        <v>1406</v>
      </c>
      <c r="N397" s="137" t="s">
        <v>1202</v>
      </c>
      <c r="O397" s="11">
        <v>5</v>
      </c>
      <c r="P397" s="11">
        <v>2026</v>
      </c>
      <c r="Q397" s="14"/>
    </row>
    <row r="398" spans="1:17" ht="89.25">
      <c r="A398" s="11">
        <v>398</v>
      </c>
      <c r="B398" s="11">
        <v>2026</v>
      </c>
      <c r="C398" s="11" t="s">
        <v>161</v>
      </c>
      <c r="D398" s="12" t="s">
        <v>1227</v>
      </c>
      <c r="E398" s="13">
        <v>46162</v>
      </c>
      <c r="F398" s="11" t="s">
        <v>383</v>
      </c>
      <c r="G398" s="11"/>
      <c r="H398" s="9" t="s">
        <v>1226</v>
      </c>
      <c r="I398" s="11" t="s">
        <v>384</v>
      </c>
      <c r="J398" s="13">
        <v>46162</v>
      </c>
      <c r="K398" s="11" t="s">
        <v>160</v>
      </c>
      <c r="L398" s="11"/>
      <c r="M398" s="215" t="s">
        <v>1227</v>
      </c>
      <c r="N398" s="137" t="s">
        <v>1202</v>
      </c>
      <c r="O398" s="11">
        <v>5</v>
      </c>
      <c r="P398" s="11">
        <v>2026</v>
      </c>
      <c r="Q398" s="14"/>
    </row>
    <row r="399" spans="1:17" ht="89.25">
      <c r="A399" s="11">
        <v>399</v>
      </c>
      <c r="B399" s="11">
        <v>2026</v>
      </c>
      <c r="C399" s="11" t="s">
        <v>155</v>
      </c>
      <c r="D399" s="12" t="s">
        <v>1229</v>
      </c>
      <c r="E399" s="232">
        <v>46157</v>
      </c>
      <c r="F399" s="11" t="s">
        <v>215</v>
      </c>
      <c r="G399" s="11"/>
      <c r="H399" s="9" t="s">
        <v>1228</v>
      </c>
      <c r="I399" s="11" t="s">
        <v>196</v>
      </c>
      <c r="J399" s="13">
        <v>46204</v>
      </c>
      <c r="K399" s="11" t="s">
        <v>160</v>
      </c>
      <c r="L399" s="11"/>
      <c r="M399" s="215" t="s">
        <v>1407</v>
      </c>
      <c r="N399" s="137" t="s">
        <v>1202</v>
      </c>
      <c r="O399" s="11">
        <v>5</v>
      </c>
      <c r="P399" s="11">
        <v>2026</v>
      </c>
      <c r="Q399" s="14"/>
    </row>
    <row r="400" spans="1:17" ht="89.25">
      <c r="A400" s="11">
        <v>400</v>
      </c>
      <c r="B400" s="11">
        <v>2026</v>
      </c>
      <c r="C400" s="11" t="s">
        <v>150</v>
      </c>
      <c r="D400" s="12" t="s">
        <v>1231</v>
      </c>
      <c r="E400" s="232">
        <v>46157</v>
      </c>
      <c r="F400" s="11" t="s">
        <v>215</v>
      </c>
      <c r="G400" s="11"/>
      <c r="H400" s="9" t="s">
        <v>1230</v>
      </c>
      <c r="I400" s="11" t="s">
        <v>196</v>
      </c>
      <c r="J400" s="13">
        <v>46204</v>
      </c>
      <c r="K400" s="11" t="s">
        <v>160</v>
      </c>
      <c r="L400" s="11"/>
      <c r="M400" s="215" t="s">
        <v>1231</v>
      </c>
      <c r="N400" s="137" t="s">
        <v>1202</v>
      </c>
      <c r="O400" s="11">
        <v>5</v>
      </c>
      <c r="P400" s="11">
        <v>2026</v>
      </c>
      <c r="Q400" s="14"/>
    </row>
    <row r="401" spans="1:17" ht="89.25">
      <c r="A401" s="11">
        <v>401</v>
      </c>
      <c r="B401" s="11">
        <v>2026</v>
      </c>
      <c r="C401" s="11" t="s">
        <v>154</v>
      </c>
      <c r="D401" s="12" t="s">
        <v>1233</v>
      </c>
      <c r="E401" s="13">
        <v>46015</v>
      </c>
      <c r="F401" s="11" t="s">
        <v>215</v>
      </c>
      <c r="G401" s="11"/>
      <c r="H401" s="9" t="s">
        <v>1232</v>
      </c>
      <c r="I401" s="11" t="s">
        <v>196</v>
      </c>
      <c r="J401" s="13">
        <v>46023</v>
      </c>
      <c r="K401" s="11" t="s">
        <v>160</v>
      </c>
      <c r="L401" s="11"/>
      <c r="M401" s="215" t="s">
        <v>1233</v>
      </c>
      <c r="N401" s="137" t="s">
        <v>1202</v>
      </c>
      <c r="O401" s="11">
        <v>5</v>
      </c>
      <c r="P401" s="11">
        <v>2026</v>
      </c>
      <c r="Q401" s="14"/>
    </row>
    <row r="402" spans="1:17" ht="89.25">
      <c r="A402" s="11">
        <v>402</v>
      </c>
      <c r="B402" s="11">
        <v>2026</v>
      </c>
      <c r="C402" s="11" t="s">
        <v>154</v>
      </c>
      <c r="D402" s="12" t="s">
        <v>1223</v>
      </c>
      <c r="E402" s="233">
        <v>46157</v>
      </c>
      <c r="F402" s="11" t="s">
        <v>215</v>
      </c>
      <c r="G402" s="11"/>
      <c r="H402" s="9" t="s">
        <v>1234</v>
      </c>
      <c r="I402" s="11" t="s">
        <v>196</v>
      </c>
      <c r="J402" s="13">
        <v>46204</v>
      </c>
      <c r="K402" s="11" t="s">
        <v>160</v>
      </c>
      <c r="L402" s="11"/>
      <c r="M402" s="215" t="s">
        <v>1223</v>
      </c>
      <c r="N402" s="137" t="s">
        <v>1202</v>
      </c>
      <c r="O402" s="11">
        <v>5</v>
      </c>
      <c r="P402" s="11">
        <v>2026</v>
      </c>
      <c r="Q402" s="14"/>
    </row>
    <row r="403" spans="1:17" ht="89.25">
      <c r="A403" s="11">
        <v>403</v>
      </c>
      <c r="B403" s="11">
        <v>2026</v>
      </c>
      <c r="C403" s="11" t="s">
        <v>154</v>
      </c>
      <c r="D403" s="12" t="s">
        <v>1236</v>
      </c>
      <c r="E403" s="13">
        <v>46164</v>
      </c>
      <c r="F403" s="11" t="s">
        <v>215</v>
      </c>
      <c r="G403" s="11"/>
      <c r="H403" s="9" t="s">
        <v>1235</v>
      </c>
      <c r="I403" s="11" t="s">
        <v>196</v>
      </c>
      <c r="J403" s="13">
        <v>46210</v>
      </c>
      <c r="K403" s="11" t="s">
        <v>160</v>
      </c>
      <c r="L403" s="11"/>
      <c r="M403" s="215" t="s">
        <v>1236</v>
      </c>
      <c r="N403" s="137" t="s">
        <v>1202</v>
      </c>
      <c r="O403" s="11">
        <v>5</v>
      </c>
      <c r="P403" s="11">
        <v>2026</v>
      </c>
      <c r="Q403" s="14"/>
    </row>
    <row r="404" spans="1:17" ht="89.25">
      <c r="A404" s="11">
        <v>404</v>
      </c>
      <c r="B404" s="11">
        <v>2026</v>
      </c>
      <c r="C404" s="11" t="s">
        <v>155</v>
      </c>
      <c r="D404" s="12" t="s">
        <v>1238</v>
      </c>
      <c r="E404" s="13">
        <v>46157</v>
      </c>
      <c r="F404" s="11" t="s">
        <v>198</v>
      </c>
      <c r="G404" s="11"/>
      <c r="H404" s="9" t="s">
        <v>1237</v>
      </c>
      <c r="I404" s="11" t="s">
        <v>196</v>
      </c>
      <c r="J404" s="13">
        <v>46203</v>
      </c>
      <c r="K404" s="11" t="s">
        <v>160</v>
      </c>
      <c r="L404" s="11"/>
      <c r="M404" s="215" t="s">
        <v>1238</v>
      </c>
      <c r="N404" s="137" t="s">
        <v>1202</v>
      </c>
      <c r="O404" s="11">
        <v>5</v>
      </c>
      <c r="P404" s="11">
        <v>2026</v>
      </c>
      <c r="Q404" s="14"/>
    </row>
    <row r="405" spans="1:17" ht="89.25">
      <c r="A405" s="11">
        <v>405</v>
      </c>
      <c r="B405" s="11">
        <v>2026</v>
      </c>
      <c r="C405" s="11" t="s">
        <v>154</v>
      </c>
      <c r="D405" s="12" t="s">
        <v>1240</v>
      </c>
      <c r="E405" s="13">
        <v>46135</v>
      </c>
      <c r="F405" s="11" t="s">
        <v>383</v>
      </c>
      <c r="G405" s="11"/>
      <c r="H405" s="9" t="s">
        <v>1239</v>
      </c>
      <c r="I405" s="11" t="s">
        <v>384</v>
      </c>
      <c r="J405" s="13">
        <v>46266</v>
      </c>
      <c r="K405" s="11" t="s">
        <v>160</v>
      </c>
      <c r="L405" s="11"/>
      <c r="M405" s="215" t="s">
        <v>1240</v>
      </c>
      <c r="N405" s="137" t="s">
        <v>1378</v>
      </c>
      <c r="O405" s="11">
        <v>6</v>
      </c>
      <c r="P405" s="11">
        <v>2026</v>
      </c>
      <c r="Q405" s="14"/>
    </row>
    <row r="406" spans="1:17" ht="89.25">
      <c r="A406" s="11">
        <v>406</v>
      </c>
      <c r="B406" s="11">
        <v>2026</v>
      </c>
      <c r="C406" s="11" t="s">
        <v>154</v>
      </c>
      <c r="D406" s="12" t="s">
        <v>1242</v>
      </c>
      <c r="E406" s="13">
        <v>46178</v>
      </c>
      <c r="F406" s="11" t="s">
        <v>215</v>
      </c>
      <c r="G406" s="11"/>
      <c r="H406" s="9" t="s">
        <v>1241</v>
      </c>
      <c r="I406" s="11" t="s">
        <v>196</v>
      </c>
      <c r="J406" s="13">
        <v>46223</v>
      </c>
      <c r="K406" s="11" t="s">
        <v>160</v>
      </c>
      <c r="L406" s="11"/>
      <c r="M406" s="215" t="s">
        <v>1242</v>
      </c>
      <c r="N406" s="137" t="s">
        <v>1378</v>
      </c>
      <c r="O406" s="11">
        <v>6</v>
      </c>
      <c r="P406" s="11">
        <v>2026</v>
      </c>
      <c r="Q406" s="14"/>
    </row>
    <row r="407" spans="1:17" ht="89.25">
      <c r="A407" s="11">
        <v>407</v>
      </c>
      <c r="B407" s="11">
        <v>2026</v>
      </c>
      <c r="C407" s="11" t="s">
        <v>154</v>
      </c>
      <c r="D407" s="12" t="s">
        <v>1244</v>
      </c>
      <c r="E407" s="13">
        <v>46176</v>
      </c>
      <c r="F407" s="11" t="s">
        <v>215</v>
      </c>
      <c r="G407" s="11"/>
      <c r="H407" s="9" t="s">
        <v>1243</v>
      </c>
      <c r="I407" s="11" t="s">
        <v>196</v>
      </c>
      <c r="J407" s="13">
        <v>46204</v>
      </c>
      <c r="K407" s="11" t="s">
        <v>160</v>
      </c>
      <c r="L407" s="11"/>
      <c r="M407" s="215" t="s">
        <v>1244</v>
      </c>
      <c r="N407" s="137" t="s">
        <v>1378</v>
      </c>
      <c r="O407" s="11">
        <v>6</v>
      </c>
      <c r="P407" s="11">
        <v>2026</v>
      </c>
      <c r="Q407" s="14"/>
    </row>
    <row r="408" spans="1:17" ht="89.25">
      <c r="A408" s="11">
        <v>408</v>
      </c>
      <c r="B408" s="11">
        <v>2026</v>
      </c>
      <c r="C408" s="11" t="s">
        <v>156</v>
      </c>
      <c r="D408" s="12" t="s">
        <v>1246</v>
      </c>
      <c r="E408" s="13" t="s">
        <v>1247</v>
      </c>
      <c r="F408" s="11" t="s">
        <v>198</v>
      </c>
      <c r="G408" s="11"/>
      <c r="H408" s="9" t="s">
        <v>1245</v>
      </c>
      <c r="I408" s="11" t="s">
        <v>252</v>
      </c>
      <c r="J408" s="13">
        <v>46228</v>
      </c>
      <c r="K408" s="11" t="s">
        <v>160</v>
      </c>
      <c r="L408" s="11"/>
      <c r="M408" s="215" t="s">
        <v>1258</v>
      </c>
      <c r="N408" s="137" t="s">
        <v>1378</v>
      </c>
      <c r="O408" s="11">
        <v>6</v>
      </c>
      <c r="P408" s="11">
        <v>2026</v>
      </c>
      <c r="Q408" s="14"/>
    </row>
    <row r="409" spans="1:17" ht="102">
      <c r="A409" s="11">
        <v>409</v>
      </c>
      <c r="B409" s="11">
        <v>2026</v>
      </c>
      <c r="C409" s="11" t="s">
        <v>154</v>
      </c>
      <c r="D409" s="12" t="s">
        <v>1248</v>
      </c>
      <c r="E409" s="13">
        <v>46183</v>
      </c>
      <c r="F409" s="11" t="s">
        <v>198</v>
      </c>
      <c r="G409" s="11"/>
      <c r="H409" s="9" t="s">
        <v>1251</v>
      </c>
      <c r="I409" s="11" t="s">
        <v>252</v>
      </c>
      <c r="J409" s="13">
        <v>46183</v>
      </c>
      <c r="K409" s="11" t="s">
        <v>160</v>
      </c>
      <c r="L409" s="11"/>
      <c r="M409" s="215" t="s">
        <v>1409</v>
      </c>
      <c r="N409" s="137" t="s">
        <v>1378</v>
      </c>
      <c r="O409" s="11">
        <v>6</v>
      </c>
      <c r="P409" s="11">
        <v>2026</v>
      </c>
      <c r="Q409" s="14"/>
    </row>
    <row r="410" spans="1:17" ht="38.25">
      <c r="A410" s="11">
        <v>410</v>
      </c>
      <c r="B410" s="11">
        <v>2026</v>
      </c>
      <c r="C410" s="11" t="s">
        <v>150</v>
      </c>
      <c r="D410" s="12" t="s">
        <v>1250</v>
      </c>
      <c r="E410" s="13">
        <v>46178</v>
      </c>
      <c r="F410" s="11" t="s">
        <v>198</v>
      </c>
      <c r="G410" s="11"/>
      <c r="H410" s="9" t="s">
        <v>1249</v>
      </c>
      <c r="I410" s="11" t="s">
        <v>273</v>
      </c>
      <c r="J410" s="13">
        <v>46235</v>
      </c>
      <c r="K410" s="11" t="s">
        <v>160</v>
      </c>
      <c r="L410" s="11"/>
      <c r="M410" s="215" t="s">
        <v>1250</v>
      </c>
      <c r="N410" s="212"/>
      <c r="O410" s="11">
        <v>6</v>
      </c>
      <c r="P410" s="11">
        <v>2026</v>
      </c>
      <c r="Q410" s="14"/>
    </row>
    <row r="411" spans="1:17" ht="89.25">
      <c r="A411" s="11">
        <v>411</v>
      </c>
      <c r="B411" s="11">
        <v>2026</v>
      </c>
      <c r="C411" s="11" t="s">
        <v>155</v>
      </c>
      <c r="D411" s="12" t="s">
        <v>1267</v>
      </c>
      <c r="E411" s="13" t="s">
        <v>1266</v>
      </c>
      <c r="F411" s="11" t="s">
        <v>172</v>
      </c>
      <c r="G411" s="11"/>
      <c r="H411" s="9" t="s">
        <v>1265</v>
      </c>
      <c r="I411" s="11" t="s">
        <v>617</v>
      </c>
      <c r="J411" s="13" t="s">
        <v>1266</v>
      </c>
      <c r="K411" s="11" t="s">
        <v>160</v>
      </c>
      <c r="L411" s="11"/>
      <c r="M411" s="215" t="s">
        <v>1271</v>
      </c>
      <c r="N411" s="137" t="s">
        <v>1377</v>
      </c>
      <c r="O411" s="11">
        <v>6</v>
      </c>
      <c r="P411" s="11">
        <v>2026</v>
      </c>
      <c r="Q411" s="14"/>
    </row>
    <row r="412" spans="1:17" ht="89.25">
      <c r="A412" s="11">
        <v>412</v>
      </c>
      <c r="B412" s="11">
        <v>2026</v>
      </c>
      <c r="C412" s="11" t="s">
        <v>161</v>
      </c>
      <c r="D412" s="12" t="s">
        <v>1269</v>
      </c>
      <c r="E412" s="13" t="s">
        <v>1266</v>
      </c>
      <c r="F412" s="11" t="s">
        <v>198</v>
      </c>
      <c r="G412" s="11"/>
      <c r="H412" s="9" t="s">
        <v>1268</v>
      </c>
      <c r="I412" s="11" t="s">
        <v>364</v>
      </c>
      <c r="J412" s="13">
        <v>46204</v>
      </c>
      <c r="K412" s="11" t="s">
        <v>160</v>
      </c>
      <c r="L412" s="11"/>
      <c r="M412" s="216" t="s">
        <v>1269</v>
      </c>
      <c r="N412" s="212"/>
      <c r="O412" s="11">
        <v>6</v>
      </c>
      <c r="P412" s="11">
        <v>2026</v>
      </c>
      <c r="Q412" s="14"/>
    </row>
    <row r="413" spans="1:17" ht="89.25">
      <c r="A413" s="11">
        <v>413</v>
      </c>
      <c r="B413" s="11">
        <v>2026</v>
      </c>
      <c r="C413" s="11" t="s">
        <v>154</v>
      </c>
      <c r="D413" s="12" t="s">
        <v>1271</v>
      </c>
      <c r="E413" s="13">
        <v>46189</v>
      </c>
      <c r="F413" s="11" t="s">
        <v>172</v>
      </c>
      <c r="G413" s="11"/>
      <c r="H413" s="9" t="s">
        <v>1270</v>
      </c>
      <c r="I413" s="11" t="s">
        <v>196</v>
      </c>
      <c r="J413" s="13" t="s">
        <v>1266</v>
      </c>
      <c r="K413" s="11" t="s">
        <v>160</v>
      </c>
      <c r="L413" s="11"/>
      <c r="M413" s="214" t="s">
        <v>1271</v>
      </c>
      <c r="N413" s="137" t="s">
        <v>1377</v>
      </c>
      <c r="O413" s="11">
        <v>6</v>
      </c>
      <c r="P413" s="11">
        <v>2026</v>
      </c>
      <c r="Q413" s="14"/>
    </row>
    <row r="414" spans="1:17" ht="89.25">
      <c r="A414" s="11">
        <v>414</v>
      </c>
      <c r="B414" s="11">
        <v>2026</v>
      </c>
      <c r="C414" s="11" t="s">
        <v>156</v>
      </c>
      <c r="D414" s="13" t="s">
        <v>1273</v>
      </c>
      <c r="E414" s="13">
        <v>46197</v>
      </c>
      <c r="F414" s="11" t="s">
        <v>215</v>
      </c>
      <c r="G414" s="11"/>
      <c r="H414" s="9" t="s">
        <v>1272</v>
      </c>
      <c r="I414" s="11" t="s">
        <v>196</v>
      </c>
      <c r="J414" s="13">
        <v>46204</v>
      </c>
      <c r="K414" s="11" t="s">
        <v>160</v>
      </c>
      <c r="L414" s="11"/>
      <c r="M414" s="219" t="s">
        <v>1395</v>
      </c>
      <c r="N414" s="137" t="s">
        <v>1377</v>
      </c>
      <c r="O414" s="11">
        <v>6</v>
      </c>
      <c r="P414" s="11">
        <v>2026</v>
      </c>
      <c r="Q414" s="14"/>
    </row>
    <row r="415" spans="1:17" ht="89.25">
      <c r="A415" s="11">
        <v>415</v>
      </c>
      <c r="B415" s="11">
        <v>2026</v>
      </c>
      <c r="C415" s="11" t="s">
        <v>156</v>
      </c>
      <c r="D415" s="12" t="s">
        <v>1274</v>
      </c>
      <c r="E415" s="13" t="s">
        <v>1276</v>
      </c>
      <c r="F415" s="11" t="s">
        <v>215</v>
      </c>
      <c r="G415" s="11"/>
      <c r="H415" s="9" t="s">
        <v>1275</v>
      </c>
      <c r="I415" s="11" t="s">
        <v>196</v>
      </c>
      <c r="J415" s="13" t="s">
        <v>1276</v>
      </c>
      <c r="K415" s="11" t="s">
        <v>160</v>
      </c>
      <c r="L415" s="11"/>
      <c r="M415" s="214" t="s">
        <v>1274</v>
      </c>
      <c r="N415" s="137" t="s">
        <v>1377</v>
      </c>
      <c r="O415" s="11">
        <v>6</v>
      </c>
      <c r="P415" s="11">
        <v>2026</v>
      </c>
      <c r="Q415" s="14"/>
    </row>
    <row r="416" spans="1:17" ht="89.25">
      <c r="A416" s="11">
        <v>416</v>
      </c>
      <c r="B416" s="11">
        <v>2026</v>
      </c>
      <c r="C416" s="11" t="s">
        <v>165</v>
      </c>
      <c r="D416" s="12" t="s">
        <v>1277</v>
      </c>
      <c r="E416" s="13" t="s">
        <v>1276</v>
      </c>
      <c r="F416" s="11" t="s">
        <v>215</v>
      </c>
      <c r="G416" s="11"/>
      <c r="H416" s="9" t="s">
        <v>1279</v>
      </c>
      <c r="I416" s="11" t="s">
        <v>196</v>
      </c>
      <c r="J416" s="13">
        <v>46204</v>
      </c>
      <c r="K416" s="11" t="s">
        <v>160</v>
      </c>
      <c r="L416" s="11"/>
      <c r="M416" s="214" t="s">
        <v>1277</v>
      </c>
      <c r="N416" s="137" t="s">
        <v>1377</v>
      </c>
      <c r="O416" s="11">
        <v>6</v>
      </c>
      <c r="P416" s="11">
        <v>2026</v>
      </c>
      <c r="Q416" s="14"/>
    </row>
    <row r="417" spans="1:38" ht="89.25">
      <c r="A417" s="11">
        <v>417</v>
      </c>
      <c r="B417" s="11">
        <v>2026</v>
      </c>
      <c r="C417" s="11" t="s">
        <v>155</v>
      </c>
      <c r="D417" s="12" t="s">
        <v>1278</v>
      </c>
      <c r="E417" s="13">
        <v>46195</v>
      </c>
      <c r="F417" s="11" t="s">
        <v>198</v>
      </c>
      <c r="G417" s="11"/>
      <c r="H417" s="9" t="s">
        <v>1280</v>
      </c>
      <c r="I417" s="11" t="s">
        <v>252</v>
      </c>
      <c r="J417" s="13">
        <v>46241</v>
      </c>
      <c r="K417" s="11" t="s">
        <v>160</v>
      </c>
      <c r="L417" s="11"/>
      <c r="M417" s="214" t="s">
        <v>1394</v>
      </c>
      <c r="N417" s="137" t="s">
        <v>1377</v>
      </c>
      <c r="O417" s="11">
        <v>6</v>
      </c>
      <c r="P417" s="11">
        <v>2026</v>
      </c>
      <c r="Q417" s="14"/>
    </row>
    <row r="418" spans="1:38" ht="89.25">
      <c r="A418" s="11">
        <v>418</v>
      </c>
      <c r="B418" s="11">
        <v>2026</v>
      </c>
      <c r="C418" s="11" t="s">
        <v>154</v>
      </c>
      <c r="D418" s="12" t="s">
        <v>1300</v>
      </c>
      <c r="E418" s="143">
        <v>46199</v>
      </c>
      <c r="F418" s="11" t="s">
        <v>151</v>
      </c>
      <c r="G418" s="11"/>
      <c r="H418" s="9" t="s">
        <v>1299</v>
      </c>
      <c r="I418" s="11" t="s">
        <v>233</v>
      </c>
      <c r="J418" s="143">
        <v>46199</v>
      </c>
      <c r="K418" s="11" t="s">
        <v>160</v>
      </c>
      <c r="L418" s="11"/>
      <c r="M418" s="214" t="s">
        <v>1381</v>
      </c>
      <c r="N418" s="137" t="s">
        <v>1379</v>
      </c>
      <c r="O418" s="11">
        <v>7</v>
      </c>
      <c r="P418" s="11">
        <v>2026</v>
      </c>
      <c r="Q418" s="14"/>
    </row>
    <row r="419" spans="1:38" ht="89.25">
      <c r="A419" s="11">
        <v>419</v>
      </c>
      <c r="B419" s="11">
        <v>2026</v>
      </c>
      <c r="C419" s="138" t="s">
        <v>156</v>
      </c>
      <c r="D419" s="144" t="s">
        <v>1313</v>
      </c>
      <c r="E419" s="143">
        <v>46203</v>
      </c>
      <c r="F419" s="11" t="s">
        <v>215</v>
      </c>
      <c r="G419" s="138"/>
      <c r="H419" s="146" t="s">
        <v>1314</v>
      </c>
      <c r="I419" s="138" t="s">
        <v>196</v>
      </c>
      <c r="J419" s="143">
        <v>46203</v>
      </c>
      <c r="K419" s="11" t="s">
        <v>160</v>
      </c>
      <c r="L419" s="138"/>
      <c r="M419" s="215" t="s">
        <v>1382</v>
      </c>
      <c r="N419" s="137" t="s">
        <v>1379</v>
      </c>
      <c r="O419" s="11">
        <v>7</v>
      </c>
      <c r="P419" s="11">
        <v>2026</v>
      </c>
      <c r="Q419" s="178"/>
      <c r="R419" s="202"/>
      <c r="S419" s="202"/>
      <c r="T419" s="202"/>
      <c r="U419" s="202"/>
      <c r="V419" s="202"/>
      <c r="W419" s="202"/>
      <c r="X419" s="202"/>
      <c r="Y419" s="202"/>
      <c r="Z419" s="202"/>
      <c r="AA419" s="202"/>
      <c r="AB419" s="202"/>
      <c r="AC419" s="202"/>
      <c r="AD419" s="202"/>
      <c r="AE419" s="202"/>
      <c r="AF419" s="202"/>
      <c r="AG419" s="202"/>
      <c r="AH419" s="202"/>
      <c r="AI419" s="202"/>
      <c r="AJ419" s="202"/>
      <c r="AK419" s="202"/>
      <c r="AL419" s="202"/>
    </row>
    <row r="420" spans="1:38" ht="89.25">
      <c r="A420" s="11">
        <v>420</v>
      </c>
      <c r="B420" s="11">
        <v>2026</v>
      </c>
      <c r="C420" s="11" t="s">
        <v>155</v>
      </c>
      <c r="D420" s="12" t="s">
        <v>1323</v>
      </c>
      <c r="E420" s="143">
        <v>46203</v>
      </c>
      <c r="F420" s="11" t="s">
        <v>198</v>
      </c>
      <c r="G420" s="11"/>
      <c r="H420" s="9" t="s">
        <v>1322</v>
      </c>
      <c r="I420" s="187" t="s">
        <v>252</v>
      </c>
      <c r="J420" s="143">
        <v>46203</v>
      </c>
      <c r="K420" s="11" t="s">
        <v>160</v>
      </c>
      <c r="L420" s="11"/>
      <c r="M420" s="214" t="s">
        <v>1323</v>
      </c>
      <c r="N420" s="137" t="s">
        <v>1379</v>
      </c>
      <c r="O420" s="11">
        <v>7</v>
      </c>
      <c r="P420" s="11">
        <v>2026</v>
      </c>
      <c r="Q420" s="14"/>
    </row>
    <row r="421" spans="1:38" ht="89.25">
      <c r="A421" s="11">
        <v>421</v>
      </c>
      <c r="B421" s="11">
        <v>2026</v>
      </c>
      <c r="C421" s="11" t="s">
        <v>154</v>
      </c>
      <c r="D421" s="12" t="s">
        <v>1285</v>
      </c>
      <c r="E421" s="13">
        <v>46204</v>
      </c>
      <c r="F421" s="11" t="s">
        <v>215</v>
      </c>
      <c r="G421" s="11"/>
      <c r="H421" s="9" t="s">
        <v>1284</v>
      </c>
      <c r="I421" s="11" t="s">
        <v>196</v>
      </c>
      <c r="J421" s="13">
        <v>46204</v>
      </c>
      <c r="K421" s="11" t="s">
        <v>160</v>
      </c>
      <c r="L421" s="11"/>
      <c r="M421" s="216" t="s">
        <v>1285</v>
      </c>
      <c r="N421" s="137" t="s">
        <v>1379</v>
      </c>
      <c r="O421" s="11">
        <v>7</v>
      </c>
      <c r="P421" s="11">
        <v>2026</v>
      </c>
      <c r="Q421" s="14"/>
    </row>
    <row r="422" spans="1:38" ht="89.25">
      <c r="A422" s="11">
        <v>422</v>
      </c>
      <c r="B422" s="11">
        <v>2026</v>
      </c>
      <c r="C422" s="11" t="s">
        <v>161</v>
      </c>
      <c r="D422" s="12" t="s">
        <v>1287</v>
      </c>
      <c r="E422" s="13">
        <v>46204</v>
      </c>
      <c r="F422" s="11" t="s">
        <v>198</v>
      </c>
      <c r="G422" s="11"/>
      <c r="H422" s="9" t="s">
        <v>1286</v>
      </c>
      <c r="I422" s="11" t="s">
        <v>364</v>
      </c>
      <c r="J422" s="13">
        <v>46204</v>
      </c>
      <c r="K422" s="11" t="s">
        <v>160</v>
      </c>
      <c r="L422" s="11" t="s">
        <v>1288</v>
      </c>
      <c r="M422" s="216" t="s">
        <v>1287</v>
      </c>
      <c r="N422" s="137" t="s">
        <v>1379</v>
      </c>
      <c r="O422" s="11">
        <v>7</v>
      </c>
      <c r="P422" s="11">
        <v>2026</v>
      </c>
      <c r="Q422" s="14"/>
    </row>
    <row r="423" spans="1:38" ht="37.5" customHeight="1">
      <c r="A423" s="11">
        <v>423</v>
      </c>
      <c r="B423" s="11">
        <v>2026</v>
      </c>
      <c r="C423" s="11" t="s">
        <v>161</v>
      </c>
      <c r="D423" s="12" t="s">
        <v>1291</v>
      </c>
      <c r="E423" s="13">
        <v>46204</v>
      </c>
      <c r="F423" s="11" t="s">
        <v>198</v>
      </c>
      <c r="G423" s="11"/>
      <c r="H423" s="9" t="s">
        <v>1290</v>
      </c>
      <c r="I423" s="11" t="s">
        <v>364</v>
      </c>
      <c r="J423" s="13">
        <v>46204</v>
      </c>
      <c r="K423" s="11" t="s">
        <v>160</v>
      </c>
      <c r="L423" s="11"/>
      <c r="M423" s="12" t="s">
        <v>1291</v>
      </c>
      <c r="N423" s="213"/>
      <c r="O423" s="11">
        <v>7</v>
      </c>
      <c r="P423" s="11">
        <v>2026</v>
      </c>
      <c r="Q423" s="14"/>
    </row>
    <row r="424" spans="1:38" ht="89.25">
      <c r="A424" s="11">
        <v>424</v>
      </c>
      <c r="B424" s="11">
        <v>2026</v>
      </c>
      <c r="C424" s="11" t="s">
        <v>156</v>
      </c>
      <c r="D424" s="12" t="s">
        <v>1298</v>
      </c>
      <c r="E424" s="13">
        <v>46204</v>
      </c>
      <c r="F424" s="11" t="s">
        <v>198</v>
      </c>
      <c r="G424" s="11"/>
      <c r="H424" s="9" t="s">
        <v>1297</v>
      </c>
      <c r="I424" s="11" t="s">
        <v>477</v>
      </c>
      <c r="J424" s="13">
        <v>46204</v>
      </c>
      <c r="K424" s="11" t="s">
        <v>160</v>
      </c>
      <c r="L424" s="11"/>
      <c r="M424" s="12" t="s">
        <v>1298</v>
      </c>
      <c r="N424" s="213"/>
      <c r="O424" s="11">
        <v>7</v>
      </c>
      <c r="P424" s="11">
        <v>2026</v>
      </c>
      <c r="Q424" s="14"/>
    </row>
    <row r="425" spans="1:38" ht="89.25">
      <c r="A425" s="11">
        <v>425</v>
      </c>
      <c r="B425" s="11">
        <v>2026</v>
      </c>
      <c r="C425" s="11" t="s">
        <v>154</v>
      </c>
      <c r="D425" s="12" t="s">
        <v>1302</v>
      </c>
      <c r="E425" s="13">
        <v>46203</v>
      </c>
      <c r="F425" s="11" t="s">
        <v>215</v>
      </c>
      <c r="G425" s="11"/>
      <c r="H425" s="9" t="s">
        <v>1301</v>
      </c>
      <c r="I425" s="11" t="s">
        <v>196</v>
      </c>
      <c r="J425" s="13">
        <v>46204</v>
      </c>
      <c r="K425" s="11" t="s">
        <v>160</v>
      </c>
      <c r="L425" s="11"/>
      <c r="M425" s="214" t="s">
        <v>1383</v>
      </c>
      <c r="N425" s="137" t="s">
        <v>1379</v>
      </c>
      <c r="O425" s="11">
        <v>7</v>
      </c>
      <c r="P425" s="11">
        <v>2026</v>
      </c>
      <c r="Q425" s="14"/>
    </row>
    <row r="426" spans="1:38" ht="89.25">
      <c r="A426" s="11">
        <v>426</v>
      </c>
      <c r="B426" s="11">
        <v>2026</v>
      </c>
      <c r="C426" s="11" t="s">
        <v>161</v>
      </c>
      <c r="D426" s="12" t="s">
        <v>1306</v>
      </c>
      <c r="E426" s="13">
        <v>46203</v>
      </c>
      <c r="F426" s="11" t="s">
        <v>215</v>
      </c>
      <c r="G426" s="11"/>
      <c r="H426" s="9" t="s">
        <v>1305</v>
      </c>
      <c r="I426" s="11" t="s">
        <v>196</v>
      </c>
      <c r="J426" s="13">
        <v>46204</v>
      </c>
      <c r="K426" s="11" t="s">
        <v>160</v>
      </c>
      <c r="L426" s="11"/>
      <c r="M426" s="214" t="s">
        <v>1306</v>
      </c>
      <c r="N426" s="137" t="s">
        <v>1379</v>
      </c>
      <c r="O426" s="11">
        <v>7</v>
      </c>
      <c r="P426" s="11">
        <v>2026</v>
      </c>
      <c r="Q426" s="14"/>
    </row>
    <row r="427" spans="1:38" ht="89.25">
      <c r="A427" s="11">
        <v>427</v>
      </c>
      <c r="B427" s="11">
        <v>2026</v>
      </c>
      <c r="C427" s="11" t="s">
        <v>161</v>
      </c>
      <c r="D427" s="12" t="s">
        <v>1308</v>
      </c>
      <c r="E427" s="13">
        <v>46001</v>
      </c>
      <c r="F427" s="11" t="s">
        <v>383</v>
      </c>
      <c r="G427" s="11"/>
      <c r="H427" s="9" t="s">
        <v>1307</v>
      </c>
      <c r="I427" s="11" t="s">
        <v>384</v>
      </c>
      <c r="J427" s="13">
        <v>46204</v>
      </c>
      <c r="K427" s="11" t="s">
        <v>160</v>
      </c>
      <c r="L427" s="11"/>
      <c r="M427" s="214" t="s">
        <v>1308</v>
      </c>
      <c r="N427" s="137" t="s">
        <v>1379</v>
      </c>
      <c r="O427" s="11">
        <v>7</v>
      </c>
      <c r="P427" s="11">
        <v>2026</v>
      </c>
      <c r="Q427" s="14"/>
    </row>
    <row r="428" spans="1:38" ht="89.25">
      <c r="A428" s="11">
        <v>428</v>
      </c>
      <c r="B428" s="11">
        <v>2026</v>
      </c>
      <c r="C428" s="11" t="s">
        <v>154</v>
      </c>
      <c r="D428" s="12" t="s">
        <v>1316</v>
      </c>
      <c r="E428" s="143">
        <v>46197</v>
      </c>
      <c r="F428" s="11" t="s">
        <v>151</v>
      </c>
      <c r="G428" s="11"/>
      <c r="H428" s="9" t="s">
        <v>1315</v>
      </c>
      <c r="I428" s="138" t="s">
        <v>196</v>
      </c>
      <c r="J428" s="13">
        <v>46204</v>
      </c>
      <c r="K428" s="11" t="s">
        <v>160</v>
      </c>
      <c r="L428" s="11"/>
      <c r="M428" s="214" t="s">
        <v>1384</v>
      </c>
      <c r="N428" s="137" t="s">
        <v>1379</v>
      </c>
      <c r="O428" s="11">
        <v>7</v>
      </c>
      <c r="P428" s="11">
        <v>2026</v>
      </c>
      <c r="Q428" s="14"/>
    </row>
    <row r="429" spans="1:38" s="202" customFormat="1" ht="89.25">
      <c r="A429" s="11">
        <v>429</v>
      </c>
      <c r="B429" s="11">
        <v>2026</v>
      </c>
      <c r="C429" s="11" t="s">
        <v>154</v>
      </c>
      <c r="D429" s="12" t="s">
        <v>1318</v>
      </c>
      <c r="E429" s="143">
        <v>46199</v>
      </c>
      <c r="F429" s="11" t="s">
        <v>215</v>
      </c>
      <c r="G429" s="11"/>
      <c r="H429" s="9" t="s">
        <v>1317</v>
      </c>
      <c r="I429" s="138" t="s">
        <v>196</v>
      </c>
      <c r="J429" s="13">
        <v>46204</v>
      </c>
      <c r="K429" s="11" t="s">
        <v>160</v>
      </c>
      <c r="L429" s="11"/>
      <c r="M429" s="214" t="s">
        <v>1318</v>
      </c>
      <c r="N429" s="137" t="s">
        <v>1379</v>
      </c>
      <c r="O429" s="11">
        <v>7</v>
      </c>
      <c r="P429" s="11">
        <v>2026</v>
      </c>
      <c r="Q429" s="14"/>
      <c r="R429"/>
      <c r="S429"/>
      <c r="T429"/>
      <c r="U429"/>
      <c r="V429"/>
      <c r="W429"/>
      <c r="X429"/>
      <c r="Y429"/>
      <c r="Z429"/>
      <c r="AA429"/>
      <c r="AB429"/>
      <c r="AC429"/>
      <c r="AD429"/>
      <c r="AE429"/>
      <c r="AF429"/>
      <c r="AG429"/>
      <c r="AH429"/>
      <c r="AI429"/>
      <c r="AJ429"/>
      <c r="AK429"/>
      <c r="AL429"/>
    </row>
    <row r="430" spans="1:38" s="202" customFormat="1" ht="89.25">
      <c r="A430" s="11">
        <v>430</v>
      </c>
      <c r="B430" s="11">
        <v>2026</v>
      </c>
      <c r="C430" s="11" t="s">
        <v>154</v>
      </c>
      <c r="D430" s="12" t="s">
        <v>1320</v>
      </c>
      <c r="E430" s="143">
        <v>46199</v>
      </c>
      <c r="F430" s="11" t="s">
        <v>215</v>
      </c>
      <c r="G430" s="11"/>
      <c r="H430" s="9" t="s">
        <v>1319</v>
      </c>
      <c r="I430" s="138" t="s">
        <v>196</v>
      </c>
      <c r="J430" s="13">
        <v>46204</v>
      </c>
      <c r="K430" s="11" t="s">
        <v>160</v>
      </c>
      <c r="L430" s="11"/>
      <c r="M430" s="214" t="s">
        <v>1320</v>
      </c>
      <c r="N430" s="137" t="s">
        <v>1379</v>
      </c>
      <c r="O430" s="11">
        <v>7</v>
      </c>
      <c r="P430" s="11">
        <v>2026</v>
      </c>
      <c r="Q430" s="14"/>
      <c r="R430"/>
      <c r="S430"/>
      <c r="T430"/>
      <c r="U430"/>
      <c r="V430"/>
      <c r="W430"/>
      <c r="X430"/>
      <c r="Y430"/>
      <c r="Z430"/>
      <c r="AA430"/>
      <c r="AB430"/>
      <c r="AC430"/>
      <c r="AD430"/>
      <c r="AE430"/>
      <c r="AF430"/>
      <c r="AG430"/>
      <c r="AH430"/>
      <c r="AI430"/>
      <c r="AJ430"/>
      <c r="AK430"/>
      <c r="AL430"/>
    </row>
    <row r="431" spans="1:38" ht="89.25">
      <c r="A431" s="11">
        <v>431</v>
      </c>
      <c r="B431" s="11">
        <v>2026</v>
      </c>
      <c r="C431" s="11" t="s">
        <v>154</v>
      </c>
      <c r="D431" s="12" t="s">
        <v>1296</v>
      </c>
      <c r="E431" s="13">
        <v>46209</v>
      </c>
      <c r="F431" s="11" t="s">
        <v>172</v>
      </c>
      <c r="G431" s="11"/>
      <c r="H431" s="9" t="s">
        <v>1295</v>
      </c>
      <c r="I431" s="11" t="s">
        <v>196</v>
      </c>
      <c r="J431" s="13">
        <v>46209</v>
      </c>
      <c r="K431" s="11" t="s">
        <v>160</v>
      </c>
      <c r="L431" s="11"/>
      <c r="M431" s="214" t="s">
        <v>1296</v>
      </c>
      <c r="N431" s="137" t="s">
        <v>1379</v>
      </c>
      <c r="O431" s="11">
        <v>7</v>
      </c>
      <c r="P431" s="11">
        <v>2026</v>
      </c>
      <c r="Q431" s="14"/>
    </row>
    <row r="432" spans="1:38" ht="89.25">
      <c r="A432" s="11">
        <v>432</v>
      </c>
      <c r="B432" s="11">
        <v>2026</v>
      </c>
      <c r="C432" s="11" t="s">
        <v>155</v>
      </c>
      <c r="D432" s="12" t="s">
        <v>1282</v>
      </c>
      <c r="E432" s="13">
        <v>46203</v>
      </c>
      <c r="F432" s="11" t="s">
        <v>198</v>
      </c>
      <c r="G432" s="11"/>
      <c r="H432" s="9" t="s">
        <v>1281</v>
      </c>
      <c r="I432" s="11" t="s">
        <v>252</v>
      </c>
      <c r="J432" s="13">
        <v>46249</v>
      </c>
      <c r="K432" s="11" t="s">
        <v>160</v>
      </c>
      <c r="L432" s="11" t="s">
        <v>1283</v>
      </c>
      <c r="M432" s="214" t="s">
        <v>1385</v>
      </c>
      <c r="N432" s="137" t="s">
        <v>1379</v>
      </c>
      <c r="O432" s="11">
        <v>7</v>
      </c>
      <c r="P432" s="11">
        <v>2026</v>
      </c>
      <c r="Q432" s="14"/>
    </row>
    <row r="433" spans="1:38" ht="89.25">
      <c r="A433" s="11">
        <v>433</v>
      </c>
      <c r="B433" s="11">
        <v>2026</v>
      </c>
      <c r="C433" s="11" t="s">
        <v>154</v>
      </c>
      <c r="D433" s="12" t="s">
        <v>1304</v>
      </c>
      <c r="E433" s="13">
        <v>46203</v>
      </c>
      <c r="F433" s="11" t="s">
        <v>198</v>
      </c>
      <c r="G433" s="11"/>
      <c r="H433" s="9" t="s">
        <v>1303</v>
      </c>
      <c r="I433" s="11" t="s">
        <v>252</v>
      </c>
      <c r="J433" s="13">
        <v>46249</v>
      </c>
      <c r="K433" s="11" t="s">
        <v>160</v>
      </c>
      <c r="L433" s="11"/>
      <c r="M433" s="214" t="s">
        <v>1386</v>
      </c>
      <c r="N433" s="137" t="s">
        <v>1379</v>
      </c>
      <c r="O433" s="11">
        <v>7</v>
      </c>
      <c r="P433" s="11">
        <v>2026</v>
      </c>
      <c r="Q433" s="14"/>
    </row>
    <row r="434" spans="1:38" ht="89.25">
      <c r="A434" s="11">
        <v>434</v>
      </c>
      <c r="B434" s="11">
        <v>2026</v>
      </c>
      <c r="C434" s="138" t="s">
        <v>155</v>
      </c>
      <c r="D434" s="186" t="s">
        <v>1312</v>
      </c>
      <c r="E434" s="143">
        <v>46203</v>
      </c>
      <c r="F434" s="11" t="s">
        <v>198</v>
      </c>
      <c r="G434" s="187" t="s">
        <v>198</v>
      </c>
      <c r="H434" s="188" t="s">
        <v>1311</v>
      </c>
      <c r="I434" s="187" t="s">
        <v>252</v>
      </c>
      <c r="J434" s="143">
        <v>46249</v>
      </c>
      <c r="K434" s="11" t="s">
        <v>160</v>
      </c>
      <c r="L434" s="138"/>
      <c r="M434" s="217" t="s">
        <v>1387</v>
      </c>
      <c r="N434" s="137" t="s">
        <v>1379</v>
      </c>
      <c r="O434" s="11">
        <v>7</v>
      </c>
      <c r="P434" s="11">
        <v>2026</v>
      </c>
      <c r="Q434" s="178"/>
      <c r="R434" s="202"/>
      <c r="S434" s="202"/>
      <c r="T434" s="202"/>
      <c r="U434" s="202"/>
      <c r="V434" s="202"/>
      <c r="W434" s="202"/>
      <c r="X434" s="202"/>
      <c r="Y434" s="202"/>
      <c r="Z434" s="202"/>
      <c r="AA434" s="202"/>
      <c r="AB434" s="202"/>
      <c r="AC434" s="202"/>
      <c r="AD434" s="202"/>
      <c r="AE434" s="202"/>
      <c r="AF434" s="202"/>
      <c r="AG434" s="202"/>
      <c r="AH434" s="202"/>
      <c r="AI434" s="202"/>
      <c r="AJ434" s="202"/>
      <c r="AK434" s="202"/>
      <c r="AL434" s="202"/>
    </row>
    <row r="435" spans="1:38" ht="76.5">
      <c r="A435" s="11">
        <v>435</v>
      </c>
      <c r="B435" s="11">
        <v>2026</v>
      </c>
      <c r="C435" s="11" t="s">
        <v>155</v>
      </c>
      <c r="D435" s="12" t="s">
        <v>1325</v>
      </c>
      <c r="E435" s="143">
        <v>46203</v>
      </c>
      <c r="F435" s="11" t="s">
        <v>198</v>
      </c>
      <c r="G435" s="11"/>
      <c r="H435" s="9" t="s">
        <v>1324</v>
      </c>
      <c r="I435" s="187" t="s">
        <v>252</v>
      </c>
      <c r="J435" s="13">
        <v>46203</v>
      </c>
      <c r="K435" s="11" t="s">
        <v>160</v>
      </c>
      <c r="L435" s="11"/>
      <c r="M435" s="216" t="s">
        <v>1388</v>
      </c>
      <c r="N435" s="137" t="s">
        <v>1380</v>
      </c>
      <c r="O435" s="11">
        <v>7</v>
      </c>
      <c r="P435" s="11">
        <v>2026</v>
      </c>
      <c r="Q435" s="14"/>
    </row>
    <row r="436" spans="1:38" ht="76.5">
      <c r="A436" s="11">
        <v>436</v>
      </c>
      <c r="B436" s="11">
        <v>2026</v>
      </c>
      <c r="C436" s="11" t="s">
        <v>155</v>
      </c>
      <c r="D436" s="12" t="s">
        <v>1327</v>
      </c>
      <c r="E436" s="13">
        <v>46226</v>
      </c>
      <c r="F436" s="11" t="s">
        <v>151</v>
      </c>
      <c r="G436" s="11"/>
      <c r="H436" s="9" t="s">
        <v>1326</v>
      </c>
      <c r="I436" s="11" t="s">
        <v>196</v>
      </c>
      <c r="J436" s="143">
        <v>46272</v>
      </c>
      <c r="K436" s="11" t="s">
        <v>160</v>
      </c>
      <c r="L436" s="11"/>
      <c r="M436" s="214" t="s">
        <v>1389</v>
      </c>
      <c r="N436" s="137" t="s">
        <v>1380</v>
      </c>
      <c r="O436" s="11">
        <v>7</v>
      </c>
      <c r="P436" s="11">
        <v>2026</v>
      </c>
      <c r="Q436" s="14"/>
    </row>
    <row r="437" spans="1:38" ht="76.5">
      <c r="A437" s="11">
        <v>437</v>
      </c>
      <c r="B437" s="11">
        <v>2026</v>
      </c>
      <c r="C437" s="11" t="s">
        <v>150</v>
      </c>
      <c r="D437" s="12" t="s">
        <v>1329</v>
      </c>
      <c r="E437" s="13">
        <v>46212</v>
      </c>
      <c r="F437" s="11" t="s">
        <v>172</v>
      </c>
      <c r="G437" s="11"/>
      <c r="H437" s="9" t="s">
        <v>1328</v>
      </c>
      <c r="I437" s="11" t="s">
        <v>196</v>
      </c>
      <c r="J437" s="13">
        <v>46249</v>
      </c>
      <c r="K437" s="11" t="s">
        <v>160</v>
      </c>
      <c r="L437" s="11"/>
      <c r="M437" s="214" t="s">
        <v>1329</v>
      </c>
      <c r="N437" s="137" t="s">
        <v>1380</v>
      </c>
      <c r="O437" s="11">
        <v>7</v>
      </c>
      <c r="P437" s="11">
        <v>2026</v>
      </c>
      <c r="Q437" s="14"/>
    </row>
    <row r="438" spans="1:38" ht="76.5">
      <c r="A438" s="11">
        <v>438</v>
      </c>
      <c r="B438" s="11">
        <v>2026</v>
      </c>
      <c r="C438" s="11" t="s">
        <v>155</v>
      </c>
      <c r="D438" s="12" t="s">
        <v>1331</v>
      </c>
      <c r="E438" s="13">
        <v>46210</v>
      </c>
      <c r="F438" s="11" t="s">
        <v>198</v>
      </c>
      <c r="G438" s="11"/>
      <c r="H438" s="9" t="s">
        <v>1330</v>
      </c>
      <c r="I438" s="187" t="s">
        <v>252</v>
      </c>
      <c r="J438" s="13">
        <v>46256</v>
      </c>
      <c r="K438" s="11" t="s">
        <v>160</v>
      </c>
      <c r="L438" s="11"/>
      <c r="M438" s="214" t="s">
        <v>1331</v>
      </c>
      <c r="N438" s="137" t="s">
        <v>1380</v>
      </c>
      <c r="O438" s="11">
        <v>7</v>
      </c>
      <c r="P438" s="11">
        <v>2026</v>
      </c>
      <c r="Q438" s="14"/>
    </row>
    <row r="439" spans="1:38" ht="76.5">
      <c r="A439" s="11">
        <v>439</v>
      </c>
      <c r="B439" s="11">
        <v>2026</v>
      </c>
      <c r="C439" s="11" t="s">
        <v>155</v>
      </c>
      <c r="D439" s="164" t="s">
        <v>1333</v>
      </c>
      <c r="E439" s="13">
        <v>46218</v>
      </c>
      <c r="F439" s="11" t="s">
        <v>198</v>
      </c>
      <c r="G439" s="11"/>
      <c r="H439" s="9" t="s">
        <v>1332</v>
      </c>
      <c r="I439" s="187" t="s">
        <v>252</v>
      </c>
      <c r="J439" s="13">
        <v>46266</v>
      </c>
      <c r="K439" s="11" t="s">
        <v>160</v>
      </c>
      <c r="L439" s="11"/>
      <c r="M439" s="216" t="s">
        <v>1333</v>
      </c>
      <c r="N439" s="137" t="s">
        <v>1380</v>
      </c>
      <c r="O439" s="11">
        <v>7</v>
      </c>
      <c r="P439" s="11">
        <v>2026</v>
      </c>
      <c r="Q439" s="14"/>
    </row>
    <row r="440" spans="1:38" ht="76.5">
      <c r="A440" s="11">
        <v>440</v>
      </c>
      <c r="B440" s="11">
        <v>2026</v>
      </c>
      <c r="C440" s="11" t="s">
        <v>154</v>
      </c>
      <c r="D440" s="12" t="s">
        <v>1335</v>
      </c>
      <c r="E440" s="13">
        <v>46225</v>
      </c>
      <c r="F440" s="11" t="s">
        <v>151</v>
      </c>
      <c r="G440" s="11"/>
      <c r="H440" s="9" t="s">
        <v>1334</v>
      </c>
      <c r="I440" s="11" t="s">
        <v>361</v>
      </c>
      <c r="J440" s="13">
        <v>46225</v>
      </c>
      <c r="K440" s="11" t="s">
        <v>160</v>
      </c>
      <c r="L440" s="11"/>
      <c r="M440" s="214" t="s">
        <v>1335</v>
      </c>
      <c r="N440" s="137" t="s">
        <v>1380</v>
      </c>
      <c r="O440" s="11">
        <v>7</v>
      </c>
      <c r="P440" s="11">
        <v>2026</v>
      </c>
      <c r="Q440" s="14"/>
    </row>
    <row r="441" spans="1:38" ht="76.5">
      <c r="A441" s="11">
        <v>441</v>
      </c>
      <c r="B441" s="11">
        <v>2026</v>
      </c>
      <c r="C441" s="11" t="s">
        <v>156</v>
      </c>
      <c r="D441" s="143" t="s">
        <v>1337</v>
      </c>
      <c r="E441" s="13">
        <v>46229</v>
      </c>
      <c r="F441" s="11" t="s">
        <v>172</v>
      </c>
      <c r="G441" s="11"/>
      <c r="H441" s="9" t="s">
        <v>1336</v>
      </c>
      <c r="I441" s="11" t="s">
        <v>196</v>
      </c>
      <c r="J441" s="13">
        <v>46229</v>
      </c>
      <c r="K441" s="11" t="s">
        <v>160</v>
      </c>
      <c r="L441" s="11"/>
      <c r="M441" s="218" t="s">
        <v>1390</v>
      </c>
      <c r="N441" s="137" t="s">
        <v>1380</v>
      </c>
      <c r="O441" s="11">
        <v>7</v>
      </c>
      <c r="P441" s="11">
        <v>2026</v>
      </c>
      <c r="Q441" s="14"/>
    </row>
    <row r="442" spans="1:38" ht="76.5">
      <c r="A442" s="11">
        <v>442</v>
      </c>
      <c r="B442" s="11">
        <v>2026</v>
      </c>
      <c r="C442" s="11" t="s">
        <v>155</v>
      </c>
      <c r="D442" s="12" t="s">
        <v>1339</v>
      </c>
      <c r="E442" s="13">
        <v>46220</v>
      </c>
      <c r="F442" s="11" t="s">
        <v>198</v>
      </c>
      <c r="G442" s="11"/>
      <c r="H442" s="9" t="s">
        <v>1338</v>
      </c>
      <c r="I442" s="187" t="s">
        <v>252</v>
      </c>
      <c r="J442" s="13" t="s">
        <v>1340</v>
      </c>
      <c r="K442" s="11" t="s">
        <v>160</v>
      </c>
      <c r="L442" s="11"/>
      <c r="M442" s="214" t="s">
        <v>1339</v>
      </c>
      <c r="N442" s="137" t="s">
        <v>1380</v>
      </c>
      <c r="O442" s="11">
        <v>7</v>
      </c>
      <c r="P442" s="11">
        <v>2026</v>
      </c>
      <c r="Q442" s="14"/>
    </row>
    <row r="443" spans="1:38" ht="89.25">
      <c r="A443" s="11">
        <v>443</v>
      </c>
      <c r="B443" s="11">
        <v>2026</v>
      </c>
      <c r="C443" s="11" t="s">
        <v>154</v>
      </c>
      <c r="D443" s="12" t="s">
        <v>1351</v>
      </c>
      <c r="E443" s="13">
        <v>46244</v>
      </c>
      <c r="F443" s="11" t="s">
        <v>170</v>
      </c>
      <c r="G443" s="11"/>
      <c r="H443" s="9" t="s">
        <v>1352</v>
      </c>
      <c r="I443" s="187" t="s">
        <v>252</v>
      </c>
      <c r="J443" s="13">
        <v>46244</v>
      </c>
      <c r="K443" s="11" t="s">
        <v>160</v>
      </c>
      <c r="L443" s="11"/>
      <c r="M443" s="214" t="s">
        <v>1391</v>
      </c>
      <c r="N443" s="137" t="s">
        <v>1374</v>
      </c>
      <c r="O443" s="11">
        <v>8</v>
      </c>
      <c r="P443" s="11">
        <v>2026</v>
      </c>
      <c r="Q443" s="14"/>
    </row>
    <row r="444" spans="1:38" ht="89.25">
      <c r="A444" s="11">
        <v>444</v>
      </c>
      <c r="B444" s="11">
        <v>2026</v>
      </c>
      <c r="C444" s="11" t="s">
        <v>155</v>
      </c>
      <c r="D444" s="12" t="s">
        <v>1353</v>
      </c>
      <c r="E444" s="13">
        <v>46239</v>
      </c>
      <c r="F444" s="11" t="s">
        <v>206</v>
      </c>
      <c r="G444" s="11"/>
      <c r="H444" s="9" t="s">
        <v>1354</v>
      </c>
      <c r="I444" s="187" t="s">
        <v>252</v>
      </c>
      <c r="J444" s="13">
        <v>46239</v>
      </c>
      <c r="K444" s="11" t="s">
        <v>160</v>
      </c>
      <c r="L444" s="11"/>
      <c r="M444" s="214" t="s">
        <v>1392</v>
      </c>
      <c r="N444" s="137" t="s">
        <v>1374</v>
      </c>
      <c r="O444" s="11">
        <v>8</v>
      </c>
      <c r="P444" s="11">
        <v>2026</v>
      </c>
      <c r="Q444" s="14"/>
    </row>
    <row r="445" spans="1:38" ht="89.25">
      <c r="A445" s="11">
        <v>445</v>
      </c>
      <c r="B445" s="11">
        <v>2026</v>
      </c>
      <c r="C445" s="11" t="s">
        <v>156</v>
      </c>
      <c r="D445" s="12" t="s">
        <v>1355</v>
      </c>
      <c r="E445" s="13">
        <v>46239</v>
      </c>
      <c r="F445" s="11" t="s">
        <v>215</v>
      </c>
      <c r="G445" s="11"/>
      <c r="H445" s="9" t="s">
        <v>1356</v>
      </c>
      <c r="I445" s="11" t="s">
        <v>196</v>
      </c>
      <c r="J445" s="13">
        <v>46239</v>
      </c>
      <c r="K445" s="11" t="s">
        <v>160</v>
      </c>
      <c r="L445" s="11"/>
      <c r="M445" s="214" t="s">
        <v>1355</v>
      </c>
      <c r="N445" s="137" t="s">
        <v>1374</v>
      </c>
      <c r="O445" s="11">
        <v>8</v>
      </c>
      <c r="P445" s="11">
        <v>2026</v>
      </c>
      <c r="Q445" s="14"/>
    </row>
    <row r="446" spans="1:38" ht="89.25">
      <c r="A446" s="11">
        <v>446</v>
      </c>
      <c r="B446" s="11">
        <v>2026</v>
      </c>
      <c r="C446" s="11" t="s">
        <v>155</v>
      </c>
      <c r="D446" s="12" t="s">
        <v>1358</v>
      </c>
      <c r="E446" s="13">
        <v>46245</v>
      </c>
      <c r="F446" s="11" t="s">
        <v>151</v>
      </c>
      <c r="G446" s="11"/>
      <c r="H446" s="9" t="s">
        <v>1357</v>
      </c>
      <c r="I446" s="11" t="s">
        <v>196</v>
      </c>
      <c r="J446" s="13">
        <v>46245</v>
      </c>
      <c r="K446" s="11" t="s">
        <v>160</v>
      </c>
      <c r="L446" s="11"/>
      <c r="M446" s="214" t="s">
        <v>1358</v>
      </c>
      <c r="N446" s="137" t="s">
        <v>1374</v>
      </c>
      <c r="O446" s="11">
        <v>8</v>
      </c>
      <c r="P446" s="11">
        <v>2026</v>
      </c>
      <c r="Q446" s="14"/>
    </row>
    <row r="447" spans="1:38" ht="89.25">
      <c r="A447" s="11">
        <v>447</v>
      </c>
      <c r="B447" s="11">
        <v>2026</v>
      </c>
      <c r="C447" s="11" t="s">
        <v>155</v>
      </c>
      <c r="D447" s="12" t="s">
        <v>1360</v>
      </c>
      <c r="E447" s="13">
        <v>46245</v>
      </c>
      <c r="F447" s="11" t="s">
        <v>198</v>
      </c>
      <c r="G447" s="11"/>
      <c r="H447" s="9" t="s">
        <v>1359</v>
      </c>
      <c r="I447" s="187" t="s">
        <v>252</v>
      </c>
      <c r="J447" s="13">
        <v>46291</v>
      </c>
      <c r="K447" s="11" t="s">
        <v>160</v>
      </c>
      <c r="L447" s="11"/>
      <c r="M447" s="214" t="s">
        <v>1360</v>
      </c>
      <c r="N447" s="137" t="s">
        <v>1374</v>
      </c>
      <c r="O447" s="11">
        <v>8</v>
      </c>
      <c r="P447" s="11">
        <v>2026</v>
      </c>
      <c r="Q447" s="14"/>
    </row>
    <row r="448" spans="1:38" ht="89.25">
      <c r="A448" s="11">
        <v>448</v>
      </c>
      <c r="B448" s="11">
        <v>2026</v>
      </c>
      <c r="C448" s="11" t="s">
        <v>155</v>
      </c>
      <c r="D448" s="12" t="s">
        <v>1362</v>
      </c>
      <c r="E448" s="13">
        <v>46235</v>
      </c>
      <c r="F448" s="11" t="s">
        <v>198</v>
      </c>
      <c r="G448" s="11"/>
      <c r="H448" s="9" t="s">
        <v>1361</v>
      </c>
      <c r="I448" s="11" t="s">
        <v>477</v>
      </c>
      <c r="J448" s="13">
        <v>46235</v>
      </c>
      <c r="K448" s="11" t="s">
        <v>160</v>
      </c>
      <c r="L448" s="11"/>
      <c r="M448" s="214" t="s">
        <v>1362</v>
      </c>
      <c r="N448" s="137" t="s">
        <v>1374</v>
      </c>
      <c r="O448" s="11">
        <v>8</v>
      </c>
      <c r="P448" s="11">
        <v>2026</v>
      </c>
      <c r="Q448" s="14"/>
    </row>
    <row r="449" spans="1:17" ht="89.25">
      <c r="A449" s="11">
        <v>449</v>
      </c>
      <c r="B449" s="11">
        <v>2026</v>
      </c>
      <c r="C449" s="11" t="s">
        <v>150</v>
      </c>
      <c r="D449" s="12" t="s">
        <v>1364</v>
      </c>
      <c r="E449" s="13">
        <v>46245</v>
      </c>
      <c r="F449" s="11" t="s">
        <v>198</v>
      </c>
      <c r="G449" s="11"/>
      <c r="H449" s="9" t="s">
        <v>1363</v>
      </c>
      <c r="I449" s="11" t="s">
        <v>252</v>
      </c>
      <c r="J449" s="13">
        <v>46291</v>
      </c>
      <c r="K449" s="11" t="s">
        <v>160</v>
      </c>
      <c r="L449" s="11"/>
      <c r="M449" s="216" t="s">
        <v>1364</v>
      </c>
      <c r="N449" s="137" t="s">
        <v>1374</v>
      </c>
      <c r="O449" s="11">
        <v>8</v>
      </c>
      <c r="P449" s="11">
        <v>2026</v>
      </c>
      <c r="Q449" s="14"/>
    </row>
    <row r="450" spans="1:17" ht="89.25">
      <c r="A450" s="11">
        <v>450</v>
      </c>
      <c r="B450" s="11">
        <v>2026</v>
      </c>
      <c r="C450" s="11" t="s">
        <v>156</v>
      </c>
      <c r="D450" s="12" t="s">
        <v>1367</v>
      </c>
      <c r="E450" s="13">
        <v>46235</v>
      </c>
      <c r="F450" s="11" t="s">
        <v>198</v>
      </c>
      <c r="G450" s="11"/>
      <c r="H450" s="9" t="s">
        <v>1368</v>
      </c>
      <c r="I450" s="11" t="s">
        <v>477</v>
      </c>
      <c r="J450" s="13">
        <v>46235</v>
      </c>
      <c r="K450" s="11" t="s">
        <v>160</v>
      </c>
      <c r="L450" s="11"/>
      <c r="M450" s="214" t="s">
        <v>1393</v>
      </c>
      <c r="N450" s="137" t="s">
        <v>1374</v>
      </c>
      <c r="O450" s="11">
        <v>8</v>
      </c>
      <c r="P450" s="11">
        <v>2026</v>
      </c>
      <c r="Q450" s="14"/>
    </row>
    <row r="451" spans="1:17" ht="89.25">
      <c r="A451" s="11">
        <v>451</v>
      </c>
      <c r="B451" s="11">
        <v>2026</v>
      </c>
      <c r="C451" s="11" t="s">
        <v>155</v>
      </c>
      <c r="D451" s="12" t="s">
        <v>1372</v>
      </c>
      <c r="E451" s="13">
        <v>46245</v>
      </c>
      <c r="F451" s="11" t="s">
        <v>215</v>
      </c>
      <c r="G451" s="11"/>
      <c r="H451" s="9" t="s">
        <v>1373</v>
      </c>
      <c r="I451" s="11" t="s">
        <v>196</v>
      </c>
      <c r="J451" s="13">
        <v>46296</v>
      </c>
      <c r="K451" s="11" t="s">
        <v>160</v>
      </c>
      <c r="L451" s="11"/>
      <c r="M451" s="216" t="s">
        <v>1372</v>
      </c>
      <c r="N451" s="137" t="s">
        <v>1374</v>
      </c>
      <c r="O451" s="11">
        <v>8</v>
      </c>
      <c r="P451" s="11">
        <v>2026</v>
      </c>
      <c r="Q451" s="14"/>
    </row>
    <row r="452" spans="1:17" ht="89.25">
      <c r="A452" s="11">
        <v>452</v>
      </c>
      <c r="B452" s="11">
        <v>2026</v>
      </c>
      <c r="C452" s="11" t="s">
        <v>150</v>
      </c>
      <c r="D452" s="12" t="s">
        <v>1375</v>
      </c>
      <c r="E452" s="13">
        <v>46246</v>
      </c>
      <c r="F452" s="11" t="s">
        <v>170</v>
      </c>
      <c r="G452" s="11"/>
      <c r="H452" s="9" t="s">
        <v>1376</v>
      </c>
      <c r="I452" s="11" t="s">
        <v>477</v>
      </c>
      <c r="J452" s="13">
        <v>46246</v>
      </c>
      <c r="K452" s="11" t="s">
        <v>160</v>
      </c>
      <c r="L452" s="11"/>
      <c r="M452" s="214" t="s">
        <v>1375</v>
      </c>
      <c r="N452" s="137" t="s">
        <v>1374</v>
      </c>
      <c r="O452" s="11">
        <v>8</v>
      </c>
      <c r="P452" s="11">
        <v>2026</v>
      </c>
      <c r="Q452" s="14"/>
    </row>
    <row r="453" spans="1:17" ht="25.5">
      <c r="A453" s="11">
        <v>453</v>
      </c>
      <c r="B453" s="11">
        <v>2026</v>
      </c>
      <c r="C453" s="11" t="s">
        <v>155</v>
      </c>
      <c r="D453" s="234" t="s">
        <v>1331</v>
      </c>
      <c r="E453" s="13">
        <v>46210</v>
      </c>
      <c r="F453" s="11" t="s">
        <v>198</v>
      </c>
      <c r="G453" s="11"/>
      <c r="H453" s="9" t="s">
        <v>1408</v>
      </c>
      <c r="I453" s="11" t="s">
        <v>252</v>
      </c>
      <c r="J453" s="13">
        <v>46256</v>
      </c>
      <c r="K453" s="11" t="s">
        <v>160</v>
      </c>
      <c r="L453" s="11"/>
      <c r="M453" s="216" t="s">
        <v>1331</v>
      </c>
      <c r="N453" s="115"/>
      <c r="O453" s="11">
        <v>8</v>
      </c>
      <c r="P453" s="11">
        <v>2026</v>
      </c>
      <c r="Q453" s="14"/>
    </row>
    <row r="454" spans="1:17">
      <c r="A454" s="11"/>
      <c r="B454" s="11"/>
      <c r="C454" s="11"/>
      <c r="D454" s="12"/>
      <c r="E454" s="13"/>
      <c r="F454" s="11"/>
      <c r="G454" s="11"/>
      <c r="H454" s="9"/>
      <c r="I454" s="11"/>
      <c r="J454" s="13"/>
      <c r="K454" s="11"/>
      <c r="L454" s="11"/>
      <c r="M454" s="138"/>
      <c r="N454" s="115"/>
      <c r="O454" s="11"/>
      <c r="P454" s="11"/>
      <c r="Q454" s="14"/>
    </row>
    <row r="455" spans="1:17">
      <c r="A455" s="11"/>
      <c r="B455" s="11"/>
      <c r="C455" s="11"/>
      <c r="D455" s="12"/>
      <c r="E455" s="13"/>
      <c r="F455" s="11"/>
      <c r="G455" s="11"/>
      <c r="H455" s="9"/>
      <c r="I455" s="11"/>
      <c r="J455" s="13"/>
      <c r="K455" s="11"/>
      <c r="L455" s="11"/>
      <c r="M455" s="138"/>
      <c r="N455" s="115"/>
      <c r="O455" s="11"/>
      <c r="P455" s="11"/>
      <c r="Q455" s="14"/>
    </row>
    <row r="456" spans="1:17">
      <c r="A456" s="11"/>
      <c r="B456" s="11"/>
      <c r="C456" s="11"/>
      <c r="D456" s="12"/>
      <c r="E456" s="13"/>
      <c r="F456" s="11"/>
      <c r="G456" s="11"/>
      <c r="H456" s="9"/>
      <c r="I456" s="11"/>
      <c r="J456" s="13"/>
      <c r="K456" s="11"/>
      <c r="L456" s="11"/>
      <c r="M456" s="138"/>
      <c r="N456" s="115"/>
      <c r="O456" s="11"/>
      <c r="P456" s="11"/>
      <c r="Q456" s="14"/>
    </row>
    <row r="457" spans="1:17">
      <c r="A457" s="196"/>
      <c r="B457" s="196"/>
      <c r="C457" s="196"/>
      <c r="D457" s="19"/>
      <c r="E457" s="198"/>
      <c r="F457" s="196"/>
      <c r="G457" s="196"/>
      <c r="H457" s="199"/>
      <c r="I457" s="196"/>
      <c r="J457" s="198"/>
      <c r="K457" s="196"/>
      <c r="L457" s="196"/>
      <c r="M457" s="197"/>
      <c r="N457" s="192"/>
      <c r="O457" s="196"/>
      <c r="P457" s="196"/>
      <c r="Q457" s="200"/>
    </row>
    <row r="458" spans="1:17">
      <c r="A458" s="196"/>
      <c r="B458" s="196"/>
      <c r="C458" s="196"/>
      <c r="D458" s="19"/>
      <c r="E458" s="198"/>
      <c r="F458" s="196"/>
      <c r="G458" s="196"/>
      <c r="H458" s="199"/>
      <c r="I458" s="196"/>
      <c r="J458" s="198"/>
      <c r="K458" s="196"/>
      <c r="L458" s="196"/>
      <c r="M458" s="197"/>
      <c r="N458" s="192"/>
      <c r="O458" s="196"/>
      <c r="P458" s="196"/>
      <c r="Q458" s="200"/>
    </row>
    <row r="459" spans="1:17">
      <c r="A459" s="196"/>
      <c r="B459" s="196"/>
      <c r="C459" s="196"/>
      <c r="D459" s="19"/>
      <c r="E459" s="198"/>
      <c r="F459" s="196"/>
      <c r="G459" s="196"/>
      <c r="H459" s="199"/>
      <c r="I459" s="196"/>
      <c r="J459" s="198"/>
      <c r="K459" s="196"/>
      <c r="L459" s="196"/>
      <c r="M459" s="197"/>
      <c r="N459" s="192"/>
      <c r="O459" s="196"/>
      <c r="P459" s="196"/>
      <c r="Q459" s="200"/>
    </row>
    <row r="460" spans="1:17">
      <c r="A460" s="196"/>
      <c r="B460" s="196"/>
      <c r="C460" s="196"/>
      <c r="D460" s="19"/>
      <c r="E460" s="198"/>
      <c r="F460" s="196"/>
      <c r="G460" s="196"/>
      <c r="H460" s="199"/>
      <c r="I460" s="196"/>
      <c r="J460" s="198"/>
      <c r="K460" s="196"/>
      <c r="L460" s="196"/>
      <c r="M460" s="197"/>
      <c r="N460" s="192"/>
      <c r="O460" s="196"/>
      <c r="P460" s="196"/>
      <c r="Q460" s="200"/>
    </row>
    <row r="461" spans="1:17">
      <c r="A461" s="196"/>
      <c r="B461" s="196"/>
      <c r="C461" s="196"/>
      <c r="D461" s="19"/>
      <c r="E461" s="198"/>
      <c r="F461" s="196"/>
      <c r="G461" s="196"/>
      <c r="H461" s="199"/>
      <c r="I461" s="196"/>
      <c r="J461" s="198"/>
      <c r="K461" s="196"/>
      <c r="L461" s="196"/>
      <c r="M461" s="197"/>
      <c r="N461" s="192"/>
      <c r="O461" s="196"/>
      <c r="P461" s="196"/>
      <c r="Q461" s="200"/>
    </row>
    <row r="462" spans="1:17">
      <c r="A462" s="196"/>
      <c r="B462" s="196"/>
      <c r="C462" s="196"/>
      <c r="D462" s="19"/>
      <c r="E462" s="198"/>
      <c r="F462" s="196"/>
      <c r="G462" s="196"/>
      <c r="H462" s="199"/>
      <c r="I462" s="196"/>
      <c r="J462" s="198"/>
      <c r="K462" s="196"/>
      <c r="L462" s="196"/>
      <c r="M462" s="197"/>
      <c r="N462" s="192"/>
      <c r="O462" s="196"/>
      <c r="P462" s="196"/>
      <c r="Q462" s="200"/>
    </row>
    <row r="463" spans="1:17">
      <c r="A463" s="196"/>
      <c r="B463" s="196"/>
      <c r="C463" s="196"/>
      <c r="D463" s="19"/>
      <c r="E463" s="198"/>
      <c r="F463" s="196"/>
      <c r="G463" s="196"/>
      <c r="H463" s="199"/>
      <c r="I463" s="196"/>
      <c r="J463" s="198"/>
      <c r="K463" s="196"/>
      <c r="L463" s="196"/>
      <c r="M463" s="197"/>
      <c r="N463" s="192"/>
      <c r="O463" s="196"/>
      <c r="P463" s="196"/>
      <c r="Q463" s="200"/>
    </row>
    <row r="464" spans="1:17">
      <c r="A464" s="196"/>
      <c r="B464" s="196"/>
      <c r="C464" s="196"/>
      <c r="D464" s="19"/>
      <c r="E464" s="198"/>
      <c r="F464" s="196"/>
      <c r="G464" s="196"/>
      <c r="H464" s="199"/>
      <c r="I464" s="196"/>
      <c r="J464" s="198"/>
      <c r="K464" s="196"/>
      <c r="L464" s="196"/>
      <c r="M464" s="197"/>
      <c r="N464" s="192"/>
      <c r="O464" s="196"/>
      <c r="P464" s="196"/>
      <c r="Q464" s="200"/>
    </row>
    <row r="465" spans="1:17">
      <c r="A465" s="196"/>
      <c r="B465" s="196"/>
      <c r="C465" s="196"/>
      <c r="D465" s="19"/>
      <c r="E465" s="198"/>
      <c r="F465" s="196"/>
      <c r="G465" s="196"/>
      <c r="H465" s="199"/>
      <c r="I465" s="196"/>
      <c r="J465" s="198"/>
      <c r="K465" s="196"/>
      <c r="L465" s="196"/>
      <c r="M465" s="197"/>
      <c r="N465" s="192"/>
      <c r="O465" s="196"/>
      <c r="P465" s="196"/>
      <c r="Q465" s="200"/>
    </row>
    <row r="466" spans="1:17">
      <c r="A466" s="196"/>
      <c r="B466" s="196"/>
      <c r="C466" s="196"/>
      <c r="D466" s="19"/>
      <c r="E466" s="198"/>
      <c r="F466" s="196"/>
      <c r="G466" s="196"/>
      <c r="H466" s="199"/>
      <c r="I466" s="196"/>
      <c r="J466" s="198"/>
      <c r="K466" s="196"/>
      <c r="L466" s="196"/>
      <c r="M466" s="197"/>
      <c r="N466" s="192"/>
      <c r="O466" s="196"/>
      <c r="P466" s="196"/>
      <c r="Q466" s="200"/>
    </row>
    <row r="467" spans="1:17">
      <c r="A467" s="196"/>
      <c r="B467" s="196"/>
      <c r="C467" s="196"/>
      <c r="D467" s="19"/>
      <c r="E467" s="198"/>
      <c r="F467" s="196"/>
      <c r="G467" s="196"/>
      <c r="H467" s="199"/>
      <c r="I467" s="196"/>
      <c r="J467" s="198"/>
      <c r="K467" s="196"/>
      <c r="L467" s="196"/>
      <c r="M467" s="197"/>
      <c r="N467" s="192"/>
      <c r="O467" s="196"/>
      <c r="P467" s="196"/>
      <c r="Q467" s="200"/>
    </row>
    <row r="468" spans="1:17">
      <c r="A468" s="196"/>
      <c r="B468" s="196"/>
      <c r="C468" s="196"/>
      <c r="D468" s="19"/>
      <c r="E468" s="198"/>
      <c r="F468" s="196"/>
      <c r="G468" s="196"/>
      <c r="H468" s="199"/>
      <c r="I468" s="196"/>
      <c r="J468" s="198"/>
      <c r="K468" s="196"/>
      <c r="L468" s="196"/>
      <c r="M468" s="197"/>
      <c r="N468" s="192"/>
      <c r="O468" s="196"/>
      <c r="P468" s="196"/>
      <c r="Q468" s="200"/>
    </row>
    <row r="469" spans="1:17">
      <c r="A469" s="196"/>
      <c r="B469" s="196"/>
      <c r="C469" s="196"/>
      <c r="D469" s="19"/>
      <c r="E469" s="198"/>
      <c r="F469" s="196"/>
      <c r="G469" s="196"/>
      <c r="H469" s="199"/>
      <c r="I469" s="196"/>
      <c r="J469" s="198"/>
      <c r="K469" s="196"/>
      <c r="L469" s="196"/>
      <c r="M469" s="197"/>
      <c r="N469" s="192"/>
      <c r="O469" s="196"/>
      <c r="P469" s="196"/>
      <c r="Q469" s="200"/>
    </row>
    <row r="470" spans="1:17">
      <c r="A470" s="196"/>
      <c r="B470" s="196"/>
      <c r="C470" s="196"/>
      <c r="D470" s="19"/>
      <c r="E470" s="198"/>
      <c r="F470" s="196"/>
      <c r="G470" s="196"/>
      <c r="H470" s="199"/>
      <c r="I470" s="196"/>
      <c r="J470" s="198"/>
      <c r="K470" s="196"/>
      <c r="L470" s="196"/>
      <c r="M470" s="197"/>
      <c r="N470" s="192"/>
      <c r="O470" s="196"/>
      <c r="P470" s="196"/>
      <c r="Q470" s="200"/>
    </row>
    <row r="471" spans="1:17">
      <c r="A471" s="196"/>
      <c r="B471" s="196"/>
      <c r="C471" s="196"/>
      <c r="D471" s="19"/>
      <c r="E471" s="198"/>
      <c r="F471" s="196"/>
      <c r="G471" s="196"/>
      <c r="H471" s="199"/>
      <c r="I471" s="196"/>
      <c r="J471" s="198"/>
      <c r="K471" s="196"/>
      <c r="L471" s="196"/>
      <c r="M471" s="197"/>
      <c r="N471" s="192"/>
      <c r="O471" s="196"/>
      <c r="P471" s="196"/>
      <c r="Q471" s="200"/>
    </row>
    <row r="472" spans="1:17">
      <c r="A472" s="196"/>
      <c r="B472" s="196"/>
      <c r="C472" s="196"/>
      <c r="D472" s="19"/>
      <c r="E472" s="198"/>
      <c r="F472" s="196"/>
      <c r="G472" s="196"/>
      <c r="H472" s="199"/>
      <c r="I472" s="196"/>
      <c r="J472" s="198"/>
      <c r="K472" s="196"/>
      <c r="L472" s="196"/>
      <c r="M472" s="197"/>
      <c r="N472" s="192"/>
      <c r="O472" s="196"/>
      <c r="P472" s="196"/>
      <c r="Q472" s="200"/>
    </row>
    <row r="473" spans="1:17">
      <c r="A473" s="196"/>
      <c r="B473" s="196"/>
      <c r="C473" s="196"/>
      <c r="D473" s="19"/>
      <c r="E473" s="198"/>
      <c r="F473" s="196"/>
      <c r="G473" s="196"/>
      <c r="H473" s="199"/>
      <c r="I473" s="196"/>
      <c r="J473" s="198"/>
      <c r="K473" s="196"/>
      <c r="L473" s="196"/>
      <c r="M473" s="197"/>
      <c r="N473" s="192"/>
      <c r="O473" s="196"/>
      <c r="P473" s="196"/>
      <c r="Q473" s="200"/>
    </row>
    <row r="474" spans="1:17">
      <c r="A474" s="196"/>
      <c r="B474" s="196"/>
      <c r="C474" s="196"/>
      <c r="D474" s="19"/>
      <c r="E474" s="198"/>
      <c r="F474" s="196"/>
      <c r="G474" s="196"/>
      <c r="H474" s="199"/>
      <c r="I474" s="196"/>
      <c r="J474" s="198"/>
      <c r="K474" s="196"/>
      <c r="L474" s="196"/>
      <c r="M474" s="197"/>
      <c r="N474" s="192"/>
      <c r="O474" s="196"/>
      <c r="P474" s="196"/>
      <c r="Q474" s="200"/>
    </row>
    <row r="475" spans="1:17">
      <c r="A475" s="196"/>
      <c r="B475" s="196"/>
      <c r="C475" s="196"/>
      <c r="D475" s="19"/>
      <c r="E475" s="198"/>
      <c r="F475" s="196"/>
      <c r="G475" s="196"/>
      <c r="H475" s="199"/>
      <c r="I475" s="196"/>
      <c r="J475" s="198"/>
      <c r="K475" s="196"/>
      <c r="L475" s="196"/>
      <c r="M475" s="197"/>
      <c r="N475" s="192"/>
      <c r="O475" s="196"/>
      <c r="P475" s="196"/>
      <c r="Q475" s="200"/>
    </row>
    <row r="476" spans="1:17">
      <c r="A476" s="196"/>
      <c r="B476" s="196"/>
      <c r="C476" s="196"/>
      <c r="D476" s="19"/>
      <c r="E476" s="198"/>
      <c r="F476" s="196"/>
      <c r="G476" s="196"/>
      <c r="H476" s="199"/>
      <c r="I476" s="196"/>
      <c r="J476" s="198"/>
      <c r="K476" s="196"/>
      <c r="L476" s="196"/>
      <c r="M476" s="197"/>
      <c r="N476" s="192"/>
      <c r="O476" s="196"/>
      <c r="P476" s="196"/>
      <c r="Q476" s="200"/>
    </row>
    <row r="477" spans="1:17">
      <c r="A477" s="196"/>
      <c r="B477" s="196"/>
      <c r="C477" s="196"/>
      <c r="D477" s="19"/>
      <c r="E477" s="198"/>
      <c r="F477" s="196"/>
      <c r="G477" s="196"/>
      <c r="H477" s="199"/>
      <c r="I477" s="196"/>
      <c r="J477" s="198"/>
      <c r="K477" s="196"/>
      <c r="L477" s="196"/>
      <c r="M477" s="197"/>
      <c r="N477" s="192"/>
      <c r="O477" s="196"/>
      <c r="P477" s="196"/>
      <c r="Q477" s="200"/>
    </row>
    <row r="478" spans="1:17">
      <c r="A478" s="196"/>
      <c r="B478" s="196"/>
      <c r="C478" s="196"/>
      <c r="D478" s="19"/>
      <c r="E478" s="198"/>
      <c r="F478" s="196"/>
      <c r="G478" s="196"/>
      <c r="H478" s="199"/>
      <c r="I478" s="196"/>
      <c r="J478" s="198"/>
      <c r="K478" s="196"/>
      <c r="L478" s="196"/>
      <c r="M478" s="197"/>
      <c r="N478" s="192"/>
      <c r="O478" s="196"/>
      <c r="P478" s="196"/>
      <c r="Q478" s="200"/>
    </row>
    <row r="479" spans="1:17">
      <c r="A479" s="196"/>
      <c r="B479" s="196"/>
      <c r="C479" s="196"/>
      <c r="D479" s="19"/>
      <c r="E479" s="198"/>
      <c r="F479" s="196"/>
      <c r="G479" s="196"/>
      <c r="H479" s="199"/>
      <c r="I479" s="196"/>
      <c r="J479" s="198"/>
      <c r="K479" s="196"/>
      <c r="L479" s="196"/>
      <c r="M479" s="197"/>
      <c r="N479" s="192"/>
      <c r="O479" s="196"/>
      <c r="P479" s="196"/>
      <c r="Q479" s="200"/>
    </row>
    <row r="480" spans="1:17">
      <c r="A480" s="196"/>
      <c r="B480" s="196"/>
      <c r="C480" s="196"/>
      <c r="D480" s="19"/>
      <c r="E480" s="198"/>
      <c r="F480" s="196"/>
      <c r="G480" s="196"/>
      <c r="H480" s="199"/>
      <c r="I480" s="196"/>
      <c r="J480" s="198"/>
      <c r="K480" s="196"/>
      <c r="L480" s="196"/>
      <c r="M480" s="197"/>
      <c r="N480" s="192"/>
      <c r="O480" s="196"/>
      <c r="P480" s="196"/>
      <c r="Q480" s="200"/>
    </row>
    <row r="481" spans="1:17">
      <c r="A481" s="196"/>
      <c r="B481" s="196"/>
      <c r="C481" s="196"/>
      <c r="D481" s="19"/>
      <c r="E481" s="198"/>
      <c r="F481" s="196"/>
      <c r="G481" s="196"/>
      <c r="H481" s="199"/>
      <c r="I481" s="196"/>
      <c r="J481" s="198"/>
      <c r="K481" s="196"/>
      <c r="L481" s="196"/>
      <c r="M481" s="197"/>
      <c r="N481" s="192"/>
      <c r="O481" s="196"/>
      <c r="P481" s="196"/>
      <c r="Q481" s="200"/>
    </row>
    <row r="482" spans="1:17">
      <c r="A482" s="196"/>
      <c r="B482" s="196"/>
      <c r="C482" s="196"/>
      <c r="D482" s="19"/>
      <c r="E482" s="198"/>
      <c r="F482" s="196"/>
      <c r="G482" s="196"/>
      <c r="H482" s="199"/>
      <c r="I482" s="196"/>
      <c r="J482" s="198"/>
      <c r="K482" s="196"/>
      <c r="L482" s="196"/>
      <c r="M482" s="197"/>
      <c r="N482" s="192"/>
      <c r="O482" s="196"/>
      <c r="P482" s="196"/>
      <c r="Q482" s="200"/>
    </row>
    <row r="483" spans="1:17">
      <c r="A483" s="196"/>
      <c r="B483" s="196"/>
      <c r="C483" s="196"/>
      <c r="D483" s="19"/>
      <c r="E483" s="198"/>
      <c r="F483" s="196"/>
      <c r="G483" s="196"/>
      <c r="H483" s="199"/>
      <c r="I483" s="196"/>
      <c r="J483" s="198"/>
      <c r="K483" s="196"/>
      <c r="L483" s="196"/>
      <c r="M483" s="197"/>
      <c r="N483" s="192"/>
      <c r="O483" s="196"/>
      <c r="P483" s="196"/>
      <c r="Q483" s="200"/>
    </row>
    <row r="484" spans="1:17">
      <c r="A484" s="196"/>
      <c r="B484" s="196"/>
      <c r="C484" s="196"/>
      <c r="D484" s="19"/>
      <c r="E484" s="198"/>
      <c r="F484" s="196"/>
      <c r="G484" s="196"/>
      <c r="H484" s="199"/>
      <c r="I484" s="196"/>
      <c r="J484" s="198"/>
      <c r="K484" s="196"/>
      <c r="L484" s="196"/>
      <c r="M484" s="197"/>
      <c r="N484" s="192"/>
      <c r="O484" s="196"/>
      <c r="P484" s="196"/>
      <c r="Q484" s="200"/>
    </row>
    <row r="485" spans="1:17">
      <c r="A485" s="196"/>
      <c r="B485" s="196"/>
      <c r="C485" s="196"/>
      <c r="D485" s="19"/>
      <c r="E485" s="198"/>
      <c r="F485" s="196"/>
      <c r="G485" s="196"/>
      <c r="H485" s="199"/>
      <c r="I485" s="196"/>
      <c r="J485" s="198"/>
      <c r="K485" s="196"/>
      <c r="L485" s="196"/>
      <c r="M485" s="197"/>
      <c r="N485" s="192"/>
      <c r="O485" s="196"/>
      <c r="P485" s="196"/>
      <c r="Q485" s="200"/>
    </row>
    <row r="486" spans="1:17">
      <c r="A486" s="196"/>
      <c r="B486" s="196"/>
      <c r="C486" s="196"/>
      <c r="D486" s="19"/>
      <c r="E486" s="198"/>
      <c r="F486" s="196"/>
      <c r="G486" s="196"/>
      <c r="H486" s="199"/>
      <c r="I486" s="196"/>
      <c r="J486" s="198"/>
      <c r="K486" s="196"/>
      <c r="L486" s="196"/>
      <c r="M486" s="197"/>
      <c r="N486" s="192"/>
      <c r="O486" s="196"/>
      <c r="P486" s="196"/>
      <c r="Q486" s="200"/>
    </row>
    <row r="487" spans="1:17">
      <c r="A487" s="196"/>
      <c r="B487" s="196"/>
      <c r="C487" s="196"/>
      <c r="D487" s="19"/>
      <c r="E487" s="198"/>
      <c r="F487" s="196"/>
      <c r="G487" s="196"/>
      <c r="H487" s="199"/>
      <c r="I487" s="196"/>
      <c r="J487" s="198"/>
      <c r="K487" s="196"/>
      <c r="L487" s="196"/>
      <c r="M487" s="197"/>
      <c r="N487" s="192"/>
      <c r="O487" s="196"/>
      <c r="P487" s="196"/>
      <c r="Q487" s="200"/>
    </row>
    <row r="488" spans="1:17">
      <c r="A488" s="196"/>
      <c r="B488" s="196"/>
      <c r="C488" s="196"/>
      <c r="D488" s="19"/>
      <c r="E488" s="198"/>
      <c r="F488" s="196"/>
      <c r="G488" s="196"/>
      <c r="H488" s="199"/>
      <c r="I488" s="196"/>
      <c r="J488" s="198"/>
      <c r="K488" s="196"/>
      <c r="L488" s="196"/>
      <c r="M488" s="197"/>
      <c r="N488" s="192"/>
      <c r="O488" s="196"/>
      <c r="P488" s="196"/>
      <c r="Q488" s="200"/>
    </row>
    <row r="489" spans="1:17">
      <c r="A489" s="196"/>
      <c r="B489" s="196"/>
      <c r="C489" s="196"/>
      <c r="D489" s="19"/>
      <c r="E489" s="198"/>
      <c r="F489" s="196"/>
      <c r="G489" s="196"/>
      <c r="H489" s="199"/>
      <c r="I489" s="196"/>
      <c r="J489" s="198"/>
      <c r="K489" s="196"/>
      <c r="L489" s="196"/>
      <c r="M489" s="197"/>
      <c r="N489" s="192"/>
      <c r="O489" s="196"/>
      <c r="P489" s="196"/>
      <c r="Q489" s="200"/>
    </row>
    <row r="490" spans="1:17">
      <c r="A490" s="196"/>
      <c r="B490" s="196"/>
      <c r="C490" s="196"/>
      <c r="D490" s="19"/>
      <c r="E490" s="198"/>
      <c r="F490" s="196"/>
      <c r="G490" s="196"/>
      <c r="H490" s="199"/>
      <c r="I490" s="196"/>
      <c r="J490" s="198"/>
      <c r="K490" s="196"/>
      <c r="L490" s="196"/>
      <c r="M490" s="197"/>
      <c r="N490" s="192"/>
      <c r="O490" s="196"/>
      <c r="P490" s="196"/>
      <c r="Q490" s="200"/>
    </row>
    <row r="491" spans="1:17">
      <c r="A491" s="196"/>
      <c r="B491" s="196"/>
      <c r="C491" s="196"/>
      <c r="D491" s="19"/>
      <c r="E491" s="198"/>
      <c r="F491" s="196"/>
      <c r="G491" s="196"/>
      <c r="H491" s="199"/>
      <c r="I491" s="196"/>
      <c r="J491" s="198"/>
      <c r="K491" s="196"/>
      <c r="L491" s="196"/>
      <c r="M491" s="197"/>
      <c r="N491" s="192"/>
      <c r="O491" s="196"/>
      <c r="P491" s="196"/>
      <c r="Q491" s="200"/>
    </row>
    <row r="492" spans="1:17">
      <c r="A492" s="196"/>
      <c r="B492" s="196"/>
      <c r="C492" s="196"/>
      <c r="D492" s="19"/>
      <c r="E492" s="198"/>
      <c r="F492" s="196"/>
      <c r="G492" s="196"/>
      <c r="H492" s="199"/>
      <c r="I492" s="196"/>
      <c r="J492" s="198"/>
      <c r="K492" s="196"/>
      <c r="L492" s="196"/>
      <c r="M492" s="197"/>
      <c r="N492" s="192"/>
      <c r="O492" s="196"/>
      <c r="P492" s="196"/>
      <c r="Q492" s="200"/>
    </row>
    <row r="493" spans="1:17">
      <c r="A493" s="196"/>
      <c r="B493" s="196"/>
      <c r="C493" s="196"/>
      <c r="D493" s="19"/>
      <c r="E493" s="198"/>
      <c r="F493" s="196"/>
      <c r="G493" s="196"/>
      <c r="H493" s="199"/>
      <c r="I493" s="196"/>
      <c r="J493" s="198"/>
      <c r="K493" s="196"/>
      <c r="L493" s="196"/>
      <c r="M493" s="197"/>
      <c r="N493" s="192"/>
      <c r="O493" s="196"/>
      <c r="P493" s="196"/>
      <c r="Q493" s="200"/>
    </row>
    <row r="494" spans="1:17">
      <c r="A494" s="196"/>
      <c r="B494" s="196"/>
      <c r="C494" s="196"/>
      <c r="D494" s="19"/>
      <c r="E494" s="198"/>
      <c r="F494" s="196"/>
      <c r="G494" s="196"/>
      <c r="H494" s="199"/>
      <c r="I494" s="196"/>
      <c r="J494" s="198"/>
      <c r="K494" s="196"/>
      <c r="L494" s="196"/>
      <c r="M494" s="197"/>
      <c r="N494" s="192"/>
      <c r="O494" s="196"/>
      <c r="P494" s="196"/>
      <c r="Q494" s="200"/>
    </row>
    <row r="495" spans="1:17">
      <c r="A495" s="196"/>
      <c r="B495" s="196"/>
      <c r="C495" s="196"/>
      <c r="D495" s="19"/>
      <c r="E495" s="198"/>
      <c r="F495" s="196"/>
      <c r="G495" s="196"/>
      <c r="H495" s="199"/>
      <c r="I495" s="196"/>
      <c r="J495" s="198"/>
      <c r="K495" s="196"/>
      <c r="L495" s="196"/>
      <c r="M495" s="197"/>
      <c r="N495" s="192"/>
      <c r="O495" s="196"/>
      <c r="P495" s="196"/>
      <c r="Q495" s="200"/>
    </row>
    <row r="496" spans="1:17">
      <c r="A496" s="196"/>
      <c r="B496" s="196"/>
      <c r="C496" s="196"/>
      <c r="D496" s="19"/>
      <c r="E496" s="198"/>
      <c r="F496" s="196"/>
      <c r="G496" s="196"/>
      <c r="H496" s="199"/>
      <c r="I496" s="196"/>
      <c r="J496" s="198"/>
      <c r="K496" s="196"/>
      <c r="L496" s="196"/>
      <c r="M496" s="197"/>
      <c r="N496" s="192"/>
      <c r="O496" s="196"/>
      <c r="P496" s="196"/>
      <c r="Q496" s="200"/>
    </row>
    <row r="497" spans="1:17">
      <c r="A497" s="196"/>
      <c r="B497" s="196"/>
      <c r="C497" s="196"/>
      <c r="D497" s="19"/>
      <c r="E497" s="198"/>
      <c r="F497" s="196"/>
      <c r="G497" s="196"/>
      <c r="H497" s="199"/>
      <c r="I497" s="196"/>
      <c r="J497" s="198"/>
      <c r="K497" s="196"/>
      <c r="L497" s="196"/>
      <c r="M497" s="197"/>
      <c r="N497" s="192"/>
      <c r="O497" s="196"/>
      <c r="P497" s="196"/>
      <c r="Q497" s="200"/>
    </row>
    <row r="498" spans="1:17">
      <c r="A498" s="196"/>
      <c r="B498" s="196"/>
      <c r="C498" s="196"/>
      <c r="D498" s="19"/>
      <c r="E498" s="198"/>
      <c r="F498" s="196"/>
      <c r="G498" s="196"/>
      <c r="H498" s="199"/>
      <c r="I498" s="196"/>
      <c r="J498" s="198"/>
      <c r="K498" s="196"/>
      <c r="L498" s="196"/>
      <c r="M498" s="197"/>
      <c r="N498" s="192"/>
      <c r="O498" s="196"/>
      <c r="P498" s="196"/>
      <c r="Q498" s="200"/>
    </row>
    <row r="499" spans="1:17">
      <c r="A499" s="196"/>
      <c r="B499" s="196"/>
      <c r="C499" s="196"/>
      <c r="D499" s="19"/>
      <c r="E499" s="198"/>
      <c r="F499" s="196"/>
      <c r="G499" s="196"/>
      <c r="H499" s="199"/>
      <c r="I499" s="196"/>
      <c r="J499" s="198"/>
      <c r="K499" s="196"/>
      <c r="L499" s="196"/>
      <c r="M499" s="197"/>
      <c r="N499" s="192"/>
      <c r="O499" s="196"/>
      <c r="P499" s="196"/>
      <c r="Q499" s="200"/>
    </row>
    <row r="500" spans="1:17">
      <c r="A500" s="196"/>
      <c r="B500" s="196"/>
      <c r="C500" s="196"/>
      <c r="D500" s="19"/>
      <c r="E500" s="198"/>
      <c r="F500" s="196"/>
      <c r="G500" s="196"/>
      <c r="H500" s="199"/>
      <c r="I500" s="196"/>
      <c r="J500" s="198"/>
      <c r="K500" s="196"/>
      <c r="L500" s="196"/>
      <c r="M500" s="197"/>
      <c r="N500" s="192"/>
      <c r="O500" s="196"/>
      <c r="P500" s="196"/>
      <c r="Q500" s="200"/>
    </row>
    <row r="501" spans="1:17">
      <c r="A501" s="196"/>
      <c r="B501" s="196"/>
      <c r="C501" s="196"/>
      <c r="D501" s="19"/>
      <c r="E501" s="198"/>
      <c r="F501" s="196"/>
      <c r="G501" s="196"/>
      <c r="H501" s="199"/>
      <c r="I501" s="196"/>
      <c r="J501" s="198"/>
      <c r="K501" s="196"/>
      <c r="L501" s="196"/>
      <c r="M501" s="197"/>
      <c r="N501" s="192"/>
      <c r="O501" s="196"/>
      <c r="P501" s="196"/>
      <c r="Q501" s="200"/>
    </row>
    <row r="502" spans="1:17">
      <c r="A502" s="196"/>
      <c r="B502" s="196"/>
      <c r="C502" s="196"/>
      <c r="D502" s="19"/>
      <c r="E502" s="198"/>
      <c r="F502" s="196"/>
      <c r="G502" s="196"/>
      <c r="H502" s="199"/>
      <c r="I502" s="196"/>
      <c r="J502" s="198"/>
      <c r="K502" s="196"/>
      <c r="L502" s="196"/>
      <c r="M502" s="197"/>
      <c r="N502" s="192"/>
      <c r="O502" s="196"/>
      <c r="P502" s="196"/>
      <c r="Q502" s="200"/>
    </row>
    <row r="503" spans="1:17">
      <c r="A503" s="196"/>
      <c r="B503" s="196"/>
      <c r="C503" s="196"/>
      <c r="D503" s="19"/>
      <c r="E503" s="198"/>
      <c r="F503" s="196"/>
      <c r="G503" s="196"/>
      <c r="H503" s="199"/>
      <c r="I503" s="196"/>
      <c r="J503" s="198"/>
      <c r="K503" s="196"/>
      <c r="L503" s="196"/>
      <c r="M503" s="197"/>
      <c r="N503" s="192"/>
      <c r="O503" s="196"/>
      <c r="P503" s="196"/>
      <c r="Q503" s="200"/>
    </row>
    <row r="504" spans="1:17">
      <c r="A504" s="196"/>
      <c r="B504" s="196"/>
      <c r="C504" s="196"/>
      <c r="D504" s="19"/>
      <c r="E504" s="198"/>
      <c r="F504" s="196"/>
      <c r="G504" s="196"/>
      <c r="H504" s="199"/>
      <c r="I504" s="196"/>
      <c r="J504" s="198"/>
      <c r="K504" s="196"/>
      <c r="L504" s="196"/>
      <c r="M504" s="197"/>
      <c r="N504" s="192"/>
      <c r="O504" s="196"/>
      <c r="P504" s="196"/>
      <c r="Q504" s="200"/>
    </row>
    <row r="505" spans="1:17">
      <c r="A505" s="196"/>
      <c r="B505" s="196"/>
      <c r="C505" s="196"/>
      <c r="D505" s="19"/>
      <c r="E505" s="198"/>
      <c r="F505" s="196"/>
      <c r="G505" s="196"/>
      <c r="H505" s="199"/>
      <c r="I505" s="196"/>
      <c r="J505" s="198"/>
      <c r="K505" s="196"/>
      <c r="L505" s="196"/>
      <c r="M505" s="197"/>
      <c r="N505" s="192"/>
      <c r="O505" s="196"/>
      <c r="P505" s="196"/>
      <c r="Q505" s="200"/>
    </row>
    <row r="506" spans="1:17">
      <c r="A506" s="196"/>
      <c r="B506" s="196"/>
      <c r="C506" s="196"/>
      <c r="D506" s="19"/>
      <c r="E506" s="198"/>
      <c r="F506" s="196"/>
      <c r="G506" s="196"/>
      <c r="H506" s="199"/>
      <c r="I506" s="196"/>
      <c r="J506" s="198"/>
      <c r="K506" s="196"/>
      <c r="L506" s="196"/>
      <c r="M506" s="197"/>
      <c r="N506" s="192"/>
      <c r="O506" s="196"/>
      <c r="P506" s="196"/>
      <c r="Q506" s="200"/>
    </row>
    <row r="507" spans="1:17">
      <c r="A507" s="196"/>
      <c r="B507" s="196"/>
      <c r="C507" s="196"/>
      <c r="D507" s="19"/>
      <c r="E507" s="198"/>
      <c r="F507" s="196"/>
      <c r="G507" s="196"/>
      <c r="H507" s="199"/>
      <c r="I507" s="196"/>
      <c r="J507" s="198"/>
      <c r="K507" s="196"/>
      <c r="L507" s="196"/>
      <c r="M507" s="197"/>
      <c r="N507" s="192"/>
      <c r="O507" s="196"/>
      <c r="P507" s="196"/>
      <c r="Q507" s="200"/>
    </row>
    <row r="508" spans="1:17">
      <c r="A508" s="196"/>
      <c r="B508" s="196"/>
      <c r="C508" s="196"/>
      <c r="D508" s="19"/>
      <c r="E508" s="198"/>
      <c r="F508" s="196"/>
      <c r="G508" s="196"/>
      <c r="H508" s="199"/>
      <c r="I508" s="196"/>
      <c r="J508" s="198"/>
      <c r="K508" s="196"/>
      <c r="L508" s="196"/>
      <c r="M508" s="197"/>
      <c r="N508" s="192"/>
      <c r="O508" s="196"/>
      <c r="P508" s="196"/>
      <c r="Q508" s="200"/>
    </row>
    <row r="509" spans="1:17">
      <c r="A509" s="196"/>
      <c r="B509" s="196"/>
      <c r="C509" s="196"/>
      <c r="D509" s="19"/>
      <c r="E509" s="198"/>
      <c r="F509" s="196"/>
      <c r="G509" s="196"/>
      <c r="H509" s="199"/>
      <c r="I509" s="196"/>
      <c r="J509" s="198"/>
      <c r="K509" s="196"/>
      <c r="L509" s="196"/>
      <c r="M509" s="197"/>
      <c r="N509" s="192"/>
      <c r="O509" s="196"/>
      <c r="P509" s="196"/>
      <c r="Q509" s="200"/>
    </row>
    <row r="510" spans="1:17">
      <c r="A510" s="196"/>
      <c r="B510" s="196"/>
      <c r="C510" s="196"/>
      <c r="D510" s="19"/>
      <c r="E510" s="198"/>
      <c r="F510" s="196"/>
      <c r="G510" s="196"/>
      <c r="H510" s="199"/>
      <c r="I510" s="196"/>
      <c r="J510" s="198"/>
      <c r="K510" s="196"/>
      <c r="L510" s="196"/>
      <c r="M510" s="197"/>
      <c r="N510" s="192"/>
      <c r="O510" s="196"/>
      <c r="P510" s="196"/>
      <c r="Q510" s="200"/>
    </row>
    <row r="511" spans="1:17">
      <c r="A511" s="196"/>
      <c r="B511" s="196"/>
      <c r="C511" s="196"/>
      <c r="D511" s="19"/>
      <c r="E511" s="198"/>
      <c r="F511" s="196"/>
      <c r="G511" s="196"/>
      <c r="H511" s="199"/>
      <c r="I511" s="196"/>
      <c r="J511" s="198"/>
      <c r="K511" s="196"/>
      <c r="L511" s="196"/>
      <c r="M511" s="197"/>
      <c r="N511" s="192"/>
      <c r="O511" s="196"/>
      <c r="P511" s="196"/>
      <c r="Q511" s="200"/>
    </row>
    <row r="512" spans="1:17">
      <c r="A512" s="196"/>
      <c r="B512" s="196"/>
      <c r="C512" s="196"/>
      <c r="D512" s="19"/>
      <c r="E512" s="198"/>
      <c r="F512" s="196"/>
      <c r="G512" s="196"/>
      <c r="H512" s="199"/>
      <c r="I512" s="196"/>
      <c r="J512" s="198"/>
      <c r="K512" s="196"/>
      <c r="L512" s="196"/>
      <c r="M512" s="197"/>
      <c r="N512" s="192"/>
      <c r="O512" s="196"/>
      <c r="P512" s="196"/>
      <c r="Q512" s="200"/>
    </row>
    <row r="513" spans="1:17">
      <c r="A513" s="196"/>
      <c r="B513" s="196"/>
      <c r="C513" s="196"/>
      <c r="D513" s="19"/>
      <c r="E513" s="198"/>
      <c r="F513" s="196"/>
      <c r="G513" s="196"/>
      <c r="H513" s="199"/>
      <c r="I513" s="196"/>
      <c r="J513" s="198"/>
      <c r="K513" s="196"/>
      <c r="L513" s="196"/>
      <c r="M513" s="197"/>
      <c r="N513" s="192"/>
      <c r="O513" s="196"/>
      <c r="P513" s="196"/>
      <c r="Q513" s="200"/>
    </row>
    <row r="514" spans="1:17">
      <c r="A514" s="196"/>
      <c r="B514" s="196"/>
      <c r="C514" s="196"/>
      <c r="D514" s="19"/>
      <c r="E514" s="198"/>
      <c r="F514" s="196"/>
      <c r="G514" s="196"/>
      <c r="H514" s="199"/>
      <c r="I514" s="196"/>
      <c r="J514" s="198"/>
      <c r="K514" s="196"/>
      <c r="L514" s="196"/>
      <c r="M514" s="197"/>
      <c r="N514" s="192"/>
      <c r="O514" s="196"/>
      <c r="P514" s="196"/>
      <c r="Q514" s="200"/>
    </row>
    <row r="515" spans="1:17">
      <c r="A515" s="196"/>
      <c r="B515" s="196"/>
      <c r="C515" s="196"/>
      <c r="D515" s="19"/>
      <c r="E515" s="198"/>
      <c r="F515" s="196"/>
      <c r="G515" s="196"/>
      <c r="H515" s="199"/>
      <c r="I515" s="196"/>
      <c r="J515" s="198"/>
      <c r="K515" s="196"/>
      <c r="L515" s="196"/>
      <c r="M515" s="197"/>
      <c r="N515" s="192"/>
      <c r="O515" s="196"/>
      <c r="P515" s="196"/>
      <c r="Q515" s="200"/>
    </row>
    <row r="516" spans="1:17">
      <c r="A516" s="196"/>
      <c r="B516" s="196"/>
      <c r="C516" s="196"/>
      <c r="D516" s="19"/>
      <c r="E516" s="198"/>
      <c r="F516" s="196"/>
      <c r="G516" s="196"/>
      <c r="H516" s="199"/>
      <c r="I516" s="196"/>
      <c r="J516" s="198"/>
      <c r="K516" s="196"/>
      <c r="L516" s="196"/>
      <c r="M516" s="197"/>
      <c r="N516" s="192"/>
      <c r="O516" s="196"/>
      <c r="P516" s="196"/>
      <c r="Q516" s="200"/>
    </row>
    <row r="517" spans="1:17">
      <c r="A517" s="196"/>
      <c r="B517" s="196"/>
      <c r="C517" s="196"/>
      <c r="D517" s="19"/>
      <c r="E517" s="198"/>
      <c r="F517" s="196"/>
      <c r="G517" s="196"/>
      <c r="H517" s="199"/>
      <c r="I517" s="196"/>
      <c r="J517" s="198"/>
      <c r="K517" s="196"/>
      <c r="L517" s="196"/>
      <c r="M517" s="197"/>
      <c r="N517" s="192"/>
      <c r="O517" s="196"/>
      <c r="P517" s="196"/>
      <c r="Q517" s="200"/>
    </row>
    <row r="518" spans="1:17">
      <c r="A518" s="196"/>
      <c r="B518" s="196"/>
      <c r="C518" s="196"/>
      <c r="D518" s="19"/>
      <c r="E518" s="198"/>
      <c r="F518" s="196"/>
      <c r="G518" s="196"/>
      <c r="H518" s="199"/>
      <c r="I518" s="196"/>
      <c r="J518" s="198"/>
      <c r="K518" s="196"/>
      <c r="L518" s="196"/>
      <c r="M518" s="197"/>
      <c r="N518" s="192"/>
      <c r="O518" s="196"/>
      <c r="P518" s="196"/>
      <c r="Q518" s="200"/>
    </row>
    <row r="519" spans="1:17">
      <c r="A519" s="196"/>
      <c r="B519" s="196"/>
      <c r="C519" s="196"/>
      <c r="D519" s="19"/>
      <c r="E519" s="198"/>
      <c r="F519" s="196"/>
      <c r="G519" s="196"/>
      <c r="H519" s="199"/>
      <c r="I519" s="196"/>
      <c r="J519" s="198"/>
      <c r="K519" s="196"/>
      <c r="L519" s="196"/>
      <c r="M519" s="197"/>
      <c r="N519" s="192"/>
      <c r="O519" s="196"/>
      <c r="P519" s="196"/>
      <c r="Q519" s="200"/>
    </row>
    <row r="520" spans="1:17">
      <c r="A520" s="196"/>
      <c r="B520" s="196"/>
      <c r="C520" s="196"/>
      <c r="D520" s="19"/>
      <c r="E520" s="198"/>
      <c r="F520" s="196"/>
      <c r="G520" s="196"/>
      <c r="H520" s="199"/>
      <c r="I520" s="196"/>
      <c r="J520" s="198"/>
      <c r="K520" s="196"/>
      <c r="L520" s="196"/>
      <c r="M520" s="197"/>
      <c r="N520" s="192"/>
      <c r="O520" s="196"/>
      <c r="P520" s="196"/>
      <c r="Q520" s="200"/>
    </row>
    <row r="521" spans="1:17">
      <c r="A521" s="196"/>
      <c r="B521" s="196"/>
      <c r="C521" s="196"/>
      <c r="D521" s="19"/>
      <c r="E521" s="198"/>
      <c r="F521" s="196"/>
      <c r="G521" s="196"/>
      <c r="H521" s="199"/>
      <c r="I521" s="196"/>
      <c r="J521" s="198"/>
      <c r="K521" s="196"/>
      <c r="L521" s="196"/>
      <c r="M521" s="197"/>
      <c r="N521" s="192"/>
      <c r="O521" s="196"/>
      <c r="P521" s="196"/>
      <c r="Q521" s="200"/>
    </row>
    <row r="522" spans="1:17">
      <c r="A522" s="196"/>
      <c r="B522" s="196"/>
      <c r="C522" s="196"/>
      <c r="D522" s="19"/>
      <c r="E522" s="198"/>
      <c r="F522" s="196"/>
      <c r="G522" s="196"/>
      <c r="H522" s="199"/>
      <c r="I522" s="196"/>
      <c r="J522" s="198"/>
      <c r="K522" s="196"/>
      <c r="L522" s="196"/>
      <c r="M522" s="197"/>
      <c r="N522" s="192"/>
      <c r="O522" s="196"/>
      <c r="P522" s="196"/>
      <c r="Q522" s="200"/>
    </row>
    <row r="523" spans="1:17">
      <c r="A523" s="196"/>
      <c r="B523" s="196"/>
      <c r="C523" s="196"/>
      <c r="D523" s="19"/>
      <c r="E523" s="198"/>
      <c r="F523" s="196"/>
      <c r="G523" s="196"/>
      <c r="H523" s="199"/>
      <c r="I523" s="196"/>
      <c r="J523" s="198"/>
      <c r="K523" s="196"/>
      <c r="L523" s="196"/>
      <c r="M523" s="197"/>
      <c r="N523" s="192"/>
      <c r="O523" s="196"/>
      <c r="P523" s="196"/>
      <c r="Q523" s="200"/>
    </row>
    <row r="524" spans="1:17">
      <c r="A524" s="196"/>
      <c r="B524" s="196"/>
      <c r="C524" s="196"/>
      <c r="D524" s="19"/>
      <c r="E524" s="198"/>
      <c r="F524" s="196"/>
      <c r="G524" s="196"/>
      <c r="H524" s="199"/>
      <c r="I524" s="196"/>
      <c r="J524" s="198"/>
      <c r="K524" s="196"/>
      <c r="L524" s="196"/>
      <c r="M524" s="197"/>
      <c r="N524" s="192"/>
      <c r="O524" s="196"/>
      <c r="P524" s="196"/>
      <c r="Q524" s="200"/>
    </row>
    <row r="525" spans="1:17">
      <c r="A525" s="196"/>
      <c r="B525" s="196"/>
      <c r="C525" s="196"/>
      <c r="D525" s="19"/>
      <c r="E525" s="198"/>
      <c r="F525" s="196"/>
      <c r="G525" s="196"/>
      <c r="H525" s="199"/>
      <c r="I525" s="196"/>
      <c r="J525" s="198"/>
      <c r="K525" s="196"/>
      <c r="L525" s="196"/>
      <c r="M525" s="197"/>
      <c r="N525" s="192"/>
      <c r="O525" s="196"/>
      <c r="P525" s="196"/>
      <c r="Q525" s="200"/>
    </row>
    <row r="526" spans="1:17">
      <c r="A526" s="196"/>
      <c r="B526" s="196"/>
      <c r="C526" s="196"/>
      <c r="D526" s="19"/>
      <c r="E526" s="198"/>
      <c r="F526" s="196"/>
      <c r="G526" s="196"/>
      <c r="H526" s="199"/>
      <c r="I526" s="196"/>
      <c r="J526" s="198"/>
      <c r="K526" s="196"/>
      <c r="L526" s="196"/>
      <c r="M526" s="197"/>
      <c r="N526" s="192"/>
      <c r="O526" s="196"/>
      <c r="P526" s="196"/>
      <c r="Q526" s="200"/>
    </row>
    <row r="527" spans="1:17">
      <c r="A527" s="196"/>
      <c r="B527" s="196"/>
      <c r="C527" s="196"/>
      <c r="D527" s="19"/>
      <c r="E527" s="198"/>
      <c r="F527" s="196"/>
      <c r="G527" s="196"/>
      <c r="H527" s="199"/>
      <c r="I527" s="196"/>
      <c r="J527" s="198"/>
      <c r="K527" s="196"/>
      <c r="L527" s="196"/>
      <c r="M527" s="197"/>
      <c r="N527" s="192"/>
      <c r="O527" s="196"/>
      <c r="P527" s="196"/>
      <c r="Q527" s="200"/>
    </row>
    <row r="528" spans="1:17">
      <c r="A528" s="196"/>
      <c r="B528" s="196"/>
      <c r="C528" s="196"/>
      <c r="D528" s="19"/>
      <c r="E528" s="198"/>
      <c r="F528" s="196"/>
      <c r="G528" s="196"/>
      <c r="H528" s="199"/>
      <c r="I528" s="196"/>
      <c r="J528" s="198"/>
      <c r="K528" s="196"/>
      <c r="L528" s="196"/>
      <c r="M528" s="197"/>
      <c r="N528" s="192"/>
      <c r="O528" s="196"/>
      <c r="P528" s="196"/>
      <c r="Q528" s="200"/>
    </row>
    <row r="529" spans="1:17">
      <c r="A529" s="196"/>
      <c r="B529" s="196"/>
      <c r="C529" s="196"/>
      <c r="D529" s="19"/>
      <c r="E529" s="198"/>
      <c r="F529" s="196"/>
      <c r="G529" s="196"/>
      <c r="H529" s="199"/>
      <c r="I529" s="196"/>
      <c r="J529" s="198"/>
      <c r="K529" s="196"/>
      <c r="L529" s="196"/>
      <c r="M529" s="197"/>
      <c r="N529" s="192"/>
      <c r="O529" s="196"/>
      <c r="P529" s="196"/>
      <c r="Q529" s="200"/>
    </row>
    <row r="530" spans="1:17">
      <c r="A530" s="196"/>
      <c r="B530" s="196"/>
      <c r="C530" s="196"/>
      <c r="D530" s="19"/>
      <c r="E530" s="198"/>
      <c r="F530" s="196"/>
      <c r="G530" s="196"/>
      <c r="H530" s="199"/>
      <c r="I530" s="196"/>
      <c r="J530" s="198"/>
      <c r="K530" s="196"/>
      <c r="L530" s="196"/>
      <c r="M530" s="197"/>
      <c r="N530" s="192"/>
      <c r="O530" s="196"/>
      <c r="P530" s="196"/>
      <c r="Q530" s="200"/>
    </row>
    <row r="531" spans="1:17">
      <c r="A531" s="196"/>
      <c r="B531" s="196"/>
      <c r="C531" s="196"/>
      <c r="D531" s="19"/>
      <c r="E531" s="198"/>
      <c r="F531" s="196"/>
      <c r="G531" s="196"/>
      <c r="H531" s="199"/>
      <c r="I531" s="196"/>
      <c r="J531" s="198"/>
      <c r="K531" s="196"/>
      <c r="L531" s="196"/>
      <c r="M531" s="197"/>
      <c r="N531" s="192"/>
      <c r="O531" s="196"/>
      <c r="P531" s="196"/>
      <c r="Q531" s="200"/>
    </row>
    <row r="532" spans="1:17">
      <c r="A532" s="196"/>
      <c r="B532" s="196"/>
      <c r="C532" s="196"/>
      <c r="D532" s="19"/>
      <c r="E532" s="198"/>
      <c r="F532" s="196"/>
      <c r="G532" s="196"/>
      <c r="H532" s="199"/>
      <c r="I532" s="196"/>
      <c r="J532" s="198"/>
      <c r="K532" s="196"/>
      <c r="L532" s="196"/>
      <c r="M532" s="197"/>
      <c r="N532" s="192"/>
      <c r="O532" s="196"/>
      <c r="P532" s="196"/>
      <c r="Q532" s="200"/>
    </row>
    <row r="533" spans="1:17">
      <c r="A533" s="196"/>
      <c r="B533" s="196"/>
      <c r="C533" s="196"/>
      <c r="D533" s="19"/>
      <c r="E533" s="198"/>
      <c r="F533" s="196"/>
      <c r="G533" s="196"/>
      <c r="H533" s="199"/>
      <c r="I533" s="196"/>
      <c r="J533" s="198"/>
      <c r="K533" s="196"/>
      <c r="L533" s="196"/>
      <c r="M533" s="197"/>
      <c r="N533" s="192"/>
      <c r="O533" s="196"/>
      <c r="P533" s="196"/>
      <c r="Q533" s="200"/>
    </row>
    <row r="534" spans="1:17">
      <c r="A534" s="196"/>
      <c r="B534" s="196"/>
      <c r="C534" s="196"/>
      <c r="D534" s="19"/>
      <c r="E534" s="198"/>
      <c r="F534" s="196"/>
      <c r="G534" s="196"/>
      <c r="H534" s="199"/>
      <c r="I534" s="196"/>
      <c r="J534" s="198"/>
      <c r="K534" s="196"/>
      <c r="L534" s="196"/>
      <c r="M534" s="197"/>
      <c r="N534" s="192"/>
      <c r="O534" s="196"/>
      <c r="P534" s="196"/>
      <c r="Q534" s="200"/>
    </row>
    <row r="535" spans="1:17">
      <c r="A535" s="196"/>
      <c r="B535" s="196"/>
      <c r="C535" s="196"/>
      <c r="D535" s="19"/>
      <c r="E535" s="198"/>
      <c r="F535" s="196"/>
      <c r="G535" s="196"/>
      <c r="H535" s="199"/>
      <c r="I535" s="196"/>
      <c r="J535" s="198"/>
      <c r="K535" s="196"/>
      <c r="L535" s="196"/>
      <c r="M535" s="197"/>
      <c r="N535" s="192"/>
      <c r="O535" s="196"/>
      <c r="P535" s="196"/>
      <c r="Q535" s="200"/>
    </row>
    <row r="536" spans="1:17">
      <c r="A536" s="196"/>
      <c r="B536" s="196"/>
      <c r="C536" s="196"/>
      <c r="D536" s="19"/>
      <c r="E536" s="198"/>
      <c r="F536" s="196"/>
      <c r="G536" s="196"/>
      <c r="H536" s="199"/>
      <c r="I536" s="196"/>
      <c r="J536" s="198"/>
      <c r="K536" s="196"/>
      <c r="L536" s="196"/>
      <c r="M536" s="197"/>
      <c r="N536" s="192"/>
      <c r="O536" s="196"/>
      <c r="P536" s="196"/>
      <c r="Q536" s="200"/>
    </row>
    <row r="537" spans="1:17">
      <c r="A537" s="196"/>
      <c r="B537" s="196"/>
      <c r="C537" s="196"/>
      <c r="D537" s="19"/>
      <c r="E537" s="198"/>
      <c r="F537" s="196"/>
      <c r="G537" s="196"/>
      <c r="H537" s="199"/>
      <c r="I537" s="196"/>
      <c r="J537" s="198"/>
      <c r="K537" s="196"/>
      <c r="L537" s="196"/>
      <c r="M537" s="197"/>
      <c r="N537" s="192"/>
      <c r="O537" s="196"/>
      <c r="P537" s="196"/>
      <c r="Q537" s="200"/>
    </row>
    <row r="538" spans="1:17">
      <c r="A538" s="196"/>
      <c r="B538" s="196"/>
      <c r="C538" s="196"/>
      <c r="D538" s="19"/>
      <c r="E538" s="198"/>
      <c r="F538" s="196"/>
      <c r="G538" s="196"/>
      <c r="H538" s="199"/>
      <c r="I538" s="196"/>
      <c r="J538" s="198"/>
      <c r="K538" s="196"/>
      <c r="L538" s="196"/>
      <c r="M538" s="197"/>
      <c r="N538" s="192"/>
      <c r="O538" s="196"/>
      <c r="P538" s="196"/>
      <c r="Q538" s="200"/>
    </row>
    <row r="539" spans="1:17">
      <c r="A539" s="196"/>
      <c r="B539" s="196"/>
      <c r="C539" s="196"/>
      <c r="D539" s="19"/>
      <c r="E539" s="198"/>
      <c r="F539" s="196"/>
      <c r="G539" s="196"/>
      <c r="H539" s="199"/>
      <c r="I539" s="196"/>
      <c r="J539" s="198"/>
      <c r="K539" s="196"/>
      <c r="L539" s="196"/>
      <c r="M539" s="197"/>
      <c r="N539" s="192"/>
      <c r="O539" s="196"/>
      <c r="P539" s="196"/>
      <c r="Q539" s="200"/>
    </row>
    <row r="540" spans="1:17">
      <c r="A540" s="196"/>
      <c r="B540" s="196"/>
      <c r="C540" s="196"/>
      <c r="D540" s="19"/>
      <c r="E540" s="198"/>
      <c r="F540" s="196"/>
      <c r="G540" s="196"/>
      <c r="H540" s="199"/>
      <c r="I540" s="196"/>
      <c r="J540" s="198"/>
      <c r="K540" s="196"/>
      <c r="L540" s="196"/>
      <c r="M540" s="197"/>
      <c r="N540" s="192"/>
      <c r="O540" s="196"/>
      <c r="P540" s="196"/>
      <c r="Q540" s="200"/>
    </row>
    <row r="541" spans="1:17">
      <c r="A541" s="196"/>
      <c r="B541" s="196"/>
      <c r="C541" s="196"/>
      <c r="D541" s="19"/>
      <c r="E541" s="198"/>
      <c r="F541" s="196"/>
      <c r="G541" s="196"/>
      <c r="H541" s="199"/>
      <c r="I541" s="196"/>
      <c r="J541" s="198"/>
      <c r="K541" s="196"/>
      <c r="L541" s="196"/>
      <c r="M541" s="197"/>
      <c r="N541" s="192"/>
      <c r="O541" s="196"/>
      <c r="P541" s="196"/>
      <c r="Q541" s="200"/>
    </row>
    <row r="542" spans="1:17">
      <c r="A542" s="196"/>
      <c r="B542" s="196"/>
      <c r="C542" s="196"/>
      <c r="D542" s="19"/>
      <c r="E542" s="198"/>
      <c r="F542" s="196"/>
      <c r="G542" s="196"/>
      <c r="H542" s="199"/>
      <c r="I542" s="196"/>
      <c r="J542" s="198"/>
      <c r="K542" s="196"/>
      <c r="L542" s="196"/>
      <c r="M542" s="197"/>
      <c r="N542" s="192"/>
      <c r="O542" s="196"/>
      <c r="P542" s="196"/>
      <c r="Q542" s="200"/>
    </row>
    <row r="543" spans="1:17">
      <c r="A543" s="196"/>
      <c r="B543" s="196"/>
      <c r="C543" s="196"/>
      <c r="D543" s="19"/>
      <c r="E543" s="198"/>
      <c r="F543" s="196"/>
      <c r="G543" s="196"/>
      <c r="H543" s="199"/>
      <c r="I543" s="196"/>
      <c r="J543" s="198"/>
      <c r="K543" s="196"/>
      <c r="L543" s="196"/>
      <c r="M543" s="197"/>
      <c r="N543" s="192"/>
      <c r="O543" s="196"/>
      <c r="P543" s="196"/>
      <c r="Q543" s="200"/>
    </row>
    <row r="544" spans="1:17">
      <c r="A544" s="196"/>
      <c r="B544" s="196"/>
      <c r="C544" s="196"/>
      <c r="D544" s="19"/>
      <c r="E544" s="198"/>
      <c r="F544" s="196"/>
      <c r="G544" s="196"/>
      <c r="H544" s="199"/>
      <c r="I544" s="196"/>
      <c r="J544" s="198"/>
      <c r="K544" s="196"/>
      <c r="L544" s="196"/>
      <c r="M544" s="197"/>
      <c r="N544" s="192"/>
      <c r="O544" s="196"/>
      <c r="P544" s="196"/>
      <c r="Q544" s="200"/>
    </row>
    <row r="545" spans="1:17">
      <c r="A545" s="196"/>
      <c r="B545" s="196"/>
      <c r="C545" s="196"/>
      <c r="D545" s="19"/>
      <c r="E545" s="198"/>
      <c r="F545" s="196"/>
      <c r="G545" s="196"/>
      <c r="H545" s="199"/>
      <c r="I545" s="196"/>
      <c r="J545" s="198"/>
      <c r="K545" s="196"/>
      <c r="L545" s="196"/>
      <c r="M545" s="197"/>
      <c r="N545" s="192"/>
      <c r="O545" s="196"/>
      <c r="P545" s="196"/>
      <c r="Q545" s="200"/>
    </row>
    <row r="546" spans="1:17">
      <c r="A546" s="196"/>
      <c r="B546" s="196"/>
      <c r="C546" s="196"/>
      <c r="D546" s="19"/>
      <c r="E546" s="198"/>
      <c r="F546" s="196"/>
      <c r="G546" s="196"/>
      <c r="H546" s="199"/>
      <c r="I546" s="196"/>
      <c r="J546" s="198"/>
      <c r="K546" s="196"/>
      <c r="L546" s="196"/>
      <c r="M546" s="197"/>
      <c r="N546" s="192"/>
      <c r="O546" s="196"/>
      <c r="P546" s="196"/>
      <c r="Q546" s="200"/>
    </row>
    <row r="547" spans="1:17">
      <c r="A547" s="196"/>
      <c r="B547" s="196"/>
      <c r="C547" s="196"/>
      <c r="D547" s="19"/>
      <c r="E547" s="198"/>
      <c r="F547" s="196"/>
      <c r="G547" s="196"/>
      <c r="H547" s="199"/>
      <c r="I547" s="196"/>
      <c r="J547" s="198"/>
      <c r="K547" s="196"/>
      <c r="L547" s="196"/>
      <c r="M547" s="197"/>
      <c r="N547" s="192"/>
      <c r="O547" s="196"/>
      <c r="P547" s="196"/>
      <c r="Q547" s="200"/>
    </row>
    <row r="548" spans="1:17">
      <c r="A548" s="196"/>
      <c r="B548" s="196"/>
      <c r="C548" s="196"/>
      <c r="D548" s="19"/>
      <c r="E548" s="198"/>
      <c r="F548" s="196"/>
      <c r="G548" s="196"/>
      <c r="H548" s="199"/>
      <c r="I548" s="196"/>
      <c r="J548" s="198"/>
      <c r="K548" s="196"/>
      <c r="L548" s="196"/>
      <c r="M548" s="197"/>
      <c r="N548" s="192"/>
      <c r="O548" s="196"/>
      <c r="P548" s="196"/>
      <c r="Q548" s="200"/>
    </row>
    <row r="549" spans="1:17">
      <c r="A549" s="196"/>
      <c r="B549" s="196"/>
      <c r="C549" s="196"/>
      <c r="D549" s="19"/>
      <c r="E549" s="198"/>
      <c r="F549" s="196"/>
      <c r="G549" s="196"/>
      <c r="H549" s="199"/>
      <c r="I549" s="196"/>
      <c r="J549" s="198"/>
      <c r="K549" s="196"/>
      <c r="L549" s="196"/>
      <c r="M549" s="197"/>
      <c r="N549" s="192"/>
      <c r="O549" s="196"/>
      <c r="P549" s="196"/>
      <c r="Q549" s="200"/>
    </row>
    <row r="550" spans="1:17">
      <c r="A550" s="196"/>
      <c r="B550" s="196"/>
      <c r="C550" s="196"/>
      <c r="D550" s="19"/>
      <c r="E550" s="198"/>
      <c r="F550" s="196"/>
      <c r="G550" s="196"/>
      <c r="H550" s="199"/>
      <c r="I550" s="196"/>
      <c r="J550" s="198"/>
      <c r="K550" s="196"/>
      <c r="L550" s="196"/>
      <c r="M550" s="197"/>
      <c r="N550" s="192"/>
      <c r="O550" s="196"/>
      <c r="P550" s="196"/>
      <c r="Q550" s="200"/>
    </row>
    <row r="551" spans="1:17">
      <c r="A551" s="196"/>
      <c r="B551" s="196"/>
      <c r="C551" s="196"/>
      <c r="D551" s="19"/>
      <c r="E551" s="198"/>
      <c r="F551" s="196"/>
      <c r="G551" s="196"/>
      <c r="H551" s="199"/>
      <c r="I551" s="196"/>
      <c r="J551" s="198"/>
      <c r="K551" s="196"/>
      <c r="L551" s="196"/>
      <c r="M551" s="197"/>
      <c r="N551" s="192"/>
      <c r="O551" s="196"/>
      <c r="P551" s="196"/>
      <c r="Q551" s="200"/>
    </row>
    <row r="552" spans="1:17">
      <c r="A552" s="196"/>
      <c r="B552" s="196"/>
      <c r="C552" s="196"/>
      <c r="D552" s="19"/>
      <c r="E552" s="198"/>
      <c r="F552" s="196"/>
      <c r="G552" s="196"/>
      <c r="H552" s="199"/>
      <c r="I552" s="196"/>
      <c r="J552" s="198"/>
      <c r="K552" s="196"/>
      <c r="L552" s="196"/>
      <c r="M552" s="197"/>
      <c r="N552" s="192"/>
      <c r="O552" s="196"/>
      <c r="P552" s="196"/>
      <c r="Q552" s="200"/>
    </row>
    <row r="553" spans="1:17">
      <c r="A553" s="196"/>
      <c r="B553" s="196"/>
      <c r="C553" s="196"/>
      <c r="D553" s="19"/>
      <c r="E553" s="198"/>
      <c r="F553" s="196"/>
      <c r="G553" s="196"/>
      <c r="H553" s="199"/>
      <c r="I553" s="196"/>
      <c r="J553" s="198"/>
      <c r="K553" s="196"/>
      <c r="L553" s="196"/>
      <c r="M553" s="197"/>
      <c r="N553" s="192"/>
      <c r="O553" s="196"/>
      <c r="P553" s="196"/>
      <c r="Q553" s="200"/>
    </row>
    <row r="554" spans="1:17">
      <c r="A554" s="196"/>
      <c r="B554" s="196"/>
      <c r="C554" s="196"/>
      <c r="D554" s="19"/>
      <c r="E554" s="198"/>
      <c r="F554" s="196"/>
      <c r="G554" s="196"/>
      <c r="H554" s="199"/>
      <c r="I554" s="196"/>
      <c r="J554" s="198"/>
      <c r="K554" s="196"/>
      <c r="L554" s="196"/>
      <c r="M554" s="197"/>
      <c r="N554" s="192"/>
      <c r="O554" s="196"/>
      <c r="P554" s="196"/>
      <c r="Q554" s="200"/>
    </row>
    <row r="555" spans="1:17">
      <c r="A555" s="196"/>
      <c r="B555" s="196"/>
      <c r="C555" s="196"/>
      <c r="D555" s="19"/>
      <c r="E555" s="198"/>
      <c r="F555" s="196"/>
      <c r="G555" s="196"/>
      <c r="H555" s="199"/>
      <c r="I555" s="196"/>
      <c r="J555" s="198"/>
      <c r="K555" s="196"/>
      <c r="L555" s="196"/>
      <c r="M555" s="197"/>
      <c r="N555" s="192"/>
      <c r="O555" s="196"/>
      <c r="P555" s="196"/>
      <c r="Q555" s="200"/>
    </row>
    <row r="556" spans="1:17">
      <c r="A556" s="196"/>
      <c r="B556" s="196"/>
      <c r="C556" s="196"/>
      <c r="D556" s="19"/>
      <c r="E556" s="198"/>
      <c r="F556" s="196"/>
      <c r="G556" s="196"/>
      <c r="H556" s="199"/>
      <c r="I556" s="196"/>
      <c r="J556" s="198"/>
      <c r="K556" s="196"/>
      <c r="L556" s="196"/>
      <c r="M556" s="197"/>
      <c r="N556" s="192"/>
      <c r="O556" s="196"/>
      <c r="P556" s="196"/>
      <c r="Q556" s="200"/>
    </row>
    <row r="557" spans="1:17">
      <c r="A557" s="196"/>
      <c r="B557" s="196"/>
      <c r="C557" s="196"/>
      <c r="D557" s="19"/>
      <c r="E557" s="198"/>
      <c r="F557" s="196"/>
      <c r="G557" s="196"/>
      <c r="H557" s="199"/>
      <c r="I557" s="196"/>
      <c r="J557" s="198"/>
      <c r="K557" s="196"/>
      <c r="L557" s="196"/>
      <c r="M557" s="197"/>
      <c r="N557" s="192"/>
      <c r="O557" s="196"/>
      <c r="P557" s="196"/>
      <c r="Q557" s="200"/>
    </row>
    <row r="558" spans="1:17">
      <c r="A558" s="196"/>
      <c r="B558" s="196"/>
      <c r="C558" s="196"/>
      <c r="D558" s="19"/>
      <c r="E558" s="198"/>
      <c r="F558" s="196"/>
      <c r="G558" s="196"/>
      <c r="H558" s="199"/>
      <c r="I558" s="196"/>
      <c r="J558" s="198"/>
      <c r="K558" s="196"/>
      <c r="L558" s="196"/>
      <c r="M558" s="197"/>
      <c r="N558" s="192"/>
      <c r="O558" s="196"/>
      <c r="P558" s="196"/>
      <c r="Q558" s="200"/>
    </row>
    <row r="559" spans="1:17">
      <c r="A559" s="196"/>
      <c r="B559" s="196"/>
      <c r="C559" s="196"/>
      <c r="D559" s="19"/>
      <c r="E559" s="198"/>
      <c r="F559" s="196"/>
      <c r="G559" s="196"/>
      <c r="H559" s="199"/>
      <c r="I559" s="196"/>
      <c r="J559" s="198"/>
      <c r="K559" s="196"/>
      <c r="L559" s="196"/>
      <c r="M559" s="197"/>
      <c r="N559" s="192"/>
      <c r="O559" s="196"/>
      <c r="P559" s="196"/>
      <c r="Q559" s="200"/>
    </row>
    <row r="560" spans="1:17">
      <c r="A560" s="196"/>
      <c r="B560" s="196"/>
      <c r="C560" s="196"/>
      <c r="D560" s="19"/>
      <c r="E560" s="198"/>
      <c r="F560" s="196"/>
      <c r="G560" s="196"/>
      <c r="H560" s="199"/>
      <c r="I560" s="196"/>
      <c r="J560" s="198"/>
      <c r="K560" s="196"/>
      <c r="L560" s="196"/>
      <c r="M560" s="197"/>
      <c r="N560" s="192"/>
      <c r="O560" s="196"/>
      <c r="P560" s="196"/>
      <c r="Q560" s="200"/>
    </row>
    <row r="561" spans="1:17">
      <c r="A561" s="196"/>
      <c r="B561" s="196"/>
      <c r="C561" s="196"/>
      <c r="D561" s="19"/>
      <c r="E561" s="198"/>
      <c r="F561" s="196"/>
      <c r="G561" s="196"/>
      <c r="H561" s="199"/>
      <c r="I561" s="196"/>
      <c r="J561" s="198"/>
      <c r="K561" s="196"/>
      <c r="L561" s="196"/>
      <c r="M561" s="197"/>
      <c r="N561" s="192"/>
      <c r="O561" s="196"/>
      <c r="P561" s="196"/>
      <c r="Q561" s="200"/>
    </row>
    <row r="562" spans="1:17">
      <c r="A562" s="196"/>
      <c r="B562" s="196"/>
      <c r="C562" s="196"/>
      <c r="D562" s="19"/>
      <c r="E562" s="198"/>
      <c r="F562" s="196"/>
      <c r="G562" s="196"/>
      <c r="H562" s="199"/>
      <c r="I562" s="196"/>
      <c r="J562" s="198"/>
      <c r="K562" s="196"/>
      <c r="L562" s="196"/>
      <c r="M562" s="197"/>
      <c r="N562" s="192"/>
      <c r="O562" s="196"/>
      <c r="P562" s="196"/>
      <c r="Q562" s="200"/>
    </row>
    <row r="563" spans="1:17">
      <c r="A563" s="196"/>
      <c r="B563" s="196"/>
      <c r="C563" s="196"/>
      <c r="D563" s="19"/>
      <c r="E563" s="198"/>
      <c r="F563" s="196"/>
      <c r="G563" s="196"/>
      <c r="H563" s="199"/>
      <c r="I563" s="196"/>
      <c r="J563" s="198"/>
      <c r="K563" s="196"/>
      <c r="L563" s="196"/>
      <c r="M563" s="197"/>
      <c r="N563" s="192"/>
      <c r="O563" s="196"/>
      <c r="P563" s="196"/>
      <c r="Q563" s="200"/>
    </row>
    <row r="564" spans="1:17">
      <c r="A564" s="196"/>
      <c r="B564" s="196"/>
      <c r="C564" s="196"/>
      <c r="D564" s="19"/>
      <c r="E564" s="198"/>
      <c r="F564" s="196"/>
      <c r="G564" s="196"/>
      <c r="H564" s="199"/>
      <c r="I564" s="196"/>
      <c r="J564" s="198"/>
      <c r="K564" s="196"/>
      <c r="L564" s="196"/>
      <c r="M564" s="197"/>
      <c r="N564" s="192"/>
      <c r="O564" s="196"/>
      <c r="P564" s="196"/>
      <c r="Q564" s="200"/>
    </row>
    <row r="565" spans="1:17">
      <c r="A565" s="196"/>
      <c r="B565" s="196"/>
      <c r="C565" s="196"/>
      <c r="D565" s="19"/>
      <c r="E565" s="198"/>
      <c r="F565" s="196"/>
      <c r="G565" s="196"/>
      <c r="H565" s="199"/>
      <c r="I565" s="196"/>
      <c r="J565" s="198"/>
      <c r="K565" s="196"/>
      <c r="L565" s="196"/>
      <c r="M565" s="197"/>
      <c r="N565" s="192"/>
      <c r="O565" s="196"/>
      <c r="P565" s="196"/>
      <c r="Q565" s="200"/>
    </row>
    <row r="566" spans="1:17">
      <c r="A566" s="196"/>
      <c r="B566" s="196"/>
      <c r="C566" s="196"/>
      <c r="D566" s="19"/>
      <c r="E566" s="198"/>
      <c r="F566" s="196"/>
      <c r="G566" s="196"/>
      <c r="H566" s="199"/>
      <c r="I566" s="196"/>
      <c r="J566" s="198"/>
      <c r="K566" s="196"/>
      <c r="L566" s="196"/>
      <c r="M566" s="197"/>
      <c r="N566" s="192"/>
      <c r="O566" s="196"/>
      <c r="P566" s="196"/>
      <c r="Q566" s="200"/>
    </row>
    <row r="567" spans="1:17">
      <c r="A567" s="196"/>
      <c r="B567" s="196"/>
      <c r="C567" s="196"/>
      <c r="D567" s="19"/>
      <c r="E567" s="198"/>
      <c r="F567" s="196"/>
      <c r="G567" s="196"/>
      <c r="H567" s="199"/>
      <c r="I567" s="196"/>
      <c r="J567" s="198"/>
      <c r="K567" s="196"/>
      <c r="L567" s="196"/>
      <c r="M567" s="197"/>
      <c r="N567" s="192"/>
      <c r="O567" s="196"/>
      <c r="P567" s="196"/>
      <c r="Q567" s="200"/>
    </row>
    <row r="568" spans="1:17">
      <c r="A568" s="196"/>
      <c r="B568" s="196"/>
      <c r="C568" s="196"/>
      <c r="D568" s="19"/>
      <c r="E568" s="198"/>
      <c r="F568" s="196"/>
      <c r="G568" s="196"/>
      <c r="H568" s="199"/>
      <c r="I568" s="196"/>
      <c r="J568" s="198"/>
      <c r="K568" s="196"/>
      <c r="L568" s="196"/>
      <c r="M568" s="197"/>
      <c r="N568" s="192"/>
      <c r="O568" s="196"/>
      <c r="P568" s="196"/>
      <c r="Q568" s="200"/>
    </row>
    <row r="569" spans="1:17">
      <c r="A569" s="196"/>
      <c r="B569" s="196"/>
      <c r="C569" s="196"/>
      <c r="D569" s="19"/>
      <c r="E569" s="198"/>
      <c r="F569" s="196"/>
      <c r="G569" s="196"/>
      <c r="H569" s="199"/>
      <c r="I569" s="196"/>
      <c r="J569" s="198"/>
      <c r="K569" s="196"/>
      <c r="L569" s="196"/>
      <c r="M569" s="197"/>
      <c r="N569" s="192"/>
      <c r="O569" s="196"/>
      <c r="P569" s="196"/>
      <c r="Q569" s="200"/>
    </row>
    <row r="570" spans="1:17">
      <c r="A570" s="196"/>
      <c r="B570" s="196"/>
      <c r="C570" s="196"/>
      <c r="D570" s="19"/>
      <c r="E570" s="198"/>
      <c r="F570" s="196"/>
      <c r="G570" s="196"/>
      <c r="H570" s="199"/>
      <c r="I570" s="196"/>
      <c r="J570" s="198"/>
      <c r="K570" s="196"/>
      <c r="L570" s="196"/>
      <c r="M570" s="197"/>
      <c r="N570" s="192"/>
      <c r="O570" s="196"/>
      <c r="P570" s="196"/>
      <c r="Q570" s="200"/>
    </row>
    <row r="571" spans="1:17">
      <c r="A571" s="196"/>
      <c r="B571" s="196"/>
      <c r="C571" s="196"/>
      <c r="D571" s="19"/>
      <c r="E571" s="198"/>
      <c r="F571" s="196"/>
      <c r="G571" s="196"/>
      <c r="H571" s="199"/>
      <c r="I571" s="196"/>
      <c r="J571" s="198"/>
      <c r="K571" s="196"/>
      <c r="L571" s="196"/>
      <c r="M571" s="197"/>
      <c r="N571" s="192"/>
      <c r="O571" s="196"/>
      <c r="P571" s="196"/>
      <c r="Q571" s="200"/>
    </row>
    <row r="572" spans="1:17">
      <c r="A572" s="196"/>
      <c r="B572" s="196"/>
      <c r="C572" s="196"/>
      <c r="D572" s="19"/>
      <c r="E572" s="198"/>
      <c r="F572" s="196"/>
      <c r="G572" s="196"/>
      <c r="H572" s="199"/>
      <c r="I572" s="196"/>
      <c r="J572" s="198"/>
      <c r="K572" s="196"/>
      <c r="L572" s="196"/>
      <c r="M572" s="197"/>
      <c r="N572" s="192"/>
      <c r="O572" s="196"/>
      <c r="P572" s="196"/>
      <c r="Q572" s="200"/>
    </row>
    <row r="573" spans="1:17">
      <c r="A573" s="196"/>
      <c r="B573" s="196"/>
      <c r="C573" s="196"/>
      <c r="D573" s="19"/>
      <c r="E573" s="198"/>
      <c r="F573" s="196"/>
      <c r="G573" s="196"/>
      <c r="H573" s="199"/>
      <c r="I573" s="196"/>
      <c r="J573" s="198"/>
      <c r="K573" s="196"/>
      <c r="L573" s="196"/>
      <c r="M573" s="197"/>
      <c r="N573" s="192"/>
      <c r="O573" s="196"/>
      <c r="P573" s="196"/>
      <c r="Q573" s="200"/>
    </row>
    <row r="574" spans="1:17">
      <c r="A574" s="196"/>
      <c r="B574" s="196"/>
      <c r="C574" s="196"/>
      <c r="D574" s="19"/>
      <c r="E574" s="198"/>
      <c r="F574" s="196"/>
      <c r="G574" s="196"/>
      <c r="H574" s="199"/>
      <c r="I574" s="196"/>
      <c r="J574" s="198"/>
      <c r="K574" s="196"/>
      <c r="L574" s="196"/>
      <c r="M574" s="197"/>
      <c r="N574" s="192"/>
      <c r="O574" s="196"/>
      <c r="P574" s="196"/>
      <c r="Q574" s="200"/>
    </row>
    <row r="575" spans="1:17">
      <c r="A575" s="196"/>
      <c r="B575" s="196"/>
      <c r="C575" s="196"/>
      <c r="D575" s="19"/>
      <c r="E575" s="198"/>
      <c r="F575" s="196"/>
      <c r="G575" s="196"/>
      <c r="H575" s="199"/>
      <c r="I575" s="196"/>
      <c r="J575" s="198"/>
      <c r="K575" s="196"/>
      <c r="L575" s="196"/>
      <c r="M575" s="197"/>
      <c r="N575" s="192"/>
      <c r="O575" s="196"/>
      <c r="P575" s="196"/>
      <c r="Q575" s="200"/>
    </row>
    <row r="576" spans="1:17">
      <c r="A576" s="196"/>
      <c r="B576" s="196"/>
      <c r="C576" s="196"/>
      <c r="D576" s="19"/>
      <c r="E576" s="198"/>
      <c r="F576" s="196"/>
      <c r="G576" s="196"/>
      <c r="H576" s="199"/>
      <c r="I576" s="196"/>
      <c r="J576" s="198"/>
      <c r="K576" s="196"/>
      <c r="L576" s="196"/>
      <c r="M576" s="197"/>
      <c r="N576" s="192"/>
      <c r="O576" s="196"/>
      <c r="P576" s="196"/>
      <c r="Q576" s="200"/>
    </row>
    <row r="577" spans="1:17">
      <c r="A577" s="196"/>
      <c r="B577" s="196"/>
      <c r="C577" s="196"/>
      <c r="D577" s="19"/>
      <c r="E577" s="198"/>
      <c r="F577" s="196"/>
      <c r="G577" s="196"/>
      <c r="H577" s="199"/>
      <c r="I577" s="196"/>
      <c r="J577" s="198"/>
      <c r="K577" s="196"/>
      <c r="L577" s="196"/>
      <c r="M577" s="197"/>
      <c r="N577" s="192"/>
      <c r="O577" s="196"/>
      <c r="P577" s="196"/>
      <c r="Q577" s="200"/>
    </row>
    <row r="578" spans="1:17">
      <c r="A578" s="196"/>
      <c r="B578" s="196"/>
      <c r="C578" s="196"/>
      <c r="D578" s="19"/>
      <c r="E578" s="198"/>
      <c r="F578" s="196"/>
      <c r="G578" s="196"/>
      <c r="H578" s="199"/>
      <c r="I578" s="196"/>
      <c r="J578" s="198"/>
      <c r="K578" s="196"/>
      <c r="L578" s="196"/>
      <c r="M578" s="197"/>
      <c r="N578" s="192"/>
      <c r="O578" s="196"/>
      <c r="P578" s="196"/>
      <c r="Q578" s="200"/>
    </row>
    <row r="579" spans="1:17">
      <c r="A579" s="196"/>
      <c r="B579" s="196"/>
      <c r="C579" s="196"/>
      <c r="D579" s="19"/>
      <c r="E579" s="198"/>
      <c r="F579" s="196"/>
      <c r="G579" s="196"/>
      <c r="H579" s="199"/>
      <c r="I579" s="196"/>
      <c r="J579" s="198"/>
      <c r="K579" s="196"/>
      <c r="L579" s="196"/>
      <c r="M579" s="197"/>
      <c r="N579" s="192"/>
      <c r="O579" s="196"/>
      <c r="P579" s="196"/>
      <c r="Q579" s="200"/>
    </row>
    <row r="580" spans="1:17">
      <c r="A580" s="196"/>
      <c r="B580" s="196"/>
      <c r="C580" s="196"/>
      <c r="D580" s="19"/>
      <c r="E580" s="198"/>
      <c r="F580" s="196"/>
      <c r="G580" s="196"/>
      <c r="H580" s="199"/>
      <c r="I580" s="196"/>
      <c r="J580" s="198"/>
      <c r="K580" s="196"/>
      <c r="L580" s="196"/>
      <c r="M580" s="197"/>
      <c r="N580" s="192"/>
      <c r="O580" s="196"/>
      <c r="P580" s="196"/>
      <c r="Q580" s="200"/>
    </row>
    <row r="581" spans="1:17">
      <c r="A581" s="196"/>
      <c r="B581" s="196"/>
      <c r="C581" s="196"/>
      <c r="D581" s="19"/>
      <c r="E581" s="198"/>
      <c r="F581" s="196"/>
      <c r="G581" s="196"/>
      <c r="H581" s="199"/>
      <c r="I581" s="196"/>
      <c r="J581" s="198"/>
      <c r="K581" s="196"/>
      <c r="L581" s="196"/>
      <c r="M581" s="197"/>
      <c r="N581" s="192"/>
      <c r="O581" s="196"/>
      <c r="P581" s="196"/>
      <c r="Q581" s="200"/>
    </row>
    <row r="582" spans="1:17">
      <c r="A582" s="196"/>
      <c r="B582" s="196"/>
      <c r="C582" s="196"/>
      <c r="D582" s="19"/>
      <c r="E582" s="198"/>
      <c r="F582" s="196"/>
      <c r="G582" s="196"/>
      <c r="H582" s="199"/>
      <c r="I582" s="196"/>
      <c r="J582" s="198"/>
      <c r="K582" s="196"/>
      <c r="L582" s="196"/>
      <c r="M582" s="197"/>
      <c r="N582" s="192"/>
      <c r="O582" s="196"/>
      <c r="P582" s="196"/>
      <c r="Q582" s="200"/>
    </row>
    <row r="583" spans="1:17">
      <c r="A583" s="196"/>
      <c r="B583" s="196"/>
      <c r="C583" s="196"/>
      <c r="D583" s="19"/>
      <c r="E583" s="198"/>
      <c r="F583" s="196"/>
      <c r="G583" s="196"/>
      <c r="H583" s="199"/>
      <c r="I583" s="196"/>
      <c r="J583" s="198"/>
      <c r="K583" s="196"/>
      <c r="L583" s="196"/>
      <c r="M583" s="197"/>
      <c r="N583" s="192"/>
      <c r="O583" s="196"/>
      <c r="P583" s="196"/>
      <c r="Q583" s="200"/>
    </row>
    <row r="584" spans="1:17">
      <c r="A584" s="196"/>
      <c r="B584" s="196"/>
      <c r="C584" s="196"/>
      <c r="D584" s="19"/>
      <c r="E584" s="198"/>
      <c r="F584" s="196"/>
      <c r="G584" s="196"/>
      <c r="H584" s="199"/>
      <c r="I584" s="196"/>
      <c r="J584" s="198"/>
      <c r="K584" s="196"/>
      <c r="L584" s="196"/>
      <c r="M584" s="197"/>
      <c r="N584" s="192"/>
      <c r="O584" s="196"/>
      <c r="P584" s="196"/>
      <c r="Q584" s="200"/>
    </row>
    <row r="585" spans="1:17">
      <c r="A585" s="196"/>
      <c r="B585" s="196"/>
      <c r="C585" s="196"/>
      <c r="D585" s="19"/>
      <c r="E585" s="198"/>
      <c r="F585" s="196"/>
      <c r="G585" s="196"/>
      <c r="H585" s="199"/>
      <c r="I585" s="196"/>
      <c r="J585" s="198"/>
      <c r="K585" s="196"/>
      <c r="L585" s="196"/>
      <c r="M585" s="197"/>
      <c r="N585" s="192"/>
      <c r="O585" s="196"/>
      <c r="P585" s="196"/>
      <c r="Q585" s="200"/>
    </row>
    <row r="586" spans="1:17">
      <c r="A586" s="196"/>
      <c r="B586" s="196"/>
      <c r="C586" s="196"/>
      <c r="D586" s="19"/>
      <c r="E586" s="198"/>
      <c r="F586" s="196"/>
      <c r="G586" s="196"/>
      <c r="H586" s="199"/>
      <c r="I586" s="196"/>
      <c r="J586" s="198"/>
      <c r="K586" s="196"/>
      <c r="L586" s="196"/>
      <c r="M586" s="197"/>
      <c r="N586" s="192"/>
      <c r="O586" s="196"/>
      <c r="P586" s="196"/>
      <c r="Q586" s="200"/>
    </row>
    <row r="587" spans="1:17">
      <c r="A587" s="196"/>
      <c r="B587" s="196"/>
      <c r="C587" s="196"/>
      <c r="D587" s="19"/>
      <c r="E587" s="198"/>
      <c r="F587" s="196"/>
      <c r="G587" s="196"/>
      <c r="H587" s="199"/>
      <c r="I587" s="196"/>
      <c r="J587" s="198"/>
      <c r="K587" s="196"/>
      <c r="L587" s="196"/>
      <c r="M587" s="197"/>
      <c r="N587" s="192"/>
      <c r="O587" s="196"/>
      <c r="P587" s="196"/>
      <c r="Q587" s="200"/>
    </row>
    <row r="588" spans="1:17">
      <c r="A588" s="196"/>
      <c r="B588" s="196"/>
      <c r="C588" s="196"/>
      <c r="D588" s="19"/>
      <c r="E588" s="198"/>
      <c r="F588" s="196"/>
      <c r="G588" s="196"/>
      <c r="H588" s="199"/>
      <c r="I588" s="196"/>
      <c r="J588" s="198"/>
      <c r="K588" s="196"/>
      <c r="L588" s="196"/>
      <c r="M588" s="197"/>
      <c r="N588" s="192"/>
      <c r="O588" s="196"/>
      <c r="P588" s="196"/>
      <c r="Q588" s="200"/>
    </row>
    <row r="589" spans="1:17">
      <c r="A589" s="196"/>
      <c r="B589" s="196"/>
      <c r="C589" s="196"/>
      <c r="D589" s="19"/>
      <c r="E589" s="198"/>
      <c r="F589" s="196"/>
      <c r="G589" s="196"/>
      <c r="H589" s="199"/>
      <c r="I589" s="196"/>
      <c r="J589" s="198"/>
      <c r="K589" s="196"/>
      <c r="L589" s="196"/>
      <c r="M589" s="197"/>
      <c r="N589" s="192"/>
      <c r="O589" s="196"/>
      <c r="P589" s="196"/>
      <c r="Q589" s="200"/>
    </row>
    <row r="590" spans="1:17">
      <c r="A590" s="196"/>
      <c r="B590" s="196"/>
      <c r="C590" s="196"/>
      <c r="D590" s="19"/>
      <c r="E590" s="198"/>
      <c r="F590" s="196"/>
      <c r="G590" s="196"/>
      <c r="H590" s="199"/>
      <c r="I590" s="196"/>
      <c r="J590" s="198"/>
      <c r="K590" s="196"/>
      <c r="L590" s="196"/>
      <c r="M590" s="197"/>
      <c r="N590" s="192"/>
      <c r="O590" s="196"/>
      <c r="P590" s="196"/>
      <c r="Q590" s="200"/>
    </row>
    <row r="591" spans="1:17">
      <c r="A591" s="196"/>
      <c r="B591" s="196"/>
      <c r="C591" s="196"/>
      <c r="D591" s="19"/>
      <c r="E591" s="198"/>
      <c r="F591" s="196"/>
      <c r="G591" s="196"/>
      <c r="H591" s="199"/>
      <c r="I591" s="196"/>
      <c r="J591" s="198"/>
      <c r="K591" s="196"/>
      <c r="L591" s="196"/>
      <c r="M591" s="197"/>
      <c r="N591" s="192"/>
      <c r="O591" s="196"/>
      <c r="P591" s="196"/>
      <c r="Q591" s="200"/>
    </row>
    <row r="592" spans="1:17">
      <c r="A592" s="196"/>
      <c r="B592" s="196"/>
      <c r="C592" s="196"/>
      <c r="D592" s="19"/>
      <c r="E592" s="198"/>
      <c r="F592" s="196"/>
      <c r="G592" s="196"/>
      <c r="H592" s="199"/>
      <c r="I592" s="196"/>
      <c r="J592" s="198"/>
      <c r="K592" s="196"/>
      <c r="L592" s="196"/>
      <c r="M592" s="197"/>
      <c r="N592" s="192"/>
      <c r="O592" s="196"/>
      <c r="P592" s="196"/>
      <c r="Q592" s="200"/>
    </row>
    <row r="593" spans="1:17">
      <c r="A593" s="196"/>
      <c r="B593" s="196"/>
      <c r="C593" s="196"/>
      <c r="D593" s="19"/>
      <c r="E593" s="198"/>
      <c r="F593" s="196"/>
      <c r="G593" s="196"/>
      <c r="H593" s="199"/>
      <c r="I593" s="196"/>
      <c r="J593" s="198"/>
      <c r="K593" s="196"/>
      <c r="L593" s="196"/>
      <c r="M593" s="197"/>
      <c r="N593" s="192"/>
      <c r="O593" s="196"/>
      <c r="P593" s="196"/>
      <c r="Q593" s="200"/>
    </row>
    <row r="594" spans="1:17">
      <c r="A594" s="196"/>
      <c r="B594" s="196"/>
      <c r="C594" s="196"/>
      <c r="D594" s="19"/>
      <c r="E594" s="198"/>
      <c r="F594" s="196"/>
      <c r="G594" s="196"/>
      <c r="H594" s="199"/>
      <c r="I594" s="196"/>
      <c r="J594" s="198"/>
      <c r="K594" s="196"/>
      <c r="L594" s="196"/>
      <c r="M594" s="197"/>
      <c r="N594" s="192"/>
      <c r="O594" s="196"/>
      <c r="P594" s="196"/>
      <c r="Q594" s="200"/>
    </row>
    <row r="595" spans="1:17">
      <c r="A595" s="196"/>
      <c r="B595" s="196"/>
      <c r="C595" s="196"/>
      <c r="D595" s="19"/>
      <c r="E595" s="198"/>
      <c r="F595" s="196"/>
      <c r="G595" s="196"/>
      <c r="H595" s="199"/>
      <c r="I595" s="196"/>
      <c r="J595" s="198"/>
      <c r="K595" s="196"/>
      <c r="L595" s="196"/>
      <c r="M595" s="197"/>
      <c r="N595" s="192"/>
      <c r="O595" s="196"/>
      <c r="P595" s="196"/>
      <c r="Q595" s="200"/>
    </row>
    <row r="596" spans="1:17">
      <c r="A596" s="196"/>
      <c r="B596" s="196"/>
      <c r="C596" s="196"/>
      <c r="D596" s="19"/>
      <c r="E596" s="198"/>
      <c r="F596" s="196"/>
      <c r="G596" s="196"/>
      <c r="H596" s="199"/>
      <c r="I596" s="196"/>
      <c r="J596" s="198"/>
      <c r="K596" s="196"/>
      <c r="L596" s="196"/>
      <c r="M596" s="197"/>
      <c r="N596" s="192"/>
      <c r="O596" s="196"/>
      <c r="P596" s="196"/>
      <c r="Q596" s="200"/>
    </row>
    <row r="597" spans="1:17">
      <c r="A597" s="196"/>
      <c r="B597" s="196"/>
      <c r="C597" s="196"/>
      <c r="D597" s="19"/>
      <c r="E597" s="198"/>
      <c r="F597" s="196"/>
      <c r="G597" s="196"/>
      <c r="H597" s="199"/>
      <c r="I597" s="196"/>
      <c r="J597" s="198"/>
      <c r="K597" s="196"/>
      <c r="L597" s="196"/>
      <c r="M597" s="197"/>
      <c r="N597" s="192"/>
      <c r="O597" s="196"/>
      <c r="P597" s="196"/>
      <c r="Q597" s="200"/>
    </row>
    <row r="598" spans="1:17">
      <c r="A598" s="196"/>
      <c r="B598" s="196"/>
      <c r="C598" s="196"/>
      <c r="D598" s="19"/>
      <c r="E598" s="198"/>
      <c r="F598" s="196"/>
      <c r="G598" s="196"/>
      <c r="H598" s="199"/>
      <c r="I598" s="196"/>
      <c r="J598" s="198"/>
      <c r="K598" s="196"/>
      <c r="L598" s="196"/>
      <c r="M598" s="197"/>
      <c r="N598" s="192"/>
      <c r="O598" s="196"/>
      <c r="P598" s="196"/>
      <c r="Q598" s="200"/>
    </row>
    <row r="599" spans="1:17">
      <c r="A599" s="196"/>
      <c r="B599" s="196"/>
      <c r="C599" s="196"/>
      <c r="D599" s="19"/>
      <c r="E599" s="198"/>
      <c r="F599" s="196"/>
      <c r="G599" s="196"/>
      <c r="H599" s="199"/>
      <c r="I599" s="196"/>
      <c r="J599" s="198"/>
      <c r="K599" s="196"/>
      <c r="L599" s="196"/>
      <c r="M599" s="197"/>
      <c r="N599" s="192"/>
      <c r="O599" s="196"/>
      <c r="P599" s="196"/>
      <c r="Q599" s="200"/>
    </row>
    <row r="600" spans="1:17">
      <c r="A600" s="196"/>
      <c r="B600" s="196"/>
      <c r="C600" s="196"/>
      <c r="D600" s="19"/>
      <c r="E600" s="198"/>
      <c r="F600" s="196"/>
      <c r="G600" s="196"/>
      <c r="H600" s="199"/>
      <c r="I600" s="196"/>
      <c r="J600" s="198"/>
      <c r="K600" s="196"/>
      <c r="L600" s="196"/>
      <c r="M600" s="197"/>
      <c r="N600" s="192"/>
      <c r="O600" s="196"/>
      <c r="P600" s="196"/>
      <c r="Q600" s="200"/>
    </row>
    <row r="601" spans="1:17">
      <c r="A601" s="196"/>
      <c r="B601" s="196"/>
      <c r="C601" s="196"/>
      <c r="D601" s="19"/>
      <c r="E601" s="198"/>
      <c r="F601" s="196"/>
      <c r="G601" s="196"/>
      <c r="H601" s="199"/>
      <c r="I601" s="196"/>
      <c r="J601" s="198"/>
      <c r="K601" s="196"/>
      <c r="L601" s="196"/>
      <c r="M601" s="197"/>
      <c r="N601" s="192"/>
      <c r="O601" s="196"/>
      <c r="P601" s="196"/>
      <c r="Q601" s="200"/>
    </row>
    <row r="602" spans="1:17">
      <c r="A602" s="196"/>
      <c r="B602" s="196"/>
      <c r="C602" s="196"/>
      <c r="D602" s="19"/>
      <c r="E602" s="198"/>
      <c r="F602" s="196"/>
      <c r="G602" s="196"/>
      <c r="H602" s="199"/>
      <c r="I602" s="196"/>
      <c r="J602" s="198"/>
      <c r="K602" s="196"/>
      <c r="L602" s="196"/>
      <c r="M602" s="197"/>
      <c r="N602" s="192"/>
      <c r="O602" s="196"/>
      <c r="P602" s="196"/>
      <c r="Q602" s="200"/>
    </row>
    <row r="603" spans="1:17">
      <c r="A603" s="196"/>
      <c r="B603" s="196"/>
      <c r="C603" s="196"/>
      <c r="D603" s="19"/>
      <c r="E603" s="198"/>
      <c r="F603" s="196"/>
      <c r="G603" s="196"/>
      <c r="H603" s="199"/>
      <c r="I603" s="196"/>
      <c r="J603" s="198"/>
      <c r="K603" s="196"/>
      <c r="L603" s="196"/>
      <c r="M603" s="197"/>
      <c r="N603" s="192"/>
      <c r="O603" s="196"/>
      <c r="P603" s="196"/>
      <c r="Q603" s="200"/>
    </row>
    <row r="604" spans="1:17">
      <c r="A604" s="196"/>
      <c r="B604" s="196"/>
      <c r="C604" s="196"/>
      <c r="D604" s="19"/>
      <c r="E604" s="198"/>
      <c r="F604" s="196"/>
      <c r="G604" s="196"/>
      <c r="H604" s="199"/>
      <c r="I604" s="196"/>
      <c r="J604" s="198"/>
      <c r="K604" s="196"/>
      <c r="L604" s="196"/>
      <c r="M604" s="197"/>
      <c r="N604" s="192"/>
      <c r="O604" s="196"/>
      <c r="P604" s="196"/>
      <c r="Q604" s="200"/>
    </row>
    <row r="605" spans="1:17">
      <c r="A605" s="196"/>
      <c r="B605" s="196"/>
      <c r="C605" s="196"/>
      <c r="D605" s="19"/>
      <c r="E605" s="198"/>
      <c r="F605" s="196"/>
      <c r="G605" s="196"/>
      <c r="H605" s="199"/>
      <c r="I605" s="196"/>
      <c r="J605" s="198"/>
      <c r="K605" s="196"/>
      <c r="L605" s="196"/>
      <c r="M605" s="197"/>
      <c r="N605" s="192"/>
      <c r="O605" s="196"/>
      <c r="P605" s="196"/>
      <c r="Q605" s="200"/>
    </row>
    <row r="606" spans="1:17">
      <c r="A606" s="196"/>
      <c r="B606" s="196"/>
      <c r="C606" s="196"/>
      <c r="D606" s="19"/>
      <c r="E606" s="198"/>
      <c r="F606" s="196"/>
      <c r="G606" s="196"/>
      <c r="H606" s="199"/>
      <c r="I606" s="196"/>
      <c r="J606" s="198"/>
      <c r="K606" s="196"/>
      <c r="L606" s="196"/>
      <c r="M606" s="197"/>
      <c r="N606" s="192"/>
      <c r="O606" s="196"/>
      <c r="P606" s="196"/>
      <c r="Q606" s="200"/>
    </row>
    <row r="607" spans="1:17">
      <c r="A607" s="196"/>
      <c r="B607" s="196"/>
      <c r="C607" s="196"/>
      <c r="D607" s="19"/>
      <c r="E607" s="198"/>
      <c r="F607" s="196"/>
      <c r="G607" s="196"/>
      <c r="H607" s="199"/>
      <c r="I607" s="196"/>
      <c r="J607" s="198"/>
      <c r="K607" s="196"/>
      <c r="L607" s="196"/>
      <c r="M607" s="197"/>
      <c r="N607" s="192"/>
      <c r="O607" s="196"/>
      <c r="P607" s="196"/>
      <c r="Q607" s="200"/>
    </row>
    <row r="608" spans="1:17">
      <c r="A608" s="196"/>
      <c r="B608" s="196"/>
      <c r="C608" s="196"/>
      <c r="D608" s="19"/>
      <c r="E608" s="198"/>
      <c r="F608" s="196"/>
      <c r="G608" s="196"/>
      <c r="H608" s="199"/>
      <c r="I608" s="196"/>
      <c r="J608" s="198"/>
      <c r="K608" s="196"/>
      <c r="L608" s="196"/>
      <c r="M608" s="197"/>
      <c r="N608" s="192"/>
      <c r="O608" s="196"/>
      <c r="P608" s="196"/>
      <c r="Q608" s="200"/>
    </row>
    <row r="609" spans="1:17">
      <c r="A609" s="196"/>
      <c r="B609" s="196"/>
      <c r="C609" s="196"/>
      <c r="D609" s="19"/>
      <c r="E609" s="198"/>
      <c r="F609" s="196"/>
      <c r="G609" s="196"/>
      <c r="H609" s="199"/>
      <c r="I609" s="196"/>
      <c r="J609" s="198"/>
      <c r="K609" s="196"/>
      <c r="L609" s="196"/>
      <c r="M609" s="197"/>
      <c r="N609" s="192"/>
      <c r="O609" s="196"/>
      <c r="P609" s="196"/>
      <c r="Q609" s="200"/>
    </row>
    <row r="610" spans="1:17">
      <c r="A610" s="196"/>
      <c r="B610" s="196"/>
      <c r="C610" s="196"/>
      <c r="D610" s="19"/>
      <c r="E610" s="198"/>
      <c r="F610" s="196"/>
      <c r="G610" s="196"/>
      <c r="H610" s="199"/>
      <c r="I610" s="196"/>
      <c r="J610" s="198"/>
      <c r="K610" s="196"/>
      <c r="L610" s="196"/>
      <c r="M610" s="197"/>
      <c r="N610" s="192"/>
      <c r="O610" s="196"/>
      <c r="P610" s="196"/>
      <c r="Q610" s="200"/>
    </row>
    <row r="611" spans="1:17">
      <c r="A611" s="196"/>
      <c r="B611" s="196"/>
      <c r="C611" s="196"/>
      <c r="D611" s="19"/>
      <c r="E611" s="198"/>
      <c r="F611" s="196"/>
      <c r="G611" s="196"/>
      <c r="H611" s="199"/>
      <c r="I611" s="196"/>
      <c r="J611" s="198"/>
      <c r="K611" s="196"/>
      <c r="L611" s="196"/>
      <c r="M611" s="197"/>
      <c r="N611" s="192"/>
      <c r="O611" s="196"/>
      <c r="P611" s="196"/>
      <c r="Q611" s="200"/>
    </row>
    <row r="612" spans="1:17">
      <c r="A612" s="196"/>
      <c r="B612" s="196"/>
      <c r="C612" s="196"/>
      <c r="D612" s="19"/>
      <c r="E612" s="198"/>
      <c r="F612" s="196"/>
      <c r="G612" s="196"/>
      <c r="H612" s="199"/>
      <c r="I612" s="196"/>
      <c r="J612" s="198"/>
      <c r="K612" s="196"/>
      <c r="L612" s="196"/>
      <c r="M612" s="197"/>
      <c r="N612" s="192"/>
      <c r="O612" s="196"/>
      <c r="P612" s="196"/>
      <c r="Q612" s="200"/>
    </row>
    <row r="613" spans="1:17">
      <c r="A613" s="196"/>
      <c r="B613" s="196"/>
      <c r="C613" s="196"/>
      <c r="D613" s="19"/>
      <c r="E613" s="198"/>
      <c r="F613" s="196"/>
      <c r="G613" s="196"/>
      <c r="H613" s="199"/>
      <c r="I613" s="196"/>
      <c r="J613" s="198"/>
      <c r="K613" s="196"/>
      <c r="L613" s="196"/>
      <c r="M613" s="197"/>
      <c r="N613" s="192"/>
      <c r="O613" s="196"/>
      <c r="P613" s="196"/>
      <c r="Q613" s="200"/>
    </row>
    <row r="614" spans="1:17">
      <c r="A614" s="196"/>
      <c r="B614" s="196"/>
      <c r="C614" s="196"/>
      <c r="D614" s="19"/>
      <c r="E614" s="198"/>
      <c r="F614" s="196"/>
      <c r="G614" s="196"/>
      <c r="H614" s="199"/>
      <c r="I614" s="196"/>
      <c r="J614" s="198"/>
      <c r="K614" s="196"/>
      <c r="L614" s="196"/>
      <c r="M614" s="197"/>
      <c r="N614" s="192"/>
      <c r="O614" s="196"/>
      <c r="P614" s="196"/>
      <c r="Q614" s="200"/>
    </row>
    <row r="615" spans="1:17">
      <c r="A615" s="196"/>
      <c r="B615" s="196"/>
      <c r="C615" s="196"/>
      <c r="D615" s="19"/>
      <c r="E615" s="198"/>
      <c r="F615" s="196"/>
      <c r="G615" s="196"/>
      <c r="H615" s="199"/>
      <c r="I615" s="196"/>
      <c r="J615" s="198"/>
      <c r="K615" s="196"/>
      <c r="L615" s="196"/>
      <c r="M615" s="197"/>
      <c r="N615" s="192"/>
      <c r="O615" s="196"/>
      <c r="P615" s="196"/>
      <c r="Q615" s="200"/>
    </row>
    <row r="616" spans="1:17">
      <c r="A616" s="196"/>
      <c r="B616" s="196"/>
      <c r="C616" s="196"/>
      <c r="D616" s="19"/>
      <c r="E616" s="198"/>
      <c r="F616" s="196"/>
      <c r="G616" s="196"/>
      <c r="H616" s="199"/>
      <c r="I616" s="196"/>
      <c r="J616" s="198"/>
      <c r="K616" s="196"/>
      <c r="L616" s="196"/>
      <c r="M616" s="197"/>
      <c r="N616" s="192"/>
      <c r="O616" s="196"/>
      <c r="P616" s="196"/>
      <c r="Q616" s="200"/>
    </row>
    <row r="617" spans="1:17">
      <c r="A617" s="196"/>
      <c r="B617" s="196"/>
      <c r="C617" s="196"/>
      <c r="D617" s="19"/>
      <c r="E617" s="198"/>
      <c r="F617" s="196"/>
      <c r="G617" s="196"/>
      <c r="H617" s="199"/>
      <c r="I617" s="196"/>
      <c r="J617" s="198"/>
      <c r="K617" s="196"/>
      <c r="L617" s="196"/>
      <c r="M617" s="197"/>
      <c r="N617" s="192"/>
      <c r="O617" s="196"/>
      <c r="P617" s="196"/>
      <c r="Q617" s="200"/>
    </row>
    <row r="618" spans="1:17">
      <c r="A618" s="196"/>
      <c r="B618" s="196"/>
      <c r="C618" s="196"/>
      <c r="D618" s="19"/>
      <c r="E618" s="198"/>
      <c r="F618" s="196"/>
      <c r="G618" s="196"/>
      <c r="H618" s="199"/>
      <c r="I618" s="196"/>
      <c r="J618" s="198"/>
      <c r="K618" s="196"/>
      <c r="L618" s="196"/>
      <c r="M618" s="197"/>
      <c r="N618" s="192"/>
      <c r="O618" s="196"/>
      <c r="P618" s="196"/>
      <c r="Q618" s="200"/>
    </row>
    <row r="619" spans="1:17">
      <c r="A619" s="196"/>
      <c r="B619" s="196"/>
      <c r="C619" s="196"/>
      <c r="D619" s="19"/>
      <c r="E619" s="198"/>
      <c r="F619" s="196"/>
      <c r="G619" s="196"/>
      <c r="H619" s="199"/>
      <c r="I619" s="196"/>
      <c r="J619" s="198"/>
      <c r="K619" s="196"/>
      <c r="L619" s="196"/>
      <c r="M619" s="197"/>
      <c r="N619" s="192"/>
      <c r="O619" s="196"/>
      <c r="P619" s="196"/>
      <c r="Q619" s="200"/>
    </row>
    <row r="620" spans="1:17">
      <c r="A620" s="196"/>
      <c r="B620" s="196"/>
      <c r="C620" s="196"/>
      <c r="D620" s="19"/>
      <c r="E620" s="198"/>
      <c r="F620" s="196"/>
      <c r="G620" s="196"/>
      <c r="H620" s="199"/>
      <c r="I620" s="196"/>
      <c r="J620" s="198"/>
      <c r="K620" s="196"/>
      <c r="L620" s="196"/>
      <c r="M620" s="197"/>
      <c r="N620" s="192"/>
      <c r="O620" s="196"/>
      <c r="P620" s="196"/>
      <c r="Q620" s="200"/>
    </row>
    <row r="621" spans="1:17">
      <c r="A621" s="196"/>
      <c r="B621" s="196"/>
      <c r="C621" s="196"/>
      <c r="D621" s="19"/>
      <c r="E621" s="198"/>
      <c r="F621" s="196"/>
      <c r="G621" s="196"/>
      <c r="H621" s="199"/>
      <c r="I621" s="196"/>
      <c r="J621" s="198"/>
      <c r="K621" s="196"/>
      <c r="L621" s="196"/>
      <c r="M621" s="197"/>
      <c r="N621" s="192"/>
      <c r="O621" s="196"/>
      <c r="P621" s="196"/>
      <c r="Q621" s="200"/>
    </row>
    <row r="622" spans="1:17">
      <c r="A622" s="196"/>
      <c r="B622" s="196"/>
      <c r="C622" s="196"/>
      <c r="D622" s="19"/>
      <c r="E622" s="198"/>
      <c r="F622" s="196"/>
      <c r="G622" s="196"/>
      <c r="H622" s="199"/>
      <c r="I622" s="196"/>
      <c r="J622" s="198"/>
      <c r="K622" s="196"/>
      <c r="L622" s="196"/>
      <c r="M622" s="197"/>
      <c r="N622" s="192"/>
      <c r="O622" s="196"/>
      <c r="P622" s="196"/>
      <c r="Q622" s="200"/>
    </row>
    <row r="623" spans="1:17">
      <c r="A623" s="196"/>
      <c r="B623" s="196"/>
      <c r="C623" s="196"/>
      <c r="D623" s="19"/>
      <c r="E623" s="198"/>
      <c r="F623" s="196"/>
      <c r="G623" s="196"/>
      <c r="H623" s="199"/>
      <c r="I623" s="196"/>
      <c r="J623" s="198"/>
      <c r="K623" s="196"/>
      <c r="L623" s="196"/>
      <c r="M623" s="197"/>
      <c r="N623" s="192"/>
      <c r="O623" s="196"/>
      <c r="P623" s="196"/>
      <c r="Q623" s="200"/>
    </row>
    <row r="624" spans="1:17">
      <c r="A624" s="196"/>
      <c r="B624" s="196"/>
      <c r="C624" s="196"/>
      <c r="D624" s="19"/>
      <c r="E624" s="198"/>
      <c r="F624" s="196"/>
      <c r="G624" s="196"/>
      <c r="H624" s="199"/>
      <c r="I624" s="196"/>
      <c r="J624" s="198"/>
      <c r="K624" s="196"/>
      <c r="L624" s="196"/>
      <c r="M624" s="197"/>
      <c r="N624" s="192"/>
      <c r="O624" s="196"/>
      <c r="P624" s="196"/>
      <c r="Q624" s="200"/>
    </row>
    <row r="625" spans="1:17">
      <c r="A625" s="196"/>
      <c r="B625" s="196"/>
      <c r="C625" s="196"/>
      <c r="D625" s="19"/>
      <c r="E625" s="198"/>
      <c r="F625" s="196"/>
      <c r="G625" s="196"/>
      <c r="H625" s="199"/>
      <c r="I625" s="196"/>
      <c r="J625" s="198"/>
      <c r="K625" s="196"/>
      <c r="L625" s="196"/>
      <c r="M625" s="197"/>
      <c r="N625" s="192"/>
      <c r="O625" s="196"/>
      <c r="P625" s="196"/>
      <c r="Q625" s="200"/>
    </row>
    <row r="626" spans="1:17">
      <c r="A626" s="196"/>
      <c r="B626" s="196"/>
      <c r="C626" s="196"/>
      <c r="D626" s="19"/>
      <c r="E626" s="198"/>
      <c r="F626" s="196"/>
      <c r="G626" s="196"/>
      <c r="H626" s="199"/>
      <c r="I626" s="196"/>
      <c r="J626" s="198"/>
      <c r="K626" s="196"/>
      <c r="L626" s="196"/>
      <c r="M626" s="197"/>
      <c r="N626" s="192"/>
      <c r="O626" s="196"/>
      <c r="P626" s="196"/>
      <c r="Q626" s="200"/>
    </row>
    <row r="627" spans="1:17">
      <c r="A627" s="196"/>
      <c r="B627" s="196"/>
      <c r="C627" s="196"/>
      <c r="D627" s="19"/>
      <c r="E627" s="198"/>
      <c r="F627" s="196"/>
      <c r="G627" s="196"/>
      <c r="H627" s="199"/>
      <c r="I627" s="196"/>
      <c r="J627" s="198"/>
      <c r="K627" s="196"/>
      <c r="L627" s="196"/>
      <c r="M627" s="197"/>
      <c r="N627" s="192"/>
      <c r="O627" s="196"/>
      <c r="P627" s="196"/>
      <c r="Q627" s="200"/>
    </row>
    <row r="628" spans="1:17">
      <c r="A628" s="196"/>
      <c r="B628" s="196"/>
      <c r="C628" s="196"/>
      <c r="D628" s="19"/>
      <c r="E628" s="198"/>
      <c r="F628" s="196"/>
      <c r="G628" s="196"/>
      <c r="H628" s="199"/>
      <c r="I628" s="196"/>
      <c r="J628" s="198"/>
      <c r="K628" s="196"/>
      <c r="L628" s="196"/>
      <c r="M628" s="197"/>
      <c r="N628" s="192"/>
      <c r="O628" s="196"/>
      <c r="P628" s="196"/>
      <c r="Q628" s="200"/>
    </row>
    <row r="629" spans="1:17">
      <c r="A629" s="196"/>
      <c r="B629" s="196"/>
      <c r="C629" s="196"/>
      <c r="D629" s="19"/>
      <c r="E629" s="198"/>
      <c r="F629" s="196"/>
      <c r="G629" s="196"/>
      <c r="H629" s="199"/>
      <c r="I629" s="196"/>
      <c r="J629" s="198"/>
      <c r="K629" s="196"/>
      <c r="L629" s="196"/>
      <c r="M629" s="197"/>
      <c r="N629" s="192"/>
      <c r="O629" s="196"/>
      <c r="P629" s="196"/>
      <c r="Q629" s="200"/>
    </row>
    <row r="630" spans="1:17">
      <c r="A630" s="196"/>
      <c r="B630" s="196"/>
      <c r="C630" s="196"/>
      <c r="D630" s="19"/>
      <c r="E630" s="198"/>
      <c r="F630" s="196"/>
      <c r="G630" s="196"/>
      <c r="H630" s="199"/>
      <c r="I630" s="196"/>
      <c r="J630" s="198"/>
      <c r="K630" s="196"/>
      <c r="L630" s="196"/>
      <c r="M630" s="197"/>
      <c r="N630" s="192"/>
      <c r="O630" s="196"/>
      <c r="P630" s="196"/>
      <c r="Q630" s="200"/>
    </row>
    <row r="631" spans="1:17">
      <c r="A631" s="196"/>
      <c r="B631" s="196"/>
      <c r="C631" s="196"/>
      <c r="D631" s="19"/>
      <c r="E631" s="198"/>
      <c r="F631" s="196"/>
      <c r="G631" s="196"/>
      <c r="H631" s="199"/>
      <c r="I631" s="196"/>
      <c r="J631" s="198"/>
      <c r="K631" s="196"/>
      <c r="L631" s="196"/>
      <c r="M631" s="197"/>
      <c r="N631" s="192"/>
      <c r="O631" s="196"/>
      <c r="P631" s="196"/>
      <c r="Q631" s="200"/>
    </row>
    <row r="632" spans="1:17">
      <c r="A632" s="196"/>
      <c r="B632" s="196"/>
      <c r="C632" s="196"/>
      <c r="D632" s="19"/>
      <c r="E632" s="198"/>
      <c r="F632" s="196"/>
      <c r="G632" s="196"/>
      <c r="H632" s="199"/>
      <c r="I632" s="196"/>
      <c r="J632" s="198"/>
      <c r="K632" s="196"/>
      <c r="L632" s="196"/>
      <c r="M632" s="197"/>
      <c r="N632" s="192"/>
      <c r="O632" s="196"/>
      <c r="P632" s="196"/>
      <c r="Q632" s="200"/>
    </row>
    <row r="633" spans="1:17">
      <c r="A633" s="196"/>
      <c r="B633" s="196"/>
      <c r="C633" s="196"/>
      <c r="D633" s="19"/>
      <c r="E633" s="198"/>
      <c r="F633" s="196"/>
      <c r="G633" s="196"/>
      <c r="H633" s="199"/>
      <c r="I633" s="196"/>
      <c r="J633" s="198"/>
      <c r="K633" s="196"/>
      <c r="L633" s="196"/>
      <c r="M633" s="197"/>
      <c r="N633" s="192"/>
      <c r="O633" s="196"/>
      <c r="P633" s="196"/>
      <c r="Q633" s="200"/>
    </row>
    <row r="634" spans="1:17">
      <c r="A634" s="196"/>
      <c r="B634" s="196"/>
      <c r="C634" s="196"/>
      <c r="D634" s="19"/>
      <c r="E634" s="198"/>
      <c r="F634" s="196"/>
      <c r="G634" s="196"/>
      <c r="H634" s="199"/>
      <c r="I634" s="196"/>
      <c r="J634" s="198"/>
      <c r="K634" s="196"/>
      <c r="L634" s="196"/>
      <c r="M634" s="197"/>
      <c r="N634" s="192"/>
      <c r="O634" s="196"/>
      <c r="P634" s="196"/>
      <c r="Q634" s="200"/>
    </row>
    <row r="635" spans="1:17">
      <c r="A635" s="196"/>
      <c r="B635" s="196"/>
      <c r="C635" s="196"/>
      <c r="D635" s="19"/>
      <c r="E635" s="198"/>
      <c r="F635" s="196"/>
      <c r="G635" s="196"/>
      <c r="H635" s="199"/>
      <c r="I635" s="196"/>
      <c r="J635" s="198"/>
      <c r="K635" s="196"/>
      <c r="L635" s="196"/>
      <c r="M635" s="197"/>
      <c r="N635" s="192"/>
      <c r="O635" s="196"/>
      <c r="P635" s="196"/>
      <c r="Q635" s="200"/>
    </row>
    <row r="636" spans="1:17">
      <c r="A636" s="196"/>
      <c r="B636" s="196"/>
      <c r="C636" s="196"/>
      <c r="D636" s="19"/>
      <c r="E636" s="198"/>
      <c r="F636" s="196"/>
      <c r="G636" s="196"/>
      <c r="H636" s="199"/>
      <c r="I636" s="196"/>
      <c r="J636" s="198"/>
      <c r="K636" s="196"/>
      <c r="L636" s="196"/>
      <c r="M636" s="197"/>
      <c r="N636" s="192"/>
      <c r="O636" s="196"/>
      <c r="P636" s="196"/>
      <c r="Q636" s="200"/>
    </row>
    <row r="637" spans="1:17">
      <c r="A637" s="196"/>
      <c r="B637" s="196"/>
      <c r="C637" s="196"/>
      <c r="D637" s="19"/>
      <c r="E637" s="198"/>
      <c r="F637" s="196"/>
      <c r="G637" s="196"/>
      <c r="H637" s="199"/>
      <c r="I637" s="196"/>
      <c r="J637" s="198"/>
      <c r="K637" s="196"/>
      <c r="L637" s="196"/>
      <c r="M637" s="197"/>
      <c r="N637" s="192"/>
      <c r="O637" s="196"/>
      <c r="P637" s="196"/>
      <c r="Q637" s="200"/>
    </row>
    <row r="638" spans="1:17">
      <c r="A638" s="196"/>
      <c r="B638" s="196"/>
      <c r="C638" s="196"/>
      <c r="D638" s="19"/>
      <c r="E638" s="198"/>
      <c r="F638" s="196"/>
      <c r="G638" s="196"/>
      <c r="H638" s="199"/>
      <c r="I638" s="196"/>
      <c r="J638" s="198"/>
      <c r="K638" s="196"/>
      <c r="L638" s="196"/>
      <c r="M638" s="197"/>
      <c r="N638" s="192"/>
      <c r="O638" s="196"/>
      <c r="P638" s="196"/>
      <c r="Q638" s="200"/>
    </row>
    <row r="639" spans="1:17">
      <c r="A639" s="196"/>
      <c r="B639" s="196"/>
      <c r="C639" s="196"/>
      <c r="D639" s="19"/>
      <c r="E639" s="198"/>
      <c r="F639" s="196"/>
      <c r="G639" s="196"/>
      <c r="H639" s="199"/>
      <c r="I639" s="196"/>
      <c r="J639" s="198"/>
      <c r="K639" s="196"/>
      <c r="L639" s="196"/>
      <c r="M639" s="197"/>
      <c r="N639" s="192"/>
      <c r="O639" s="196"/>
      <c r="P639" s="196"/>
      <c r="Q639" s="200"/>
    </row>
    <row r="640" spans="1:17">
      <c r="A640" s="196"/>
      <c r="B640" s="196"/>
      <c r="C640" s="196"/>
      <c r="D640" s="19"/>
      <c r="E640" s="198"/>
      <c r="F640" s="196"/>
      <c r="G640" s="196"/>
      <c r="H640" s="199"/>
      <c r="I640" s="196"/>
      <c r="J640" s="198"/>
      <c r="K640" s="196"/>
      <c r="L640" s="196"/>
      <c r="M640" s="197"/>
      <c r="N640" s="192"/>
      <c r="O640" s="196"/>
      <c r="P640" s="196"/>
      <c r="Q640" s="200"/>
    </row>
    <row r="641" spans="1:17">
      <c r="A641" s="196"/>
      <c r="B641" s="196"/>
      <c r="C641" s="196"/>
      <c r="D641" s="19"/>
      <c r="E641" s="198"/>
      <c r="F641" s="196"/>
      <c r="G641" s="196"/>
      <c r="H641" s="199"/>
      <c r="I641" s="196"/>
      <c r="J641" s="198"/>
      <c r="K641" s="196"/>
      <c r="L641" s="196"/>
      <c r="M641" s="197"/>
      <c r="N641" s="192"/>
      <c r="O641" s="196"/>
      <c r="P641" s="196"/>
      <c r="Q641" s="200"/>
    </row>
    <row r="642" spans="1:17">
      <c r="A642" s="196"/>
      <c r="B642" s="196"/>
      <c r="C642" s="196"/>
      <c r="D642" s="19"/>
      <c r="E642" s="198"/>
      <c r="F642" s="196"/>
      <c r="G642" s="196"/>
      <c r="H642" s="199"/>
      <c r="I642" s="196"/>
      <c r="J642" s="198"/>
      <c r="K642" s="196"/>
      <c r="L642" s="196"/>
      <c r="M642" s="197"/>
      <c r="N642" s="192"/>
      <c r="O642" s="196"/>
      <c r="P642" s="196"/>
      <c r="Q642" s="200"/>
    </row>
    <row r="643" spans="1:17">
      <c r="A643" s="196"/>
      <c r="B643" s="196"/>
      <c r="C643" s="196"/>
      <c r="D643" s="19"/>
      <c r="E643" s="198"/>
      <c r="F643" s="196"/>
      <c r="G643" s="196"/>
      <c r="H643" s="199"/>
      <c r="I643" s="196"/>
      <c r="J643" s="198"/>
      <c r="K643" s="196"/>
      <c r="L643" s="196"/>
      <c r="M643" s="197"/>
      <c r="N643" s="192"/>
      <c r="O643" s="196"/>
      <c r="P643" s="196"/>
      <c r="Q643" s="200"/>
    </row>
    <row r="644" spans="1:17">
      <c r="A644" s="196"/>
      <c r="B644" s="196"/>
      <c r="C644" s="196"/>
      <c r="D644" s="19"/>
      <c r="E644" s="198"/>
      <c r="F644" s="196"/>
      <c r="G644" s="196"/>
      <c r="H644" s="199"/>
      <c r="I644" s="196"/>
      <c r="J644" s="198"/>
      <c r="K644" s="196"/>
      <c r="L644" s="196"/>
      <c r="M644" s="197"/>
      <c r="N644" s="192"/>
      <c r="O644" s="196"/>
      <c r="P644" s="196"/>
      <c r="Q644" s="200"/>
    </row>
    <row r="645" spans="1:17">
      <c r="A645" s="196"/>
      <c r="B645" s="196"/>
      <c r="C645" s="196"/>
      <c r="D645" s="19"/>
      <c r="E645" s="198"/>
      <c r="F645" s="196"/>
      <c r="G645" s="196"/>
      <c r="H645" s="199"/>
      <c r="I645" s="196"/>
      <c r="J645" s="198"/>
      <c r="K645" s="196"/>
      <c r="L645" s="196"/>
      <c r="M645" s="197"/>
      <c r="N645" s="192"/>
      <c r="O645" s="196"/>
      <c r="P645" s="196"/>
      <c r="Q645" s="200"/>
    </row>
    <row r="646" spans="1:17">
      <c r="A646" s="196"/>
      <c r="B646" s="196"/>
      <c r="C646" s="196"/>
      <c r="D646" s="19"/>
      <c r="E646" s="198"/>
      <c r="F646" s="196"/>
      <c r="G646" s="196"/>
      <c r="H646" s="199"/>
      <c r="I646" s="196"/>
      <c r="J646" s="198"/>
      <c r="K646" s="196"/>
      <c r="L646" s="196"/>
      <c r="M646" s="197"/>
      <c r="N646" s="192"/>
      <c r="O646" s="196"/>
      <c r="P646" s="196"/>
      <c r="Q646" s="200"/>
    </row>
    <row r="647" spans="1:17">
      <c r="A647" s="196"/>
      <c r="B647" s="196"/>
      <c r="C647" s="196"/>
      <c r="D647" s="19"/>
      <c r="E647" s="198"/>
      <c r="F647" s="196"/>
      <c r="G647" s="196"/>
      <c r="H647" s="199"/>
      <c r="I647" s="196"/>
      <c r="J647" s="198"/>
      <c r="K647" s="196"/>
      <c r="L647" s="196"/>
      <c r="M647" s="197"/>
      <c r="N647" s="192"/>
      <c r="O647" s="196"/>
      <c r="P647" s="196"/>
      <c r="Q647" s="200"/>
    </row>
    <row r="648" spans="1:17">
      <c r="A648" s="196"/>
      <c r="B648" s="196"/>
      <c r="C648" s="196"/>
      <c r="D648" s="19"/>
      <c r="E648" s="198"/>
      <c r="F648" s="196"/>
      <c r="G648" s="196"/>
      <c r="H648" s="199"/>
      <c r="I648" s="196"/>
      <c r="J648" s="198"/>
      <c r="K648" s="196"/>
      <c r="L648" s="196"/>
      <c r="M648" s="197"/>
      <c r="N648" s="192"/>
      <c r="O648" s="196"/>
      <c r="P648" s="196"/>
      <c r="Q648" s="200"/>
    </row>
    <row r="649" spans="1:17">
      <c r="A649" s="196"/>
      <c r="B649" s="196"/>
      <c r="C649" s="196"/>
      <c r="D649" s="19"/>
      <c r="E649" s="198"/>
      <c r="F649" s="196"/>
      <c r="G649" s="196"/>
      <c r="H649" s="199"/>
      <c r="I649" s="196"/>
      <c r="J649" s="198"/>
      <c r="K649" s="196"/>
      <c r="L649" s="196"/>
      <c r="M649" s="197"/>
      <c r="N649" s="192"/>
      <c r="O649" s="196"/>
      <c r="P649" s="196"/>
      <c r="Q649" s="200"/>
    </row>
    <row r="650" spans="1:17">
      <c r="A650" s="196"/>
      <c r="B650" s="196"/>
      <c r="C650" s="196"/>
      <c r="D650" s="19"/>
      <c r="E650" s="198"/>
      <c r="F650" s="196"/>
      <c r="G650" s="196"/>
      <c r="H650" s="199"/>
      <c r="I650" s="196"/>
      <c r="J650" s="198"/>
      <c r="K650" s="196"/>
      <c r="L650" s="196"/>
      <c r="M650" s="197"/>
      <c r="N650" s="192"/>
      <c r="O650" s="196"/>
      <c r="P650" s="196"/>
      <c r="Q650" s="200"/>
    </row>
    <row r="651" spans="1:17">
      <c r="A651" s="196"/>
      <c r="B651" s="196"/>
      <c r="C651" s="196"/>
      <c r="D651" s="19"/>
      <c r="E651" s="198"/>
      <c r="F651" s="196"/>
      <c r="G651" s="196"/>
      <c r="H651" s="199"/>
      <c r="I651" s="196"/>
      <c r="J651" s="198"/>
      <c r="K651" s="196"/>
      <c r="L651" s="196"/>
      <c r="M651" s="197"/>
      <c r="N651" s="192"/>
      <c r="O651" s="196"/>
      <c r="P651" s="196"/>
      <c r="Q651" s="200"/>
    </row>
    <row r="652" spans="1:17">
      <c r="A652" s="196"/>
      <c r="B652" s="196"/>
      <c r="C652" s="196"/>
      <c r="D652" s="19"/>
      <c r="E652" s="198"/>
      <c r="F652" s="196"/>
      <c r="G652" s="196"/>
      <c r="H652" s="199"/>
      <c r="I652" s="196"/>
      <c r="J652" s="198"/>
      <c r="K652" s="196"/>
      <c r="L652" s="196"/>
      <c r="M652" s="197"/>
      <c r="N652" s="192"/>
      <c r="O652" s="196"/>
      <c r="P652" s="196"/>
      <c r="Q652" s="200"/>
    </row>
    <row r="653" spans="1:17">
      <c r="A653" s="196"/>
      <c r="B653" s="196"/>
      <c r="C653" s="196"/>
      <c r="D653" s="19"/>
      <c r="E653" s="198"/>
      <c r="F653" s="196"/>
      <c r="G653" s="196"/>
      <c r="H653" s="199"/>
      <c r="I653" s="196"/>
      <c r="J653" s="198"/>
      <c r="K653" s="196"/>
      <c r="L653" s="196"/>
      <c r="M653" s="197"/>
      <c r="N653" s="192"/>
      <c r="O653" s="196"/>
      <c r="P653" s="196"/>
      <c r="Q653" s="200"/>
    </row>
    <row r="654" spans="1:17">
      <c r="A654" s="196"/>
      <c r="B654" s="196"/>
      <c r="C654" s="196"/>
      <c r="D654" s="19"/>
      <c r="E654" s="198"/>
      <c r="F654" s="196"/>
      <c r="G654" s="196"/>
      <c r="H654" s="199"/>
      <c r="I654" s="196"/>
      <c r="J654" s="198"/>
      <c r="K654" s="196"/>
      <c r="L654" s="196"/>
      <c r="M654" s="197"/>
      <c r="N654" s="192"/>
      <c r="O654" s="196"/>
      <c r="P654" s="196"/>
      <c r="Q654" s="200"/>
    </row>
    <row r="655" spans="1:17">
      <c r="A655" s="196"/>
      <c r="B655" s="196"/>
      <c r="C655" s="196"/>
      <c r="D655" s="19"/>
      <c r="E655" s="198"/>
      <c r="F655" s="196"/>
      <c r="G655" s="196"/>
      <c r="H655" s="199"/>
      <c r="I655" s="196"/>
      <c r="J655" s="198"/>
      <c r="K655" s="196"/>
      <c r="L655" s="196"/>
      <c r="M655" s="197"/>
      <c r="N655" s="192"/>
      <c r="O655" s="196"/>
      <c r="P655" s="196"/>
      <c r="Q655" s="200"/>
    </row>
    <row r="656" spans="1:17">
      <c r="A656" s="196"/>
      <c r="B656" s="196"/>
      <c r="C656" s="196"/>
      <c r="D656" s="19"/>
      <c r="E656" s="198"/>
      <c r="F656" s="196"/>
      <c r="G656" s="196"/>
      <c r="H656" s="199"/>
      <c r="I656" s="196"/>
      <c r="J656" s="198"/>
      <c r="K656" s="196"/>
      <c r="L656" s="196"/>
      <c r="M656" s="197"/>
      <c r="N656" s="192"/>
      <c r="O656" s="196"/>
      <c r="P656" s="196"/>
      <c r="Q656" s="200"/>
    </row>
    <row r="657" spans="1:17">
      <c r="A657" s="196"/>
      <c r="B657" s="196"/>
      <c r="C657" s="196"/>
      <c r="D657" s="19"/>
      <c r="E657" s="198"/>
      <c r="F657" s="196"/>
      <c r="G657" s="196"/>
      <c r="H657" s="199"/>
      <c r="I657" s="196"/>
      <c r="J657" s="198"/>
      <c r="K657" s="196"/>
      <c r="L657" s="196"/>
      <c r="M657" s="197"/>
      <c r="N657" s="192"/>
      <c r="O657" s="196"/>
      <c r="P657" s="196"/>
      <c r="Q657" s="200"/>
    </row>
    <row r="658" spans="1:17">
      <c r="A658" s="196"/>
      <c r="B658" s="196"/>
      <c r="C658" s="196"/>
      <c r="D658" s="19"/>
      <c r="E658" s="198"/>
      <c r="F658" s="196"/>
      <c r="G658" s="196"/>
      <c r="H658" s="199"/>
      <c r="I658" s="196"/>
      <c r="J658" s="198"/>
      <c r="K658" s="196"/>
      <c r="L658" s="196"/>
      <c r="M658" s="197"/>
      <c r="N658" s="192"/>
      <c r="O658" s="196"/>
      <c r="P658" s="196"/>
      <c r="Q658" s="200"/>
    </row>
    <row r="659" spans="1:17">
      <c r="A659" s="196"/>
      <c r="B659" s="196"/>
      <c r="C659" s="196"/>
      <c r="D659" s="19"/>
      <c r="E659" s="198"/>
      <c r="F659" s="196"/>
      <c r="G659" s="196"/>
      <c r="H659" s="199"/>
      <c r="I659" s="196"/>
      <c r="J659" s="198"/>
      <c r="K659" s="196"/>
      <c r="L659" s="196"/>
      <c r="M659" s="197"/>
      <c r="N659" s="192"/>
      <c r="O659" s="196"/>
      <c r="P659" s="196"/>
      <c r="Q659" s="200"/>
    </row>
    <row r="660" spans="1:17">
      <c r="A660" s="196"/>
      <c r="B660" s="196"/>
      <c r="C660" s="196"/>
      <c r="D660" s="19"/>
      <c r="E660" s="198"/>
      <c r="F660" s="196"/>
      <c r="G660" s="196"/>
      <c r="H660" s="199"/>
      <c r="I660" s="196"/>
      <c r="J660" s="198"/>
      <c r="K660" s="196"/>
      <c r="L660" s="196"/>
      <c r="M660" s="197"/>
      <c r="N660" s="192"/>
      <c r="O660" s="196"/>
      <c r="P660" s="196"/>
      <c r="Q660" s="200"/>
    </row>
    <row r="661" spans="1:17">
      <c r="A661" s="196"/>
      <c r="B661" s="196"/>
      <c r="C661" s="196"/>
      <c r="D661" s="19"/>
      <c r="E661" s="198"/>
      <c r="F661" s="196"/>
      <c r="G661" s="196"/>
      <c r="H661" s="199"/>
      <c r="I661" s="196"/>
      <c r="J661" s="198"/>
      <c r="K661" s="196"/>
      <c r="L661" s="196"/>
      <c r="M661" s="197"/>
      <c r="N661" s="192"/>
      <c r="O661" s="196"/>
      <c r="P661" s="196"/>
      <c r="Q661" s="200"/>
    </row>
    <row r="662" spans="1:17">
      <c r="A662" s="196"/>
      <c r="B662" s="196"/>
      <c r="C662" s="196"/>
      <c r="D662" s="19"/>
      <c r="E662" s="198"/>
      <c r="F662" s="196"/>
      <c r="G662" s="196"/>
      <c r="H662" s="199"/>
      <c r="I662" s="196"/>
      <c r="J662" s="198"/>
      <c r="K662" s="196"/>
      <c r="L662" s="196"/>
      <c r="M662" s="197"/>
      <c r="N662" s="192"/>
      <c r="O662" s="196"/>
      <c r="P662" s="196"/>
      <c r="Q662" s="200"/>
    </row>
    <row r="663" spans="1:17">
      <c r="A663" s="196"/>
      <c r="B663" s="196"/>
      <c r="C663" s="196"/>
      <c r="D663" s="19"/>
      <c r="E663" s="198"/>
      <c r="F663" s="196"/>
      <c r="G663" s="196"/>
      <c r="H663" s="199"/>
      <c r="I663" s="196"/>
      <c r="J663" s="198"/>
      <c r="K663" s="196"/>
      <c r="L663" s="196"/>
      <c r="M663" s="197"/>
      <c r="N663" s="192"/>
      <c r="O663" s="196"/>
      <c r="P663" s="196"/>
      <c r="Q663" s="200"/>
    </row>
    <row r="664" spans="1:17">
      <c r="A664" s="196"/>
      <c r="B664" s="196"/>
      <c r="C664" s="196"/>
      <c r="D664" s="19"/>
      <c r="E664" s="198"/>
      <c r="F664" s="196"/>
      <c r="G664" s="196"/>
      <c r="H664" s="199"/>
      <c r="I664" s="196"/>
      <c r="J664" s="198"/>
      <c r="K664" s="196"/>
      <c r="L664" s="196"/>
      <c r="M664" s="197"/>
      <c r="N664" s="192"/>
      <c r="O664" s="196"/>
      <c r="P664" s="196"/>
      <c r="Q664" s="200"/>
    </row>
    <row r="665" spans="1:17">
      <c r="A665" s="196"/>
      <c r="B665" s="196"/>
      <c r="C665" s="196"/>
      <c r="D665" s="19"/>
      <c r="E665" s="198"/>
      <c r="F665" s="196"/>
      <c r="G665" s="196"/>
      <c r="H665" s="199"/>
      <c r="I665" s="196"/>
      <c r="J665" s="198"/>
      <c r="K665" s="196"/>
      <c r="L665" s="196"/>
      <c r="M665" s="197"/>
      <c r="N665" s="192"/>
      <c r="O665" s="196"/>
      <c r="P665" s="196"/>
      <c r="Q665" s="200"/>
    </row>
    <row r="666" spans="1:17">
      <c r="A666" s="196"/>
      <c r="B666" s="196"/>
      <c r="C666" s="196"/>
      <c r="D666" s="19"/>
      <c r="E666" s="198"/>
      <c r="F666" s="196"/>
      <c r="G666" s="196"/>
      <c r="H666" s="199"/>
      <c r="I666" s="196"/>
      <c r="J666" s="198"/>
      <c r="K666" s="196"/>
      <c r="L666" s="196"/>
      <c r="M666" s="197"/>
      <c r="N666" s="192"/>
      <c r="O666" s="196"/>
      <c r="P666" s="196"/>
      <c r="Q666" s="200"/>
    </row>
    <row r="667" spans="1:17">
      <c r="A667" s="196"/>
      <c r="B667" s="196"/>
      <c r="C667" s="196"/>
      <c r="D667" s="19"/>
      <c r="E667" s="198"/>
      <c r="F667" s="196"/>
      <c r="G667" s="196"/>
      <c r="H667" s="199"/>
      <c r="I667" s="196"/>
      <c r="J667" s="198"/>
      <c r="K667" s="196"/>
      <c r="L667" s="196"/>
      <c r="M667" s="197"/>
      <c r="N667" s="192"/>
      <c r="O667" s="196"/>
      <c r="P667" s="196"/>
      <c r="Q667" s="200"/>
    </row>
    <row r="668" spans="1:17">
      <c r="A668" s="196"/>
      <c r="B668" s="196"/>
      <c r="C668" s="196"/>
      <c r="D668" s="19"/>
      <c r="E668" s="198"/>
      <c r="F668" s="196"/>
      <c r="G668" s="196"/>
      <c r="H668" s="199"/>
      <c r="I668" s="196"/>
      <c r="J668" s="198"/>
      <c r="K668" s="196"/>
      <c r="L668" s="196"/>
      <c r="M668" s="197"/>
      <c r="N668" s="192"/>
      <c r="O668" s="196"/>
      <c r="P668" s="196"/>
      <c r="Q668" s="200"/>
    </row>
    <row r="669" spans="1:17">
      <c r="A669" s="196"/>
      <c r="B669" s="196"/>
      <c r="C669" s="196"/>
      <c r="D669" s="19"/>
      <c r="E669" s="198"/>
      <c r="F669" s="196"/>
      <c r="G669" s="196"/>
      <c r="H669" s="199"/>
      <c r="I669" s="196"/>
      <c r="J669" s="198"/>
      <c r="K669" s="196"/>
      <c r="L669" s="196"/>
      <c r="M669" s="197"/>
      <c r="N669" s="192"/>
      <c r="O669" s="196"/>
      <c r="P669" s="196"/>
      <c r="Q669" s="200"/>
    </row>
    <row r="670" spans="1:17">
      <c r="A670" s="196"/>
      <c r="B670" s="196"/>
      <c r="C670" s="196"/>
      <c r="D670" s="19"/>
      <c r="E670" s="198"/>
      <c r="F670" s="196"/>
      <c r="G670" s="196"/>
      <c r="H670" s="199"/>
      <c r="I670" s="196"/>
      <c r="J670" s="198"/>
      <c r="K670" s="196"/>
      <c r="L670" s="196"/>
      <c r="M670" s="197"/>
      <c r="N670" s="192"/>
      <c r="O670" s="196"/>
      <c r="P670" s="196"/>
      <c r="Q670" s="200"/>
    </row>
    <row r="671" spans="1:17">
      <c r="A671" s="196"/>
      <c r="B671" s="196"/>
      <c r="C671" s="196"/>
      <c r="D671" s="19"/>
      <c r="E671" s="198"/>
      <c r="F671" s="196"/>
      <c r="G671" s="196"/>
      <c r="H671" s="199"/>
      <c r="I671" s="196"/>
      <c r="J671" s="198"/>
      <c r="K671" s="196"/>
      <c r="L671" s="196"/>
      <c r="M671" s="197"/>
      <c r="N671" s="192"/>
      <c r="O671" s="196"/>
      <c r="P671" s="196"/>
      <c r="Q671" s="200"/>
    </row>
    <row r="672" spans="1:17">
      <c r="A672" s="196"/>
      <c r="B672" s="196"/>
      <c r="C672" s="196"/>
      <c r="D672" s="19"/>
      <c r="E672" s="198"/>
      <c r="F672" s="196"/>
      <c r="G672" s="196"/>
      <c r="H672" s="199"/>
      <c r="I672" s="196"/>
      <c r="J672" s="198"/>
      <c r="K672" s="196"/>
      <c r="L672" s="196"/>
      <c r="M672" s="197"/>
      <c r="N672" s="192"/>
      <c r="O672" s="196"/>
      <c r="P672" s="196"/>
      <c r="Q672" s="200"/>
    </row>
    <row r="673" spans="1:17">
      <c r="A673" s="196"/>
      <c r="B673" s="196"/>
      <c r="C673" s="196"/>
      <c r="D673" s="19"/>
      <c r="E673" s="198"/>
      <c r="F673" s="196"/>
      <c r="G673" s="196"/>
      <c r="H673" s="199"/>
      <c r="I673" s="196"/>
      <c r="J673" s="198"/>
      <c r="K673" s="196"/>
      <c r="L673" s="196"/>
      <c r="M673" s="197"/>
      <c r="N673" s="192"/>
      <c r="O673" s="196"/>
      <c r="P673" s="196"/>
      <c r="Q673" s="200"/>
    </row>
    <row r="674" spans="1:17">
      <c r="A674" s="196"/>
      <c r="B674" s="196"/>
      <c r="C674" s="196"/>
      <c r="D674" s="19"/>
      <c r="E674" s="198"/>
      <c r="F674" s="196"/>
      <c r="G674" s="196"/>
      <c r="H674" s="199"/>
      <c r="I674" s="196"/>
      <c r="J674" s="198"/>
      <c r="K674" s="196"/>
      <c r="L674" s="196"/>
      <c r="M674" s="197"/>
      <c r="N674" s="192"/>
      <c r="O674" s="196"/>
      <c r="P674" s="196"/>
      <c r="Q674" s="200"/>
    </row>
    <row r="675" spans="1:17">
      <c r="A675" s="196"/>
      <c r="B675" s="196"/>
      <c r="C675" s="196"/>
      <c r="D675" s="19"/>
      <c r="E675" s="198"/>
      <c r="F675" s="196"/>
      <c r="G675" s="196"/>
      <c r="H675" s="199"/>
      <c r="I675" s="196"/>
      <c r="J675" s="198"/>
      <c r="K675" s="196"/>
      <c r="L675" s="196"/>
      <c r="M675" s="197"/>
      <c r="N675" s="192"/>
      <c r="O675" s="196"/>
      <c r="P675" s="196"/>
      <c r="Q675" s="200"/>
    </row>
    <row r="676" spans="1:17">
      <c r="A676" s="196"/>
      <c r="B676" s="196"/>
      <c r="C676" s="196"/>
      <c r="D676" s="19"/>
      <c r="E676" s="198"/>
      <c r="F676" s="196"/>
      <c r="G676" s="196"/>
      <c r="H676" s="199"/>
      <c r="I676" s="196"/>
      <c r="J676" s="198"/>
      <c r="K676" s="196"/>
      <c r="L676" s="196"/>
      <c r="M676" s="197"/>
      <c r="N676" s="192"/>
      <c r="O676" s="196"/>
      <c r="P676" s="196"/>
      <c r="Q676" s="200"/>
    </row>
    <row r="677" spans="1:17">
      <c r="A677" s="196"/>
      <c r="B677" s="196"/>
      <c r="C677" s="196"/>
      <c r="D677" s="19"/>
      <c r="E677" s="198"/>
      <c r="F677" s="196"/>
      <c r="G677" s="196"/>
      <c r="H677" s="199"/>
      <c r="I677" s="196"/>
      <c r="J677" s="198"/>
      <c r="K677" s="196"/>
      <c r="L677" s="196"/>
      <c r="M677" s="197"/>
      <c r="N677" s="192"/>
      <c r="O677" s="196"/>
      <c r="P677" s="196"/>
      <c r="Q677" s="200"/>
    </row>
    <row r="678" spans="1:17">
      <c r="A678" s="196"/>
      <c r="B678" s="196"/>
      <c r="C678" s="196"/>
      <c r="D678" s="19"/>
      <c r="E678" s="198"/>
      <c r="F678" s="196"/>
      <c r="G678" s="196"/>
      <c r="H678" s="199"/>
      <c r="I678" s="196"/>
      <c r="J678" s="198"/>
      <c r="K678" s="196"/>
      <c r="L678" s="196"/>
      <c r="M678" s="197"/>
      <c r="N678" s="192"/>
      <c r="O678" s="196"/>
      <c r="P678" s="196"/>
      <c r="Q678" s="200"/>
    </row>
    <row r="679" spans="1:17">
      <c r="A679" s="196"/>
      <c r="B679" s="196"/>
      <c r="C679" s="196"/>
      <c r="D679" s="19"/>
      <c r="E679" s="198"/>
      <c r="F679" s="196"/>
      <c r="G679" s="196"/>
      <c r="H679" s="199"/>
      <c r="I679" s="196"/>
      <c r="J679" s="198"/>
      <c r="K679" s="196"/>
      <c r="L679" s="196"/>
      <c r="M679" s="197"/>
      <c r="N679" s="192"/>
      <c r="O679" s="196"/>
      <c r="P679" s="196"/>
      <c r="Q679" s="200"/>
    </row>
    <row r="680" spans="1:17">
      <c r="A680" s="196"/>
      <c r="B680" s="196"/>
      <c r="C680" s="196"/>
      <c r="D680" s="19"/>
      <c r="E680" s="198"/>
      <c r="F680" s="196"/>
      <c r="G680" s="196"/>
      <c r="H680" s="199"/>
      <c r="I680" s="196"/>
      <c r="J680" s="198"/>
      <c r="K680" s="196"/>
      <c r="L680" s="196"/>
      <c r="M680" s="197"/>
      <c r="N680" s="192"/>
      <c r="O680" s="196"/>
      <c r="P680" s="196"/>
      <c r="Q680" s="200"/>
    </row>
    <row r="681" spans="1:17">
      <c r="A681" s="196"/>
      <c r="B681" s="196"/>
      <c r="C681" s="196"/>
      <c r="D681" s="19"/>
      <c r="E681" s="198"/>
      <c r="F681" s="196"/>
      <c r="G681" s="196"/>
      <c r="H681" s="199"/>
      <c r="I681" s="196"/>
      <c r="J681" s="198"/>
      <c r="K681" s="196"/>
      <c r="L681" s="196"/>
      <c r="M681" s="197"/>
      <c r="N681" s="192"/>
      <c r="O681" s="196"/>
      <c r="P681" s="196"/>
      <c r="Q681" s="200"/>
    </row>
    <row r="682" spans="1:17">
      <c r="A682" s="196"/>
      <c r="B682" s="196"/>
      <c r="C682" s="196"/>
      <c r="D682" s="19"/>
      <c r="E682" s="198"/>
      <c r="F682" s="196"/>
      <c r="G682" s="196"/>
      <c r="H682" s="199"/>
      <c r="I682" s="196"/>
      <c r="J682" s="198"/>
      <c r="K682" s="196"/>
      <c r="L682" s="196"/>
      <c r="M682" s="197"/>
      <c r="N682" s="192"/>
      <c r="O682" s="196"/>
      <c r="P682" s="196"/>
      <c r="Q682" s="200"/>
    </row>
    <row r="683" spans="1:17">
      <c r="A683" s="196"/>
      <c r="B683" s="196"/>
      <c r="C683" s="196"/>
      <c r="D683" s="19"/>
      <c r="E683" s="198"/>
      <c r="F683" s="196"/>
      <c r="G683" s="196"/>
      <c r="H683" s="199"/>
      <c r="I683" s="196"/>
      <c r="J683" s="198"/>
      <c r="K683" s="196"/>
      <c r="L683" s="196"/>
      <c r="M683" s="197"/>
      <c r="N683" s="192"/>
      <c r="O683" s="196"/>
      <c r="P683" s="196"/>
      <c r="Q683" s="200"/>
    </row>
    <row r="684" spans="1:17">
      <c r="A684" s="196"/>
      <c r="B684" s="196"/>
      <c r="C684" s="196"/>
      <c r="D684" s="19"/>
      <c r="E684" s="198"/>
      <c r="F684" s="196"/>
      <c r="G684" s="196"/>
      <c r="H684" s="199"/>
      <c r="I684" s="196"/>
      <c r="J684" s="198"/>
      <c r="K684" s="196"/>
      <c r="L684" s="196"/>
      <c r="M684" s="197"/>
      <c r="N684" s="192"/>
      <c r="O684" s="196"/>
      <c r="P684" s="196"/>
      <c r="Q684" s="200"/>
    </row>
    <row r="685" spans="1:17">
      <c r="A685" s="196"/>
      <c r="B685" s="196"/>
      <c r="C685" s="196"/>
      <c r="D685" s="19"/>
      <c r="E685" s="198"/>
      <c r="F685" s="196"/>
      <c r="G685" s="196"/>
      <c r="H685" s="199"/>
      <c r="I685" s="196"/>
      <c r="J685" s="198"/>
      <c r="K685" s="196"/>
      <c r="L685" s="196"/>
      <c r="M685" s="197"/>
      <c r="N685" s="192"/>
      <c r="O685" s="196"/>
      <c r="P685" s="196"/>
      <c r="Q685" s="200"/>
    </row>
    <row r="686" spans="1:17">
      <c r="A686" s="196"/>
      <c r="B686" s="196"/>
      <c r="C686" s="196"/>
      <c r="D686" s="19"/>
      <c r="E686" s="198"/>
      <c r="F686" s="196"/>
      <c r="G686" s="196"/>
      <c r="H686" s="199"/>
      <c r="I686" s="196"/>
      <c r="J686" s="198"/>
      <c r="K686" s="196"/>
      <c r="L686" s="196"/>
      <c r="M686" s="197"/>
      <c r="N686" s="192"/>
      <c r="O686" s="196"/>
      <c r="P686" s="196"/>
      <c r="Q686" s="200"/>
    </row>
    <row r="687" spans="1:17">
      <c r="A687" s="196"/>
      <c r="B687" s="196"/>
      <c r="C687" s="196"/>
      <c r="D687" s="19"/>
      <c r="E687" s="198"/>
      <c r="F687" s="196"/>
      <c r="G687" s="196"/>
      <c r="H687" s="199"/>
      <c r="I687" s="196"/>
      <c r="J687" s="198"/>
      <c r="K687" s="196"/>
      <c r="L687" s="196"/>
      <c r="M687" s="197"/>
      <c r="N687" s="192"/>
      <c r="O687" s="196"/>
      <c r="P687" s="196"/>
      <c r="Q687" s="200"/>
    </row>
    <row r="688" spans="1:17">
      <c r="A688" s="196"/>
      <c r="B688" s="196"/>
      <c r="C688" s="196"/>
      <c r="D688" s="19"/>
      <c r="E688" s="198"/>
      <c r="F688" s="196"/>
      <c r="G688" s="196"/>
      <c r="H688" s="199"/>
      <c r="I688" s="196"/>
      <c r="J688" s="198"/>
      <c r="K688" s="196"/>
      <c r="L688" s="196"/>
      <c r="M688" s="197"/>
      <c r="N688" s="192"/>
      <c r="O688" s="196"/>
      <c r="P688" s="196"/>
      <c r="Q688" s="200"/>
    </row>
    <row r="689" spans="1:17">
      <c r="A689" s="196"/>
      <c r="B689" s="196"/>
      <c r="C689" s="196"/>
      <c r="D689" s="19"/>
      <c r="E689" s="198"/>
      <c r="F689" s="196"/>
      <c r="G689" s="196"/>
      <c r="H689" s="199"/>
      <c r="I689" s="196"/>
      <c r="J689" s="198"/>
      <c r="K689" s="196"/>
      <c r="L689" s="196"/>
      <c r="M689" s="197"/>
      <c r="N689" s="192"/>
      <c r="O689" s="196"/>
      <c r="P689" s="196"/>
      <c r="Q689" s="200"/>
    </row>
    <row r="690" spans="1:17">
      <c r="A690" s="196"/>
      <c r="B690" s="196"/>
      <c r="C690" s="196"/>
      <c r="D690" s="19"/>
      <c r="E690" s="198"/>
      <c r="F690" s="196"/>
      <c r="G690" s="196"/>
      <c r="H690" s="199"/>
      <c r="I690" s="196"/>
      <c r="J690" s="198"/>
      <c r="K690" s="196"/>
      <c r="L690" s="196"/>
      <c r="M690" s="197"/>
      <c r="N690" s="192"/>
      <c r="O690" s="196"/>
      <c r="P690" s="196"/>
      <c r="Q690" s="200"/>
    </row>
    <row r="691" spans="1:17">
      <c r="A691" s="196"/>
      <c r="B691" s="196"/>
      <c r="C691" s="196"/>
      <c r="D691" s="19"/>
      <c r="E691" s="198"/>
      <c r="F691" s="196"/>
      <c r="G691" s="196"/>
      <c r="H691" s="199"/>
      <c r="I691" s="196"/>
      <c r="J691" s="198"/>
      <c r="K691" s="196"/>
      <c r="L691" s="196"/>
      <c r="M691" s="197"/>
      <c r="N691" s="192"/>
      <c r="O691" s="196"/>
      <c r="P691" s="196"/>
      <c r="Q691" s="200"/>
    </row>
    <row r="692" spans="1:17">
      <c r="A692" s="196"/>
      <c r="B692" s="196"/>
      <c r="C692" s="196"/>
      <c r="D692" s="19"/>
      <c r="E692" s="198"/>
      <c r="F692" s="196"/>
      <c r="G692" s="196"/>
      <c r="H692" s="199"/>
      <c r="I692" s="196"/>
      <c r="J692" s="198"/>
      <c r="K692" s="196"/>
      <c r="L692" s="196"/>
      <c r="M692" s="197"/>
      <c r="N692" s="192"/>
      <c r="O692" s="196"/>
      <c r="P692" s="196"/>
      <c r="Q692" s="200"/>
    </row>
    <row r="693" spans="1:17">
      <c r="A693" s="196"/>
      <c r="B693" s="196"/>
      <c r="C693" s="196"/>
      <c r="D693" s="19"/>
      <c r="E693" s="198"/>
      <c r="F693" s="196"/>
      <c r="G693" s="196"/>
      <c r="H693" s="199"/>
      <c r="I693" s="196"/>
      <c r="J693" s="198"/>
      <c r="K693" s="196"/>
      <c r="L693" s="196"/>
      <c r="M693" s="197"/>
      <c r="N693" s="192"/>
      <c r="O693" s="196"/>
      <c r="P693" s="196"/>
      <c r="Q693" s="200"/>
    </row>
    <row r="694" spans="1:17">
      <c r="A694" s="196"/>
      <c r="B694" s="196"/>
      <c r="C694" s="196"/>
      <c r="D694" s="19"/>
      <c r="E694" s="198"/>
      <c r="F694" s="196"/>
      <c r="G694" s="196"/>
      <c r="H694" s="199"/>
      <c r="I694" s="196"/>
      <c r="J694" s="198"/>
      <c r="K694" s="196"/>
      <c r="L694" s="196"/>
      <c r="M694" s="197"/>
      <c r="N694" s="192"/>
      <c r="O694" s="196"/>
      <c r="P694" s="196"/>
      <c r="Q694" s="200"/>
    </row>
    <row r="695" spans="1:17">
      <c r="A695" s="196"/>
      <c r="B695" s="196"/>
      <c r="C695" s="196"/>
      <c r="D695" s="19"/>
      <c r="E695" s="198"/>
      <c r="F695" s="196"/>
      <c r="G695" s="196"/>
      <c r="H695" s="199"/>
      <c r="I695" s="196"/>
      <c r="J695" s="198"/>
      <c r="K695" s="196"/>
      <c r="L695" s="196"/>
      <c r="M695" s="197"/>
      <c r="N695" s="192"/>
      <c r="O695" s="196"/>
      <c r="P695" s="196"/>
      <c r="Q695" s="200"/>
    </row>
    <row r="696" spans="1:17">
      <c r="A696" s="196"/>
      <c r="B696" s="196"/>
      <c r="C696" s="196"/>
      <c r="D696" s="19"/>
      <c r="E696" s="198"/>
      <c r="F696" s="196"/>
      <c r="G696" s="196"/>
      <c r="H696" s="199"/>
      <c r="I696" s="196"/>
      <c r="J696" s="198"/>
      <c r="K696" s="196"/>
      <c r="L696" s="196"/>
      <c r="M696" s="197"/>
      <c r="N696" s="192"/>
      <c r="O696" s="196"/>
      <c r="P696" s="196"/>
      <c r="Q696" s="200"/>
    </row>
    <row r="697" spans="1:17">
      <c r="A697" s="196"/>
      <c r="B697" s="196"/>
      <c r="C697" s="196"/>
      <c r="D697" s="19"/>
      <c r="E697" s="198"/>
      <c r="F697" s="196"/>
      <c r="G697" s="196"/>
      <c r="H697" s="199"/>
      <c r="I697" s="196"/>
      <c r="J697" s="198"/>
      <c r="K697" s="196"/>
      <c r="L697" s="196"/>
      <c r="M697" s="197"/>
      <c r="N697" s="192"/>
      <c r="O697" s="196"/>
      <c r="P697" s="196"/>
      <c r="Q697" s="200"/>
    </row>
    <row r="698" spans="1:17">
      <c r="A698" s="196"/>
      <c r="B698" s="196"/>
      <c r="C698" s="196"/>
      <c r="D698" s="19"/>
      <c r="E698" s="198"/>
      <c r="F698" s="196"/>
      <c r="G698" s="196"/>
      <c r="H698" s="199"/>
      <c r="I698" s="196"/>
      <c r="J698" s="198"/>
      <c r="K698" s="196"/>
      <c r="L698" s="196"/>
      <c r="M698" s="197"/>
      <c r="N698" s="192"/>
      <c r="O698" s="196"/>
      <c r="P698" s="196"/>
      <c r="Q698" s="200"/>
    </row>
    <row r="699" spans="1:17">
      <c r="A699" s="196"/>
      <c r="B699" s="196"/>
      <c r="C699" s="196"/>
      <c r="D699" s="19"/>
      <c r="E699" s="198"/>
      <c r="F699" s="196"/>
      <c r="G699" s="196"/>
      <c r="H699" s="199"/>
      <c r="I699" s="196"/>
      <c r="J699" s="198"/>
      <c r="K699" s="196"/>
      <c r="L699" s="196"/>
      <c r="M699" s="197"/>
      <c r="N699" s="192"/>
      <c r="O699" s="196"/>
      <c r="P699" s="196"/>
      <c r="Q699" s="200"/>
    </row>
    <row r="700" spans="1:17">
      <c r="A700" s="196"/>
      <c r="B700" s="196"/>
      <c r="C700" s="196"/>
      <c r="D700" s="19"/>
      <c r="E700" s="198"/>
      <c r="F700" s="196"/>
      <c r="G700" s="196"/>
      <c r="H700" s="199"/>
      <c r="I700" s="196"/>
      <c r="J700" s="198"/>
      <c r="K700" s="196"/>
      <c r="L700" s="196"/>
      <c r="M700" s="197"/>
      <c r="N700" s="192"/>
      <c r="O700" s="196"/>
      <c r="P700" s="196"/>
      <c r="Q700" s="200"/>
    </row>
    <row r="701" spans="1:17">
      <c r="A701" s="196"/>
      <c r="B701" s="196"/>
      <c r="C701" s="196"/>
      <c r="D701" s="19"/>
      <c r="E701" s="198"/>
      <c r="F701" s="196"/>
      <c r="G701" s="196"/>
      <c r="H701" s="199"/>
      <c r="I701" s="196"/>
      <c r="J701" s="198"/>
      <c r="K701" s="196"/>
      <c r="L701" s="196"/>
      <c r="M701" s="197"/>
      <c r="N701" s="192"/>
      <c r="O701" s="196"/>
      <c r="P701" s="196"/>
      <c r="Q701" s="200"/>
    </row>
    <row r="702" spans="1:17">
      <c r="A702" s="196"/>
      <c r="B702" s="196"/>
      <c r="C702" s="196"/>
      <c r="D702" s="19"/>
      <c r="E702" s="198"/>
      <c r="F702" s="196"/>
      <c r="G702" s="196"/>
      <c r="H702" s="199"/>
      <c r="I702" s="196"/>
      <c r="J702" s="198"/>
      <c r="K702" s="196"/>
      <c r="L702" s="196"/>
      <c r="M702" s="197"/>
      <c r="N702" s="192"/>
      <c r="O702" s="196"/>
      <c r="P702" s="196"/>
      <c r="Q702" s="200"/>
    </row>
    <row r="703" spans="1:17">
      <c r="A703" s="196"/>
      <c r="B703" s="196"/>
      <c r="C703" s="196"/>
      <c r="D703" s="19"/>
      <c r="E703" s="198"/>
      <c r="F703" s="196"/>
      <c r="G703" s="196"/>
      <c r="H703" s="199"/>
      <c r="I703" s="196"/>
      <c r="J703" s="198"/>
      <c r="K703" s="196"/>
      <c r="L703" s="196"/>
      <c r="M703" s="197"/>
      <c r="N703" s="192"/>
      <c r="O703" s="196"/>
      <c r="P703" s="196"/>
      <c r="Q703" s="200"/>
    </row>
    <row r="704" spans="1:17">
      <c r="A704" s="196"/>
      <c r="B704" s="196"/>
      <c r="C704" s="196"/>
      <c r="D704" s="19"/>
      <c r="E704" s="198"/>
      <c r="F704" s="196"/>
      <c r="G704" s="196"/>
      <c r="H704" s="199"/>
      <c r="I704" s="196"/>
      <c r="J704" s="198"/>
      <c r="K704" s="196"/>
      <c r="L704" s="196"/>
      <c r="M704" s="197"/>
      <c r="N704" s="192"/>
      <c r="O704" s="196"/>
      <c r="P704" s="196"/>
      <c r="Q704" s="200"/>
    </row>
    <row r="705" spans="1:17">
      <c r="A705" s="196"/>
      <c r="B705" s="196"/>
      <c r="C705" s="196"/>
      <c r="D705" s="19"/>
      <c r="E705" s="198"/>
      <c r="F705" s="196"/>
      <c r="G705" s="196"/>
      <c r="H705" s="199"/>
      <c r="I705" s="196"/>
      <c r="J705" s="198"/>
      <c r="K705" s="196"/>
      <c r="L705" s="196"/>
      <c r="M705" s="197"/>
      <c r="N705" s="192"/>
      <c r="O705" s="196"/>
      <c r="P705" s="196"/>
      <c r="Q705" s="200"/>
    </row>
    <row r="706" spans="1:17">
      <c r="A706" s="196"/>
      <c r="B706" s="196"/>
      <c r="C706" s="196"/>
      <c r="D706" s="19"/>
      <c r="E706" s="198"/>
      <c r="F706" s="196"/>
      <c r="G706" s="196"/>
      <c r="H706" s="199"/>
      <c r="I706" s="196"/>
      <c r="J706" s="198"/>
      <c r="K706" s="196"/>
      <c r="L706" s="196"/>
      <c r="M706" s="197"/>
      <c r="N706" s="192"/>
      <c r="O706" s="196"/>
      <c r="P706" s="196"/>
      <c r="Q706" s="200"/>
    </row>
    <row r="707" spans="1:17">
      <c r="A707" s="196"/>
      <c r="B707" s="196"/>
      <c r="C707" s="196"/>
      <c r="D707" s="19"/>
      <c r="E707" s="198"/>
      <c r="F707" s="196"/>
      <c r="G707" s="196"/>
      <c r="H707" s="199"/>
      <c r="I707" s="196"/>
      <c r="J707" s="198"/>
      <c r="K707" s="196"/>
      <c r="L707" s="196"/>
      <c r="M707" s="197"/>
      <c r="N707" s="192"/>
      <c r="O707" s="196"/>
      <c r="P707" s="196"/>
      <c r="Q707" s="200"/>
    </row>
    <row r="708" spans="1:17">
      <c r="A708" s="196"/>
      <c r="B708" s="196"/>
      <c r="C708" s="196"/>
      <c r="D708" s="19"/>
      <c r="E708" s="198"/>
      <c r="F708" s="196"/>
      <c r="G708" s="196"/>
      <c r="H708" s="199"/>
      <c r="I708" s="196"/>
      <c r="J708" s="198"/>
      <c r="K708" s="196"/>
      <c r="L708" s="196"/>
      <c r="M708" s="197"/>
      <c r="N708" s="192"/>
      <c r="O708" s="196"/>
      <c r="P708" s="196"/>
      <c r="Q708" s="200"/>
    </row>
    <row r="709" spans="1:17">
      <c r="A709" s="196"/>
      <c r="B709" s="196"/>
      <c r="C709" s="196"/>
      <c r="D709" s="19"/>
      <c r="E709" s="198"/>
      <c r="F709" s="196"/>
      <c r="G709" s="196"/>
      <c r="H709" s="199"/>
      <c r="I709" s="196"/>
      <c r="J709" s="198"/>
      <c r="K709" s="196"/>
      <c r="L709" s="196"/>
      <c r="M709" s="197"/>
      <c r="N709" s="192"/>
      <c r="O709" s="196"/>
      <c r="P709" s="196"/>
      <c r="Q709" s="200"/>
    </row>
    <row r="710" spans="1:17">
      <c r="A710" s="196"/>
      <c r="B710" s="196"/>
      <c r="C710" s="196"/>
      <c r="D710" s="19"/>
      <c r="E710" s="198"/>
      <c r="F710" s="196"/>
      <c r="G710" s="196"/>
      <c r="H710" s="199"/>
      <c r="I710" s="196"/>
      <c r="J710" s="198"/>
      <c r="K710" s="196"/>
      <c r="L710" s="196"/>
      <c r="M710" s="197"/>
      <c r="N710" s="192"/>
      <c r="O710" s="196"/>
      <c r="P710" s="196"/>
      <c r="Q710" s="200"/>
    </row>
    <row r="711" spans="1:17">
      <c r="A711" s="196"/>
      <c r="B711" s="196"/>
      <c r="C711" s="196"/>
      <c r="D711" s="19"/>
      <c r="E711" s="198"/>
      <c r="F711" s="196"/>
      <c r="G711" s="196"/>
      <c r="H711" s="199"/>
      <c r="I711" s="196"/>
      <c r="J711" s="198"/>
      <c r="K711" s="196"/>
      <c r="L711" s="196"/>
      <c r="M711" s="197"/>
      <c r="N711" s="192"/>
      <c r="O711" s="196"/>
      <c r="P711" s="196"/>
      <c r="Q711" s="200"/>
    </row>
    <row r="712" spans="1:17">
      <c r="A712" s="196"/>
      <c r="B712" s="196"/>
      <c r="C712" s="196"/>
      <c r="D712" s="19"/>
      <c r="E712" s="198"/>
      <c r="F712" s="196"/>
      <c r="G712" s="196"/>
      <c r="H712" s="199"/>
      <c r="I712" s="196"/>
      <c r="J712" s="198"/>
      <c r="K712" s="196"/>
      <c r="L712" s="196"/>
      <c r="M712" s="197"/>
      <c r="N712" s="192"/>
      <c r="O712" s="196"/>
      <c r="P712" s="196"/>
      <c r="Q712" s="200"/>
    </row>
    <row r="713" spans="1:17">
      <c r="A713" s="196"/>
      <c r="B713" s="196"/>
      <c r="C713" s="196"/>
      <c r="D713" s="19"/>
      <c r="E713" s="198"/>
      <c r="F713" s="196"/>
      <c r="G713" s="196"/>
      <c r="H713" s="199"/>
      <c r="I713" s="196"/>
      <c r="J713" s="198"/>
      <c r="K713" s="196"/>
      <c r="L713" s="196"/>
      <c r="M713" s="197"/>
      <c r="N713" s="192"/>
      <c r="O713" s="196"/>
      <c r="P713" s="196"/>
      <c r="Q713" s="200"/>
    </row>
    <row r="714" spans="1:17">
      <c r="A714" s="196"/>
      <c r="B714" s="196"/>
      <c r="C714" s="196"/>
      <c r="D714" s="19"/>
      <c r="E714" s="198"/>
      <c r="F714" s="196"/>
      <c r="G714" s="196"/>
      <c r="H714" s="199"/>
      <c r="I714" s="196"/>
      <c r="J714" s="198"/>
      <c r="K714" s="196"/>
      <c r="L714" s="196"/>
      <c r="M714" s="197"/>
      <c r="N714" s="192"/>
      <c r="O714" s="196"/>
      <c r="P714" s="196"/>
      <c r="Q714" s="200"/>
    </row>
    <row r="715" spans="1:17">
      <c r="A715" s="196"/>
      <c r="B715" s="196"/>
      <c r="C715" s="196"/>
      <c r="D715" s="19"/>
      <c r="E715" s="198"/>
      <c r="F715" s="196"/>
      <c r="G715" s="196"/>
      <c r="H715" s="199"/>
      <c r="I715" s="196"/>
      <c r="J715" s="198"/>
      <c r="K715" s="196"/>
      <c r="L715" s="196"/>
      <c r="M715" s="197"/>
      <c r="N715" s="192"/>
      <c r="O715" s="196"/>
      <c r="P715" s="196"/>
      <c r="Q715" s="200"/>
    </row>
    <row r="716" spans="1:17">
      <c r="A716" s="196"/>
      <c r="B716" s="196"/>
      <c r="C716" s="196"/>
      <c r="D716" s="19"/>
      <c r="E716" s="198"/>
      <c r="F716" s="196"/>
      <c r="G716" s="196"/>
      <c r="H716" s="199"/>
      <c r="I716" s="196"/>
      <c r="J716" s="198"/>
      <c r="K716" s="196"/>
      <c r="L716" s="196"/>
      <c r="M716" s="197"/>
      <c r="N716" s="192"/>
      <c r="O716" s="196"/>
      <c r="P716" s="196"/>
      <c r="Q716" s="200"/>
    </row>
    <row r="717" spans="1:17">
      <c r="A717" s="196"/>
      <c r="B717" s="196"/>
      <c r="C717" s="196"/>
      <c r="D717" s="19"/>
      <c r="E717" s="198"/>
      <c r="F717" s="196"/>
      <c r="G717" s="196"/>
      <c r="H717" s="199"/>
      <c r="I717" s="196"/>
      <c r="J717" s="198"/>
      <c r="K717" s="196"/>
      <c r="L717" s="196"/>
      <c r="M717" s="197"/>
      <c r="N717" s="192"/>
      <c r="O717" s="196"/>
      <c r="P717" s="196"/>
      <c r="Q717" s="200"/>
    </row>
    <row r="718" spans="1:17">
      <c r="A718" s="196"/>
      <c r="B718" s="196"/>
      <c r="C718" s="196"/>
      <c r="D718" s="19"/>
      <c r="E718" s="198"/>
      <c r="F718" s="196"/>
      <c r="G718" s="196"/>
      <c r="H718" s="199"/>
      <c r="I718" s="196"/>
      <c r="J718" s="198"/>
      <c r="K718" s="196"/>
      <c r="L718" s="196"/>
      <c r="M718" s="197"/>
      <c r="N718" s="192"/>
      <c r="O718" s="196"/>
      <c r="P718" s="196"/>
      <c r="Q718" s="200"/>
    </row>
    <row r="719" spans="1:17">
      <c r="A719" s="196"/>
      <c r="B719" s="196"/>
      <c r="C719" s="196"/>
      <c r="D719" s="19"/>
      <c r="E719" s="198"/>
      <c r="F719" s="196"/>
      <c r="G719" s="196"/>
      <c r="H719" s="199"/>
      <c r="I719" s="196"/>
      <c r="J719" s="198"/>
      <c r="K719" s="196"/>
      <c r="L719" s="196"/>
      <c r="M719" s="197"/>
      <c r="N719" s="192"/>
      <c r="O719" s="196"/>
      <c r="P719" s="196"/>
      <c r="Q719" s="200"/>
    </row>
    <row r="720" spans="1:17">
      <c r="A720" s="196"/>
      <c r="B720" s="196"/>
      <c r="C720" s="196"/>
      <c r="D720" s="19"/>
      <c r="E720" s="198"/>
      <c r="F720" s="196"/>
      <c r="G720" s="196"/>
      <c r="H720" s="199"/>
      <c r="I720" s="196"/>
      <c r="J720" s="198"/>
      <c r="K720" s="196"/>
      <c r="L720" s="196"/>
      <c r="M720" s="197"/>
      <c r="N720" s="192"/>
      <c r="O720" s="196"/>
      <c r="P720" s="196"/>
      <c r="Q720" s="200"/>
    </row>
    <row r="721" spans="1:17">
      <c r="A721" s="196"/>
      <c r="B721" s="196"/>
      <c r="C721" s="196"/>
      <c r="D721" s="19"/>
      <c r="E721" s="198"/>
      <c r="F721" s="196"/>
      <c r="G721" s="196"/>
      <c r="H721" s="199"/>
      <c r="I721" s="196"/>
      <c r="J721" s="198"/>
      <c r="K721" s="196"/>
      <c r="L721" s="196"/>
      <c r="M721" s="197"/>
      <c r="N721" s="192"/>
      <c r="O721" s="196"/>
      <c r="P721" s="196"/>
      <c r="Q721" s="200"/>
    </row>
    <row r="722" spans="1:17">
      <c r="A722" s="196"/>
      <c r="B722" s="196"/>
      <c r="C722" s="196"/>
      <c r="D722" s="19"/>
      <c r="E722" s="198"/>
      <c r="F722" s="196"/>
      <c r="G722" s="196"/>
      <c r="H722" s="199"/>
      <c r="I722" s="196"/>
      <c r="J722" s="198"/>
      <c r="K722" s="196"/>
      <c r="L722" s="196"/>
      <c r="M722" s="197"/>
      <c r="N722" s="192"/>
      <c r="O722" s="196"/>
      <c r="P722" s="196"/>
      <c r="Q722" s="200"/>
    </row>
    <row r="723" spans="1:17">
      <c r="A723" s="196"/>
      <c r="B723" s="196"/>
      <c r="C723" s="196"/>
      <c r="D723" s="19"/>
      <c r="E723" s="198"/>
      <c r="F723" s="196"/>
      <c r="G723" s="196"/>
      <c r="H723" s="199"/>
      <c r="I723" s="196"/>
      <c r="J723" s="198"/>
      <c r="K723" s="196"/>
      <c r="L723" s="196"/>
      <c r="M723" s="197"/>
      <c r="N723" s="192"/>
      <c r="O723" s="196"/>
      <c r="P723" s="196"/>
      <c r="Q723" s="200"/>
    </row>
    <row r="724" spans="1:17">
      <c r="A724" s="196"/>
      <c r="B724" s="196"/>
      <c r="C724" s="196"/>
      <c r="D724" s="19"/>
      <c r="E724" s="198"/>
      <c r="F724" s="196"/>
      <c r="G724" s="196"/>
      <c r="H724" s="199"/>
      <c r="I724" s="196"/>
      <c r="J724" s="198"/>
      <c r="K724" s="196"/>
      <c r="L724" s="196"/>
      <c r="M724" s="197"/>
      <c r="N724" s="192"/>
      <c r="O724" s="196"/>
      <c r="P724" s="196"/>
      <c r="Q724" s="200"/>
    </row>
    <row r="725" spans="1:17">
      <c r="A725" s="196"/>
      <c r="B725" s="196"/>
      <c r="C725" s="196"/>
      <c r="D725" s="19"/>
      <c r="E725" s="198"/>
      <c r="F725" s="196"/>
      <c r="G725" s="196"/>
      <c r="H725" s="199"/>
      <c r="I725" s="196"/>
      <c r="J725" s="198"/>
      <c r="K725" s="196"/>
      <c r="L725" s="196"/>
      <c r="M725" s="197"/>
      <c r="N725" s="192"/>
      <c r="O725" s="196"/>
      <c r="P725" s="196"/>
      <c r="Q725" s="200"/>
    </row>
    <row r="726" spans="1:17">
      <c r="A726" s="196"/>
      <c r="B726" s="196"/>
      <c r="C726" s="196"/>
      <c r="D726" s="19"/>
      <c r="E726" s="198"/>
      <c r="F726" s="196"/>
      <c r="G726" s="196"/>
      <c r="H726" s="199"/>
      <c r="I726" s="196"/>
      <c r="J726" s="198"/>
      <c r="K726" s="196"/>
      <c r="L726" s="196"/>
      <c r="M726" s="197"/>
      <c r="N726" s="192"/>
      <c r="O726" s="196"/>
      <c r="P726" s="196"/>
      <c r="Q726" s="200"/>
    </row>
    <row r="727" spans="1:17">
      <c r="A727" s="196"/>
      <c r="B727" s="196"/>
      <c r="C727" s="196"/>
      <c r="D727" s="19"/>
      <c r="E727" s="198"/>
      <c r="F727" s="196"/>
      <c r="G727" s="196"/>
      <c r="H727" s="199"/>
      <c r="I727" s="196"/>
      <c r="J727" s="198"/>
      <c r="K727" s="196"/>
      <c r="L727" s="196"/>
      <c r="M727" s="197"/>
      <c r="N727" s="192"/>
      <c r="O727" s="196"/>
      <c r="P727" s="196"/>
      <c r="Q727" s="200"/>
    </row>
    <row r="728" spans="1:17">
      <c r="A728" s="196"/>
      <c r="B728" s="196"/>
      <c r="C728" s="196"/>
      <c r="D728" s="19"/>
      <c r="E728" s="198"/>
      <c r="F728" s="196"/>
      <c r="G728" s="196"/>
      <c r="H728" s="199"/>
      <c r="I728" s="196"/>
      <c r="J728" s="198"/>
      <c r="K728" s="196"/>
      <c r="L728" s="196"/>
      <c r="M728" s="197"/>
      <c r="N728" s="192"/>
      <c r="O728" s="196"/>
      <c r="P728" s="196"/>
      <c r="Q728" s="200"/>
    </row>
    <row r="729" spans="1:17">
      <c r="A729" s="196"/>
      <c r="B729" s="196"/>
      <c r="C729" s="196"/>
      <c r="D729" s="19"/>
      <c r="E729" s="198"/>
      <c r="F729" s="196"/>
      <c r="G729" s="196"/>
      <c r="H729" s="199"/>
      <c r="I729" s="196"/>
      <c r="J729" s="198"/>
      <c r="K729" s="196"/>
      <c r="L729" s="196"/>
      <c r="M729" s="197"/>
      <c r="N729" s="192"/>
      <c r="O729" s="196"/>
      <c r="P729" s="196"/>
      <c r="Q729" s="200"/>
    </row>
    <row r="730" spans="1:17">
      <c r="A730" s="196"/>
      <c r="B730" s="196"/>
      <c r="C730" s="196"/>
      <c r="D730" s="19"/>
      <c r="E730" s="198"/>
      <c r="F730" s="196"/>
      <c r="G730" s="196"/>
      <c r="H730" s="199"/>
      <c r="I730" s="196"/>
      <c r="J730" s="198"/>
      <c r="K730" s="196"/>
      <c r="L730" s="196"/>
      <c r="M730" s="197"/>
      <c r="N730" s="192"/>
      <c r="O730" s="196"/>
      <c r="P730" s="196"/>
      <c r="Q730" s="200"/>
    </row>
    <row r="731" spans="1:17">
      <c r="A731" s="196"/>
      <c r="B731" s="196"/>
      <c r="C731" s="196"/>
      <c r="D731" s="19"/>
      <c r="E731" s="198"/>
      <c r="F731" s="196"/>
      <c r="G731" s="196"/>
      <c r="H731" s="199"/>
      <c r="I731" s="196"/>
      <c r="J731" s="198"/>
      <c r="K731" s="196"/>
      <c r="L731" s="196"/>
      <c r="M731" s="197"/>
      <c r="N731" s="192"/>
      <c r="O731" s="196"/>
      <c r="P731" s="196"/>
      <c r="Q731" s="200"/>
    </row>
    <row r="732" spans="1:17">
      <c r="A732" s="196"/>
      <c r="B732" s="196"/>
      <c r="C732" s="196"/>
      <c r="D732" s="19"/>
      <c r="E732" s="198"/>
      <c r="F732" s="196"/>
      <c r="G732" s="196"/>
      <c r="H732" s="199"/>
      <c r="I732" s="196"/>
      <c r="J732" s="198"/>
      <c r="K732" s="196"/>
      <c r="L732" s="196"/>
      <c r="M732" s="197"/>
      <c r="N732" s="192"/>
      <c r="O732" s="196"/>
      <c r="P732" s="196"/>
      <c r="Q732" s="200"/>
    </row>
    <row r="733" spans="1:17">
      <c r="A733" s="196"/>
      <c r="B733" s="196"/>
      <c r="C733" s="196"/>
      <c r="D733" s="19"/>
      <c r="E733" s="198"/>
      <c r="F733" s="196"/>
      <c r="G733" s="196"/>
      <c r="H733" s="199"/>
      <c r="I733" s="196"/>
      <c r="J733" s="198"/>
      <c r="K733" s="196"/>
      <c r="L733" s="196"/>
      <c r="M733" s="197"/>
      <c r="N733" s="192"/>
      <c r="O733" s="196"/>
      <c r="P733" s="196"/>
      <c r="Q733" s="200"/>
    </row>
    <row r="734" spans="1:17">
      <c r="A734" s="196"/>
      <c r="B734" s="196"/>
      <c r="C734" s="196"/>
      <c r="D734" s="19"/>
      <c r="E734" s="198"/>
      <c r="F734" s="196"/>
      <c r="G734" s="196"/>
      <c r="H734" s="199"/>
      <c r="I734" s="196"/>
      <c r="J734" s="198"/>
      <c r="K734" s="196"/>
      <c r="L734" s="196"/>
      <c r="M734" s="197"/>
      <c r="N734" s="192"/>
      <c r="O734" s="196"/>
      <c r="P734" s="196"/>
      <c r="Q734" s="200"/>
    </row>
    <row r="735" spans="1:17">
      <c r="A735" s="196"/>
      <c r="B735" s="196"/>
      <c r="C735" s="196"/>
      <c r="D735" s="19"/>
      <c r="E735" s="198"/>
      <c r="F735" s="196"/>
      <c r="G735" s="196"/>
      <c r="H735" s="199"/>
      <c r="I735" s="196"/>
      <c r="J735" s="198"/>
      <c r="K735" s="196"/>
      <c r="L735" s="196"/>
      <c r="M735" s="197"/>
      <c r="N735" s="192"/>
      <c r="O735" s="196"/>
      <c r="P735" s="196"/>
      <c r="Q735" s="200"/>
    </row>
    <row r="736" spans="1:17">
      <c r="A736" s="196"/>
      <c r="B736" s="196"/>
      <c r="C736" s="196"/>
      <c r="D736" s="19"/>
      <c r="E736" s="198"/>
      <c r="F736" s="196"/>
      <c r="G736" s="196"/>
      <c r="H736" s="199"/>
      <c r="I736" s="196"/>
      <c r="J736" s="198"/>
      <c r="K736" s="196"/>
      <c r="L736" s="196"/>
      <c r="M736" s="197"/>
      <c r="N736" s="192"/>
      <c r="O736" s="196"/>
      <c r="P736" s="196"/>
      <c r="Q736" s="200"/>
    </row>
    <row r="737" spans="1:17">
      <c r="A737" s="196"/>
      <c r="B737" s="196"/>
      <c r="C737" s="196"/>
      <c r="D737" s="19"/>
      <c r="E737" s="198"/>
      <c r="F737" s="196"/>
      <c r="G737" s="196"/>
      <c r="H737" s="199"/>
      <c r="I737" s="196"/>
      <c r="J737" s="198"/>
      <c r="K737" s="196"/>
      <c r="L737" s="196"/>
      <c r="M737" s="197"/>
      <c r="N737" s="192"/>
      <c r="O737" s="196"/>
      <c r="P737" s="196"/>
      <c r="Q737" s="200"/>
    </row>
    <row r="738" spans="1:17">
      <c r="A738" s="196"/>
      <c r="B738" s="196"/>
      <c r="C738" s="196"/>
      <c r="D738" s="19"/>
      <c r="E738" s="198"/>
      <c r="F738" s="196"/>
      <c r="G738" s="196"/>
      <c r="H738" s="199"/>
      <c r="I738" s="196"/>
      <c r="J738" s="198"/>
      <c r="K738" s="196"/>
      <c r="L738" s="196"/>
      <c r="M738" s="197"/>
      <c r="N738" s="192"/>
      <c r="O738" s="196"/>
      <c r="P738" s="196"/>
      <c r="Q738" s="200"/>
    </row>
    <row r="739" spans="1:17">
      <c r="A739" s="196"/>
      <c r="B739" s="196"/>
      <c r="C739" s="196"/>
      <c r="D739" s="19"/>
      <c r="E739" s="198"/>
      <c r="F739" s="196"/>
      <c r="G739" s="196"/>
      <c r="H739" s="199"/>
      <c r="I739" s="196"/>
      <c r="J739" s="198"/>
      <c r="K739" s="196"/>
      <c r="L739" s="196"/>
      <c r="M739" s="197"/>
      <c r="N739" s="192"/>
      <c r="O739" s="196"/>
      <c r="P739" s="196"/>
      <c r="Q739" s="200"/>
    </row>
    <row r="740" spans="1:17">
      <c r="A740" s="196"/>
      <c r="B740" s="196"/>
      <c r="C740" s="196"/>
      <c r="D740" s="19"/>
      <c r="E740" s="198"/>
      <c r="F740" s="196"/>
      <c r="G740" s="196"/>
      <c r="H740" s="199"/>
      <c r="I740" s="196"/>
      <c r="J740" s="198"/>
      <c r="K740" s="196"/>
      <c r="L740" s="196"/>
      <c r="M740" s="197"/>
      <c r="N740" s="192"/>
      <c r="O740" s="196"/>
      <c r="P740" s="196"/>
      <c r="Q740" s="200"/>
    </row>
    <row r="741" spans="1:17">
      <c r="A741" s="196"/>
      <c r="B741" s="196"/>
      <c r="C741" s="196"/>
      <c r="D741" s="19"/>
      <c r="E741" s="198"/>
      <c r="F741" s="196"/>
      <c r="G741" s="196"/>
      <c r="H741" s="199"/>
      <c r="I741" s="196"/>
      <c r="J741" s="198"/>
      <c r="K741" s="196"/>
      <c r="L741" s="196"/>
      <c r="M741" s="197"/>
      <c r="N741" s="192"/>
      <c r="O741" s="196"/>
      <c r="P741" s="196"/>
      <c r="Q741" s="200"/>
    </row>
    <row r="742" spans="1:17">
      <c r="A742" s="196"/>
      <c r="B742" s="196"/>
      <c r="C742" s="196"/>
      <c r="D742" s="19"/>
      <c r="E742" s="198"/>
      <c r="F742" s="196"/>
      <c r="G742" s="196"/>
      <c r="H742" s="199"/>
      <c r="I742" s="196"/>
      <c r="J742" s="198"/>
      <c r="K742" s="196"/>
      <c r="L742" s="196"/>
      <c r="M742" s="197"/>
      <c r="N742" s="192"/>
      <c r="O742" s="196"/>
      <c r="P742" s="196"/>
      <c r="Q742" s="200"/>
    </row>
    <row r="743" spans="1:17">
      <c r="A743" s="196"/>
      <c r="B743" s="196"/>
      <c r="C743" s="196"/>
      <c r="D743" s="19"/>
      <c r="E743" s="198"/>
      <c r="F743" s="196"/>
      <c r="G743" s="196"/>
      <c r="H743" s="199"/>
      <c r="I743" s="196"/>
      <c r="J743" s="198"/>
      <c r="K743" s="196"/>
      <c r="L743" s="196"/>
      <c r="M743" s="197"/>
      <c r="N743" s="192"/>
      <c r="O743" s="196"/>
      <c r="P743" s="196"/>
      <c r="Q743" s="200"/>
    </row>
    <row r="744" spans="1:17">
      <c r="A744" s="196"/>
      <c r="B744" s="196"/>
      <c r="C744" s="196"/>
      <c r="D744" s="19"/>
      <c r="E744" s="198"/>
      <c r="F744" s="196"/>
      <c r="G744" s="196"/>
      <c r="H744" s="199"/>
      <c r="I744" s="196"/>
      <c r="J744" s="198"/>
      <c r="K744" s="196"/>
      <c r="L744" s="196"/>
      <c r="M744" s="197"/>
      <c r="N744" s="192"/>
      <c r="O744" s="196"/>
      <c r="P744" s="196"/>
      <c r="Q744" s="200"/>
    </row>
    <row r="745" spans="1:17">
      <c r="A745" s="196"/>
      <c r="B745" s="196"/>
      <c r="C745" s="196"/>
      <c r="D745" s="19"/>
      <c r="E745" s="198"/>
      <c r="F745" s="196"/>
      <c r="G745" s="196"/>
      <c r="H745" s="199"/>
      <c r="I745" s="196"/>
      <c r="J745" s="198"/>
      <c r="K745" s="196"/>
      <c r="L745" s="196"/>
      <c r="M745" s="197"/>
      <c r="N745" s="192"/>
      <c r="O745" s="196"/>
      <c r="P745" s="196"/>
      <c r="Q745" s="200"/>
    </row>
    <row r="746" spans="1:17">
      <c r="A746" s="196"/>
      <c r="B746" s="196"/>
      <c r="C746" s="196"/>
      <c r="D746" s="19"/>
      <c r="E746" s="198"/>
      <c r="F746" s="196"/>
      <c r="G746" s="196"/>
      <c r="H746" s="199"/>
      <c r="I746" s="196"/>
      <c r="J746" s="198"/>
      <c r="K746" s="196"/>
      <c r="L746" s="196"/>
      <c r="M746" s="197"/>
      <c r="N746" s="192"/>
      <c r="O746" s="196"/>
      <c r="P746" s="196"/>
      <c r="Q746" s="200"/>
    </row>
    <row r="747" spans="1:17">
      <c r="A747" s="196"/>
      <c r="B747" s="196"/>
      <c r="C747" s="196"/>
      <c r="D747" s="19"/>
      <c r="E747" s="198"/>
      <c r="F747" s="196"/>
      <c r="G747" s="196"/>
      <c r="H747" s="199"/>
      <c r="I747" s="196"/>
      <c r="J747" s="198"/>
      <c r="K747" s="196"/>
      <c r="L747" s="196"/>
      <c r="M747" s="197"/>
      <c r="N747" s="192"/>
      <c r="O747" s="196"/>
      <c r="P747" s="196"/>
      <c r="Q747" s="200"/>
    </row>
    <row r="748" spans="1:17">
      <c r="A748" s="196"/>
      <c r="B748" s="196"/>
      <c r="C748" s="196"/>
      <c r="D748" s="19"/>
      <c r="E748" s="198"/>
      <c r="F748" s="196"/>
      <c r="G748" s="196"/>
      <c r="H748" s="199"/>
      <c r="I748" s="196"/>
      <c r="J748" s="198"/>
      <c r="K748" s="196"/>
      <c r="L748" s="196"/>
      <c r="M748" s="197"/>
      <c r="N748" s="192"/>
      <c r="O748" s="196"/>
      <c r="P748" s="196"/>
      <c r="Q748" s="200"/>
    </row>
    <row r="749" spans="1:17">
      <c r="A749" s="196"/>
      <c r="B749" s="196"/>
      <c r="C749" s="196"/>
      <c r="D749" s="19"/>
      <c r="E749" s="198"/>
      <c r="F749" s="196"/>
      <c r="G749" s="196"/>
      <c r="H749" s="199"/>
      <c r="I749" s="196"/>
      <c r="J749" s="198"/>
      <c r="K749" s="196"/>
      <c r="L749" s="196"/>
      <c r="M749" s="197"/>
      <c r="N749" s="192"/>
      <c r="O749" s="196"/>
      <c r="P749" s="196"/>
      <c r="Q749" s="200"/>
    </row>
    <row r="750" spans="1:17">
      <c r="A750" s="196"/>
      <c r="B750" s="196"/>
      <c r="C750" s="196"/>
      <c r="D750" s="19"/>
      <c r="E750" s="198"/>
      <c r="F750" s="196"/>
      <c r="G750" s="196"/>
      <c r="H750" s="199"/>
      <c r="I750" s="196"/>
      <c r="J750" s="198"/>
      <c r="K750" s="196"/>
      <c r="L750" s="196"/>
      <c r="M750" s="197"/>
      <c r="N750" s="192"/>
      <c r="O750" s="196"/>
      <c r="P750" s="196"/>
      <c r="Q750" s="200"/>
    </row>
    <row r="751" spans="1:17">
      <c r="A751" s="196"/>
      <c r="B751" s="196"/>
      <c r="C751" s="196"/>
      <c r="D751" s="19"/>
      <c r="E751" s="198"/>
      <c r="F751" s="196"/>
      <c r="G751" s="196"/>
      <c r="H751" s="199"/>
      <c r="I751" s="196"/>
      <c r="J751" s="198"/>
      <c r="K751" s="196"/>
      <c r="L751" s="196"/>
      <c r="M751" s="197"/>
      <c r="N751" s="192"/>
      <c r="O751" s="196"/>
      <c r="P751" s="196"/>
      <c r="Q751" s="200"/>
    </row>
    <row r="752" spans="1:17">
      <c r="A752" s="196"/>
      <c r="B752" s="196"/>
      <c r="C752" s="196"/>
      <c r="D752" s="19"/>
      <c r="E752" s="198"/>
      <c r="F752" s="196"/>
      <c r="G752" s="196"/>
      <c r="H752" s="199"/>
      <c r="I752" s="196"/>
      <c r="J752" s="198"/>
      <c r="K752" s="196"/>
      <c r="L752" s="196"/>
      <c r="M752" s="197"/>
      <c r="N752" s="192"/>
      <c r="O752" s="196"/>
      <c r="P752" s="196"/>
      <c r="Q752" s="200"/>
    </row>
    <row r="753" spans="1:17">
      <c r="A753" s="196"/>
      <c r="B753" s="196"/>
      <c r="C753" s="196"/>
      <c r="D753" s="19"/>
      <c r="E753" s="198"/>
      <c r="F753" s="196"/>
      <c r="G753" s="196"/>
      <c r="H753" s="199"/>
      <c r="I753" s="196"/>
      <c r="J753" s="198"/>
      <c r="K753" s="196"/>
      <c r="L753" s="196"/>
      <c r="M753" s="197"/>
      <c r="N753" s="192"/>
      <c r="O753" s="196"/>
      <c r="P753" s="196"/>
      <c r="Q753" s="200"/>
    </row>
    <row r="754" spans="1:17">
      <c r="A754" s="196"/>
      <c r="B754" s="196"/>
      <c r="C754" s="196"/>
      <c r="D754" s="19"/>
      <c r="E754" s="198"/>
      <c r="F754" s="196"/>
      <c r="G754" s="196"/>
      <c r="H754" s="199"/>
      <c r="I754" s="196"/>
      <c r="J754" s="198"/>
      <c r="K754" s="196"/>
      <c r="L754" s="196"/>
      <c r="M754" s="197"/>
      <c r="N754" s="192"/>
      <c r="O754" s="196"/>
      <c r="P754" s="196"/>
      <c r="Q754" s="200"/>
    </row>
    <row r="755" spans="1:17">
      <c r="A755" s="196"/>
      <c r="B755" s="196"/>
      <c r="C755" s="196"/>
      <c r="D755" s="19"/>
      <c r="E755" s="198"/>
      <c r="F755" s="196"/>
      <c r="G755" s="196"/>
      <c r="H755" s="199"/>
      <c r="I755" s="196"/>
      <c r="J755" s="198"/>
      <c r="K755" s="196"/>
      <c r="L755" s="196"/>
      <c r="M755" s="197"/>
      <c r="N755" s="192"/>
      <c r="O755" s="196"/>
      <c r="P755" s="196"/>
      <c r="Q755" s="200"/>
    </row>
    <row r="756" spans="1:17">
      <c r="A756" s="196"/>
      <c r="B756" s="196"/>
      <c r="C756" s="196"/>
      <c r="D756" s="19"/>
      <c r="E756" s="198"/>
      <c r="F756" s="196"/>
      <c r="G756" s="196"/>
      <c r="H756" s="199"/>
      <c r="I756" s="196"/>
      <c r="J756" s="198"/>
      <c r="K756" s="196"/>
      <c r="L756" s="196"/>
      <c r="M756" s="197"/>
      <c r="N756" s="192"/>
      <c r="O756" s="196"/>
      <c r="P756" s="196"/>
      <c r="Q756" s="200"/>
    </row>
    <row r="757" spans="1:17">
      <c r="A757" s="196"/>
      <c r="B757" s="196"/>
      <c r="C757" s="196"/>
      <c r="D757" s="19"/>
      <c r="E757" s="198"/>
      <c r="F757" s="196"/>
      <c r="G757" s="196"/>
      <c r="H757" s="199"/>
      <c r="I757" s="196"/>
      <c r="J757" s="198"/>
      <c r="K757" s="196"/>
      <c r="L757" s="196"/>
      <c r="M757" s="197"/>
      <c r="N757" s="192"/>
      <c r="O757" s="196"/>
      <c r="P757" s="196"/>
      <c r="Q757" s="200"/>
    </row>
    <row r="758" spans="1:17">
      <c r="A758" s="196"/>
      <c r="B758" s="196"/>
      <c r="C758" s="196"/>
      <c r="D758" s="19"/>
      <c r="E758" s="198"/>
      <c r="F758" s="196"/>
      <c r="G758" s="196"/>
      <c r="H758" s="199"/>
      <c r="I758" s="196"/>
      <c r="J758" s="198"/>
      <c r="K758" s="196"/>
      <c r="L758" s="196"/>
      <c r="M758" s="197"/>
      <c r="N758" s="192"/>
      <c r="O758" s="196"/>
      <c r="P758" s="196"/>
      <c r="Q758" s="200"/>
    </row>
    <row r="759" spans="1:17">
      <c r="A759" s="196"/>
      <c r="B759" s="196"/>
      <c r="C759" s="196"/>
      <c r="D759" s="19"/>
      <c r="E759" s="198"/>
      <c r="F759" s="196"/>
      <c r="G759" s="196"/>
      <c r="H759" s="199"/>
      <c r="I759" s="196"/>
      <c r="J759" s="198"/>
      <c r="K759" s="196"/>
      <c r="L759" s="196"/>
      <c r="M759" s="197"/>
      <c r="N759" s="192"/>
      <c r="O759" s="196"/>
      <c r="P759" s="196"/>
      <c r="Q759" s="200"/>
    </row>
    <row r="760" spans="1:17">
      <c r="A760" s="196"/>
      <c r="B760" s="196"/>
      <c r="C760" s="196"/>
      <c r="D760" s="19"/>
      <c r="E760" s="198"/>
      <c r="F760" s="196"/>
      <c r="G760" s="196"/>
      <c r="H760" s="199"/>
      <c r="I760" s="196"/>
      <c r="J760" s="198"/>
      <c r="K760" s="196"/>
      <c r="L760" s="196"/>
      <c r="M760" s="197"/>
      <c r="N760" s="192"/>
      <c r="O760" s="196"/>
      <c r="P760" s="196"/>
      <c r="Q760" s="200"/>
    </row>
    <row r="761" spans="1:17">
      <c r="A761" s="196"/>
      <c r="B761" s="196"/>
      <c r="C761" s="196"/>
      <c r="D761" s="19"/>
      <c r="E761" s="198"/>
      <c r="F761" s="196"/>
      <c r="G761" s="196"/>
      <c r="H761" s="199"/>
      <c r="I761" s="196"/>
      <c r="J761" s="198"/>
      <c r="K761" s="196"/>
      <c r="L761" s="196"/>
      <c r="M761" s="197"/>
      <c r="N761" s="192"/>
      <c r="O761" s="196"/>
      <c r="P761" s="196"/>
      <c r="Q761" s="200"/>
    </row>
    <row r="762" spans="1:17">
      <c r="A762" s="196"/>
      <c r="B762" s="196"/>
      <c r="C762" s="196"/>
      <c r="D762" s="19"/>
      <c r="E762" s="198"/>
      <c r="F762" s="196"/>
      <c r="G762" s="196"/>
      <c r="H762" s="199"/>
      <c r="I762" s="196"/>
      <c r="J762" s="198"/>
      <c r="K762" s="196"/>
      <c r="L762" s="196"/>
      <c r="M762" s="197"/>
      <c r="N762" s="192"/>
      <c r="O762" s="196"/>
      <c r="P762" s="196"/>
      <c r="Q762" s="200"/>
    </row>
    <row r="763" spans="1:17">
      <c r="A763" s="196"/>
      <c r="B763" s="196"/>
      <c r="C763" s="196"/>
      <c r="D763" s="19"/>
      <c r="E763" s="198"/>
      <c r="F763" s="196"/>
      <c r="G763" s="196"/>
      <c r="H763" s="199"/>
      <c r="I763" s="196"/>
      <c r="J763" s="198"/>
      <c r="K763" s="196"/>
      <c r="L763" s="196"/>
      <c r="M763" s="197"/>
      <c r="N763" s="192"/>
      <c r="O763" s="196"/>
      <c r="P763" s="196"/>
      <c r="Q763" s="200"/>
    </row>
    <row r="764" spans="1:17">
      <c r="A764" s="196"/>
      <c r="B764" s="196"/>
      <c r="C764" s="196"/>
      <c r="D764" s="19"/>
      <c r="E764" s="198"/>
      <c r="F764" s="196"/>
      <c r="G764" s="196"/>
      <c r="H764" s="199"/>
      <c r="I764" s="196"/>
      <c r="J764" s="198"/>
      <c r="K764" s="196"/>
      <c r="L764" s="196"/>
      <c r="M764" s="197"/>
      <c r="N764" s="192"/>
      <c r="O764" s="196"/>
      <c r="P764" s="196"/>
      <c r="Q764" s="200"/>
    </row>
    <row r="765" spans="1:17">
      <c r="A765" s="196"/>
      <c r="B765" s="196"/>
      <c r="C765" s="196"/>
      <c r="D765" s="19"/>
      <c r="E765" s="198"/>
      <c r="F765" s="196"/>
      <c r="G765" s="196"/>
      <c r="H765" s="199"/>
      <c r="I765" s="196"/>
      <c r="J765" s="198"/>
      <c r="K765" s="196"/>
      <c r="L765" s="196"/>
      <c r="M765" s="197"/>
      <c r="N765" s="192"/>
      <c r="O765" s="196"/>
      <c r="P765" s="196"/>
      <c r="Q765" s="200"/>
    </row>
    <row r="766" spans="1:17">
      <c r="A766" s="196"/>
      <c r="B766" s="196"/>
      <c r="C766" s="196"/>
      <c r="D766" s="19"/>
      <c r="E766" s="198"/>
      <c r="F766" s="196"/>
      <c r="G766" s="196"/>
      <c r="H766" s="199"/>
      <c r="I766" s="196"/>
      <c r="J766" s="198"/>
      <c r="K766" s="196"/>
      <c r="L766" s="196"/>
      <c r="M766" s="197"/>
      <c r="N766" s="192"/>
      <c r="O766" s="196"/>
      <c r="P766" s="196"/>
      <c r="Q766" s="200"/>
    </row>
    <row r="767" spans="1:17">
      <c r="A767" s="196"/>
      <c r="B767" s="196"/>
      <c r="C767" s="196"/>
      <c r="D767" s="19"/>
      <c r="E767" s="198"/>
      <c r="F767" s="196"/>
      <c r="G767" s="196"/>
      <c r="H767" s="199"/>
      <c r="I767" s="196"/>
      <c r="J767" s="198"/>
      <c r="K767" s="196"/>
      <c r="L767" s="196"/>
      <c r="M767" s="197"/>
      <c r="N767" s="192"/>
      <c r="O767" s="196"/>
      <c r="P767" s="196"/>
      <c r="Q767" s="200"/>
    </row>
    <row r="768" spans="1:17">
      <c r="A768" s="196"/>
      <c r="B768" s="196"/>
      <c r="C768" s="196"/>
      <c r="D768" s="19"/>
      <c r="E768" s="198"/>
      <c r="F768" s="196"/>
      <c r="G768" s="196"/>
      <c r="H768" s="199"/>
      <c r="I768" s="196"/>
      <c r="J768" s="198"/>
      <c r="K768" s="196"/>
      <c r="L768" s="196"/>
      <c r="M768" s="197"/>
      <c r="N768" s="192"/>
      <c r="O768" s="196"/>
      <c r="P768" s="196"/>
      <c r="Q768" s="200"/>
    </row>
    <row r="769" spans="1:17">
      <c r="A769" s="196"/>
      <c r="B769" s="196"/>
      <c r="C769" s="196"/>
      <c r="D769" s="19"/>
      <c r="E769" s="198"/>
      <c r="F769" s="196"/>
      <c r="G769" s="196"/>
      <c r="H769" s="199"/>
      <c r="I769" s="196"/>
      <c r="J769" s="198"/>
      <c r="K769" s="196"/>
      <c r="L769" s="196"/>
      <c r="M769" s="197"/>
      <c r="N769" s="192"/>
      <c r="O769" s="196"/>
      <c r="P769" s="196"/>
      <c r="Q769" s="200"/>
    </row>
    <row r="770" spans="1:17">
      <c r="A770" s="196"/>
      <c r="B770" s="196"/>
      <c r="C770" s="196"/>
      <c r="D770" s="19"/>
      <c r="E770" s="198"/>
      <c r="F770" s="196"/>
      <c r="G770" s="196"/>
      <c r="H770" s="199"/>
      <c r="I770" s="196"/>
      <c r="J770" s="198"/>
      <c r="K770" s="196"/>
      <c r="L770" s="196"/>
      <c r="M770" s="197"/>
      <c r="N770" s="192"/>
      <c r="O770" s="196"/>
      <c r="P770" s="196"/>
      <c r="Q770" s="200"/>
    </row>
    <row r="771" spans="1:17">
      <c r="A771" s="196"/>
      <c r="B771" s="196"/>
      <c r="C771" s="196"/>
      <c r="D771" s="19"/>
      <c r="E771" s="198"/>
      <c r="F771" s="196"/>
      <c r="G771" s="196"/>
      <c r="H771" s="199"/>
      <c r="I771" s="196"/>
      <c r="J771" s="198"/>
      <c r="K771" s="196"/>
      <c r="L771" s="196"/>
      <c r="M771" s="197"/>
      <c r="N771" s="192"/>
      <c r="O771" s="196"/>
      <c r="P771" s="196"/>
      <c r="Q771" s="200"/>
    </row>
    <row r="772" spans="1:17">
      <c r="A772" s="196"/>
      <c r="B772" s="196"/>
      <c r="C772" s="196"/>
      <c r="D772" s="19"/>
      <c r="E772" s="198"/>
      <c r="F772" s="196"/>
      <c r="G772" s="196"/>
      <c r="H772" s="199"/>
      <c r="I772" s="196"/>
      <c r="J772" s="198"/>
      <c r="K772" s="196"/>
      <c r="L772" s="196"/>
      <c r="M772" s="197"/>
      <c r="N772" s="192"/>
      <c r="O772" s="196"/>
      <c r="P772" s="196"/>
      <c r="Q772" s="200"/>
    </row>
    <row r="773" spans="1:17">
      <c r="A773" s="196"/>
      <c r="B773" s="196"/>
      <c r="C773" s="196"/>
      <c r="D773" s="19"/>
      <c r="E773" s="198"/>
      <c r="F773" s="196"/>
      <c r="G773" s="196"/>
      <c r="H773" s="199"/>
      <c r="I773" s="196"/>
      <c r="J773" s="198"/>
      <c r="K773" s="196"/>
      <c r="L773" s="196"/>
      <c r="M773" s="197"/>
      <c r="N773" s="192"/>
      <c r="O773" s="196"/>
      <c r="P773" s="196"/>
      <c r="Q773" s="200"/>
    </row>
    <row r="774" spans="1:17">
      <c r="A774" s="196"/>
      <c r="B774" s="196"/>
      <c r="C774" s="196"/>
      <c r="D774" s="19"/>
      <c r="E774" s="198"/>
      <c r="F774" s="196"/>
      <c r="G774" s="196"/>
      <c r="H774" s="199"/>
      <c r="I774" s="196"/>
      <c r="J774" s="198"/>
      <c r="K774" s="196"/>
      <c r="L774" s="196"/>
      <c r="M774" s="197"/>
      <c r="N774" s="192"/>
      <c r="O774" s="196"/>
      <c r="P774" s="196"/>
      <c r="Q774" s="200"/>
    </row>
    <row r="775" spans="1:17">
      <c r="A775" s="196"/>
      <c r="B775" s="196"/>
      <c r="C775" s="196"/>
      <c r="D775" s="19"/>
      <c r="E775" s="198"/>
      <c r="F775" s="196"/>
      <c r="G775" s="196"/>
      <c r="H775" s="199"/>
      <c r="I775" s="196"/>
      <c r="J775" s="198"/>
      <c r="K775" s="196"/>
      <c r="L775" s="196"/>
      <c r="M775" s="197"/>
      <c r="N775" s="192"/>
      <c r="O775" s="196"/>
      <c r="P775" s="196"/>
      <c r="Q775" s="200"/>
    </row>
    <row r="776" spans="1:17">
      <c r="A776" s="196"/>
      <c r="B776" s="196"/>
      <c r="C776" s="196"/>
      <c r="D776" s="19"/>
      <c r="E776" s="198"/>
      <c r="F776" s="196"/>
      <c r="G776" s="196"/>
      <c r="H776" s="199"/>
      <c r="I776" s="196"/>
      <c r="J776" s="198"/>
      <c r="K776" s="196"/>
      <c r="L776" s="196"/>
      <c r="M776" s="197"/>
      <c r="N776" s="192"/>
      <c r="O776" s="196"/>
      <c r="P776" s="196"/>
      <c r="Q776" s="200"/>
    </row>
    <row r="777" spans="1:17">
      <c r="A777" s="196"/>
      <c r="B777" s="196"/>
      <c r="C777" s="196"/>
      <c r="D777" s="19"/>
      <c r="E777" s="198"/>
      <c r="F777" s="196"/>
      <c r="G777" s="196"/>
      <c r="H777" s="199"/>
      <c r="I777" s="196"/>
      <c r="J777" s="198"/>
      <c r="K777" s="196"/>
      <c r="L777" s="196"/>
      <c r="M777" s="197"/>
      <c r="N777" s="192"/>
      <c r="O777" s="196"/>
      <c r="P777" s="196"/>
      <c r="Q777" s="200"/>
    </row>
    <row r="778" spans="1:17">
      <c r="A778" s="196"/>
      <c r="B778" s="196"/>
      <c r="C778" s="196"/>
      <c r="D778" s="19"/>
      <c r="E778" s="198"/>
      <c r="F778" s="196"/>
      <c r="G778" s="196"/>
      <c r="H778" s="199"/>
      <c r="I778" s="196"/>
      <c r="J778" s="198"/>
      <c r="K778" s="196"/>
      <c r="L778" s="196"/>
      <c r="M778" s="197"/>
      <c r="N778" s="192"/>
      <c r="O778" s="196"/>
      <c r="P778" s="196"/>
      <c r="Q778" s="200"/>
    </row>
    <row r="779" spans="1:17">
      <c r="A779" s="196"/>
      <c r="B779" s="196"/>
      <c r="C779" s="196"/>
      <c r="D779" s="19"/>
      <c r="E779" s="198"/>
      <c r="F779" s="196"/>
      <c r="G779" s="196"/>
      <c r="H779" s="199"/>
      <c r="I779" s="196"/>
      <c r="J779" s="198"/>
      <c r="K779" s="196"/>
      <c r="L779" s="196"/>
      <c r="M779" s="197"/>
      <c r="N779" s="192"/>
      <c r="O779" s="196"/>
      <c r="P779" s="196"/>
      <c r="Q779" s="200"/>
    </row>
    <row r="780" spans="1:17">
      <c r="A780" s="196"/>
      <c r="B780" s="196"/>
      <c r="C780" s="196"/>
      <c r="D780" s="19"/>
      <c r="E780" s="198"/>
      <c r="F780" s="196"/>
      <c r="G780" s="196"/>
      <c r="H780" s="199"/>
      <c r="I780" s="196"/>
      <c r="J780" s="198"/>
      <c r="K780" s="196"/>
      <c r="L780" s="196"/>
      <c r="M780" s="197"/>
      <c r="N780" s="192"/>
      <c r="O780" s="196"/>
      <c r="P780" s="196"/>
      <c r="Q780" s="200"/>
    </row>
    <row r="781" spans="1:17">
      <c r="A781" s="196"/>
      <c r="B781" s="196"/>
      <c r="C781" s="196"/>
      <c r="D781" s="19"/>
      <c r="E781" s="198"/>
      <c r="F781" s="196"/>
      <c r="G781" s="196"/>
      <c r="H781" s="199"/>
      <c r="I781" s="196"/>
      <c r="J781" s="198"/>
      <c r="K781" s="196"/>
      <c r="L781" s="196"/>
      <c r="M781" s="197"/>
      <c r="N781" s="192"/>
      <c r="O781" s="196"/>
      <c r="P781" s="196"/>
      <c r="Q781" s="200"/>
    </row>
    <row r="782" spans="1:17">
      <c r="A782" s="196"/>
      <c r="B782" s="196"/>
      <c r="C782" s="196"/>
      <c r="D782" s="19"/>
      <c r="E782" s="198"/>
      <c r="F782" s="196"/>
      <c r="G782" s="196"/>
      <c r="H782" s="199"/>
      <c r="I782" s="196"/>
      <c r="J782" s="198"/>
      <c r="K782" s="196"/>
      <c r="L782" s="196"/>
      <c r="M782" s="197"/>
      <c r="N782" s="192"/>
      <c r="O782" s="196"/>
      <c r="P782" s="196"/>
      <c r="Q782" s="200"/>
    </row>
    <row r="783" spans="1:17">
      <c r="A783" s="196"/>
      <c r="B783" s="196"/>
      <c r="C783" s="196"/>
      <c r="D783" s="19"/>
      <c r="E783" s="198"/>
      <c r="F783" s="196"/>
      <c r="G783" s="196"/>
      <c r="H783" s="199"/>
      <c r="I783" s="196"/>
      <c r="J783" s="198"/>
      <c r="K783" s="196"/>
      <c r="L783" s="196"/>
      <c r="M783" s="197"/>
      <c r="N783" s="192"/>
      <c r="O783" s="196"/>
      <c r="P783" s="196"/>
      <c r="Q783" s="200"/>
    </row>
    <row r="784" spans="1:17">
      <c r="A784" s="196"/>
      <c r="B784" s="196"/>
      <c r="C784" s="196"/>
      <c r="D784" s="19"/>
      <c r="E784" s="198"/>
      <c r="F784" s="196"/>
      <c r="G784" s="196"/>
      <c r="H784" s="199"/>
      <c r="I784" s="196"/>
      <c r="J784" s="198"/>
      <c r="K784" s="196"/>
      <c r="L784" s="196"/>
      <c r="M784" s="197"/>
      <c r="N784" s="192"/>
      <c r="O784" s="196"/>
      <c r="P784" s="196"/>
      <c r="Q784" s="200"/>
    </row>
    <row r="785" spans="1:17">
      <c r="A785" s="196"/>
      <c r="B785" s="196"/>
      <c r="C785" s="196"/>
      <c r="D785" s="19"/>
      <c r="E785" s="198"/>
      <c r="F785" s="196"/>
      <c r="G785" s="196"/>
      <c r="H785" s="199"/>
      <c r="I785" s="196"/>
      <c r="J785" s="198"/>
      <c r="K785" s="196"/>
      <c r="L785" s="196"/>
      <c r="M785" s="197"/>
      <c r="N785" s="192"/>
      <c r="O785" s="196"/>
      <c r="P785" s="196"/>
      <c r="Q785" s="200"/>
    </row>
    <row r="786" spans="1:17">
      <c r="A786" s="196"/>
      <c r="B786" s="196"/>
      <c r="C786" s="196"/>
      <c r="D786" s="19"/>
      <c r="E786" s="198"/>
      <c r="F786" s="196"/>
      <c r="G786" s="196"/>
      <c r="H786" s="199"/>
      <c r="I786" s="196"/>
      <c r="J786" s="198"/>
      <c r="K786" s="196"/>
      <c r="L786" s="196"/>
      <c r="M786" s="197"/>
      <c r="N786" s="192"/>
      <c r="O786" s="196"/>
      <c r="P786" s="196"/>
      <c r="Q786" s="200"/>
    </row>
    <row r="787" spans="1:17">
      <c r="A787" s="196"/>
      <c r="B787" s="196"/>
      <c r="C787" s="196"/>
      <c r="D787" s="19"/>
      <c r="E787" s="198"/>
      <c r="F787" s="196"/>
      <c r="G787" s="196"/>
      <c r="H787" s="199"/>
      <c r="I787" s="196"/>
      <c r="J787" s="198"/>
      <c r="K787" s="196"/>
      <c r="L787" s="196"/>
      <c r="M787" s="197"/>
      <c r="N787" s="192"/>
      <c r="O787" s="196"/>
      <c r="P787" s="196"/>
      <c r="Q787" s="200"/>
    </row>
    <row r="788" spans="1:17">
      <c r="A788" s="196"/>
      <c r="B788" s="196"/>
      <c r="C788" s="196"/>
      <c r="D788" s="19"/>
      <c r="E788" s="198"/>
      <c r="F788" s="196"/>
      <c r="G788" s="196"/>
      <c r="H788" s="199"/>
      <c r="I788" s="196"/>
      <c r="J788" s="198"/>
      <c r="K788" s="196"/>
      <c r="L788" s="196"/>
      <c r="M788" s="197"/>
      <c r="N788" s="192"/>
      <c r="O788" s="196"/>
      <c r="P788" s="196"/>
      <c r="Q788" s="200"/>
    </row>
    <row r="789" spans="1:17">
      <c r="A789" s="196"/>
      <c r="B789" s="196"/>
      <c r="C789" s="196"/>
      <c r="D789" s="19"/>
      <c r="E789" s="198"/>
      <c r="F789" s="196"/>
      <c r="G789" s="196"/>
      <c r="H789" s="199"/>
      <c r="I789" s="196"/>
      <c r="J789" s="198"/>
      <c r="K789" s="196"/>
      <c r="L789" s="196"/>
      <c r="M789" s="197"/>
      <c r="N789" s="192"/>
      <c r="O789" s="196"/>
      <c r="P789" s="196"/>
      <c r="Q789" s="200"/>
    </row>
    <row r="790" spans="1:17">
      <c r="A790" s="196"/>
      <c r="B790" s="196"/>
      <c r="C790" s="196"/>
      <c r="D790" s="19"/>
      <c r="E790" s="198"/>
      <c r="F790" s="196"/>
      <c r="G790" s="196"/>
      <c r="H790" s="199"/>
      <c r="I790" s="196"/>
      <c r="J790" s="198"/>
      <c r="K790" s="196"/>
      <c r="L790" s="196"/>
      <c r="M790" s="197"/>
      <c r="N790" s="192"/>
      <c r="O790" s="196"/>
      <c r="P790" s="196"/>
      <c r="Q790" s="200"/>
    </row>
    <row r="791" spans="1:17">
      <c r="A791" s="196"/>
      <c r="B791" s="196"/>
      <c r="C791" s="196"/>
      <c r="D791" s="19"/>
      <c r="E791" s="198"/>
      <c r="F791" s="196"/>
      <c r="G791" s="196"/>
      <c r="H791" s="199"/>
      <c r="I791" s="196"/>
      <c r="J791" s="198"/>
      <c r="K791" s="196"/>
      <c r="L791" s="196"/>
      <c r="M791" s="197"/>
      <c r="N791" s="192"/>
      <c r="O791" s="196"/>
      <c r="P791" s="196"/>
      <c r="Q791" s="200"/>
    </row>
    <row r="792" spans="1:17">
      <c r="A792" s="196"/>
      <c r="B792" s="196"/>
      <c r="C792" s="196"/>
      <c r="D792" s="19"/>
      <c r="E792" s="198"/>
      <c r="F792" s="196"/>
      <c r="G792" s="196"/>
      <c r="H792" s="199"/>
      <c r="I792" s="196"/>
      <c r="J792" s="198"/>
      <c r="K792" s="196"/>
      <c r="L792" s="196"/>
      <c r="M792" s="197"/>
      <c r="N792" s="192"/>
      <c r="O792" s="196"/>
      <c r="P792" s="196"/>
      <c r="Q792" s="200"/>
    </row>
    <row r="793" spans="1:17">
      <c r="A793" s="196"/>
      <c r="B793" s="196"/>
      <c r="C793" s="196"/>
      <c r="D793" s="19"/>
      <c r="E793" s="198"/>
      <c r="F793" s="196"/>
      <c r="G793" s="196"/>
      <c r="H793" s="199"/>
      <c r="I793" s="196"/>
      <c r="J793" s="198"/>
      <c r="K793" s="196"/>
      <c r="L793" s="196"/>
      <c r="M793" s="197"/>
      <c r="N793" s="192"/>
      <c r="O793" s="196"/>
      <c r="P793" s="196"/>
      <c r="Q793" s="200"/>
    </row>
    <row r="794" spans="1:17">
      <c r="A794" s="196"/>
      <c r="B794" s="196"/>
      <c r="C794" s="196"/>
      <c r="D794" s="19"/>
      <c r="E794" s="198"/>
      <c r="F794" s="196"/>
      <c r="G794" s="196"/>
      <c r="H794" s="199"/>
      <c r="I794" s="196"/>
      <c r="J794" s="198"/>
      <c r="K794" s="196"/>
      <c r="L794" s="196"/>
      <c r="M794" s="197"/>
      <c r="N794" s="192"/>
      <c r="O794" s="196"/>
      <c r="P794" s="196"/>
      <c r="Q794" s="200"/>
    </row>
    <row r="795" spans="1:17">
      <c r="A795" s="196"/>
      <c r="B795" s="196"/>
      <c r="C795" s="196"/>
      <c r="D795" s="19"/>
      <c r="E795" s="198"/>
      <c r="F795" s="196"/>
      <c r="G795" s="196"/>
      <c r="H795" s="199"/>
      <c r="I795" s="196"/>
      <c r="J795" s="198"/>
      <c r="K795" s="196"/>
      <c r="L795" s="196"/>
      <c r="M795" s="197"/>
      <c r="N795" s="192"/>
      <c r="O795" s="196"/>
      <c r="P795" s="196"/>
      <c r="Q795" s="200"/>
    </row>
    <row r="796" spans="1:17">
      <c r="A796" s="196"/>
      <c r="B796" s="196"/>
      <c r="C796" s="196"/>
      <c r="D796" s="19"/>
      <c r="E796" s="198"/>
      <c r="F796" s="196"/>
      <c r="G796" s="196"/>
      <c r="H796" s="199"/>
      <c r="I796" s="196"/>
      <c r="J796" s="198"/>
      <c r="K796" s="196"/>
      <c r="L796" s="196"/>
      <c r="M796" s="197"/>
      <c r="N796" s="192"/>
      <c r="O796" s="196"/>
      <c r="P796" s="196"/>
      <c r="Q796" s="200"/>
    </row>
    <row r="797" spans="1:17">
      <c r="A797" s="196"/>
      <c r="B797" s="196"/>
      <c r="C797" s="196"/>
      <c r="D797" s="19"/>
      <c r="E797" s="198"/>
      <c r="F797" s="196"/>
      <c r="G797" s="196"/>
      <c r="H797" s="199"/>
      <c r="I797" s="196"/>
      <c r="J797" s="198"/>
      <c r="K797" s="196"/>
      <c r="L797" s="196"/>
      <c r="M797" s="197"/>
      <c r="N797" s="192"/>
      <c r="O797" s="196"/>
      <c r="P797" s="196"/>
      <c r="Q797" s="200"/>
    </row>
    <row r="798" spans="1:17">
      <c r="A798" s="196"/>
      <c r="B798" s="196"/>
      <c r="C798" s="196"/>
      <c r="D798" s="19"/>
      <c r="E798" s="198"/>
      <c r="F798" s="196"/>
      <c r="G798" s="196"/>
      <c r="H798" s="199"/>
      <c r="I798" s="196"/>
      <c r="J798" s="198"/>
      <c r="K798" s="196"/>
      <c r="L798" s="196"/>
      <c r="M798" s="197"/>
      <c r="N798" s="192"/>
      <c r="O798" s="196"/>
      <c r="P798" s="196"/>
      <c r="Q798" s="200"/>
    </row>
    <row r="799" spans="1:17">
      <c r="A799" s="196"/>
      <c r="B799" s="196"/>
      <c r="C799" s="196"/>
      <c r="D799" s="19"/>
      <c r="E799" s="198"/>
      <c r="F799" s="196"/>
      <c r="G799" s="196"/>
      <c r="H799" s="199"/>
      <c r="I799" s="196"/>
      <c r="J799" s="198"/>
      <c r="K799" s="196"/>
      <c r="L799" s="196"/>
      <c r="M799" s="197"/>
      <c r="N799" s="192"/>
      <c r="O799" s="196"/>
      <c r="P799" s="196"/>
      <c r="Q799" s="200"/>
    </row>
    <row r="800" spans="1:17">
      <c r="A800" s="196"/>
      <c r="B800" s="196"/>
      <c r="C800" s="196"/>
      <c r="D800" s="19"/>
      <c r="E800" s="198"/>
      <c r="F800" s="196"/>
      <c r="G800" s="196"/>
      <c r="H800" s="199"/>
      <c r="I800" s="196"/>
      <c r="J800" s="198"/>
      <c r="K800" s="196"/>
      <c r="L800" s="196"/>
      <c r="M800" s="197"/>
      <c r="N800" s="192"/>
      <c r="O800" s="196"/>
      <c r="P800" s="196"/>
      <c r="Q800" s="200"/>
    </row>
    <row r="801" spans="1:17">
      <c r="A801" s="196"/>
      <c r="B801" s="196"/>
      <c r="C801" s="196"/>
      <c r="D801" s="19"/>
      <c r="E801" s="198"/>
      <c r="F801" s="196"/>
      <c r="G801" s="196"/>
      <c r="H801" s="199"/>
      <c r="I801" s="196"/>
      <c r="J801" s="198"/>
      <c r="K801" s="196"/>
      <c r="L801" s="196"/>
      <c r="M801" s="197"/>
      <c r="N801" s="192"/>
      <c r="O801" s="196"/>
      <c r="P801" s="196"/>
      <c r="Q801" s="200"/>
    </row>
    <row r="802" spans="1:17">
      <c r="A802" s="196"/>
      <c r="B802" s="196"/>
      <c r="C802" s="196"/>
      <c r="D802" s="19"/>
      <c r="E802" s="198"/>
      <c r="F802" s="196"/>
      <c r="G802" s="196"/>
      <c r="H802" s="199"/>
      <c r="I802" s="196"/>
      <c r="J802" s="198"/>
      <c r="K802" s="196"/>
      <c r="L802" s="196"/>
      <c r="M802" s="197"/>
      <c r="N802" s="192"/>
      <c r="O802" s="196"/>
      <c r="P802" s="196"/>
      <c r="Q802" s="200"/>
    </row>
    <row r="803" spans="1:17">
      <c r="A803" s="196"/>
      <c r="B803" s="196"/>
      <c r="C803" s="196"/>
      <c r="D803" s="19"/>
      <c r="E803" s="198"/>
      <c r="F803" s="196"/>
      <c r="G803" s="196"/>
      <c r="H803" s="199"/>
      <c r="I803" s="196"/>
      <c r="J803" s="198"/>
      <c r="K803" s="196"/>
      <c r="L803" s="196"/>
      <c r="M803" s="197"/>
      <c r="N803" s="192"/>
      <c r="O803" s="196"/>
      <c r="P803" s="196"/>
      <c r="Q803" s="200"/>
    </row>
    <row r="804" spans="1:17">
      <c r="A804" s="196"/>
      <c r="B804" s="196"/>
      <c r="C804" s="196"/>
      <c r="D804" s="19"/>
      <c r="E804" s="198"/>
      <c r="F804" s="196"/>
      <c r="G804" s="196"/>
      <c r="H804" s="199"/>
      <c r="I804" s="196"/>
      <c r="J804" s="198"/>
      <c r="K804" s="196"/>
      <c r="L804" s="196"/>
      <c r="M804" s="197"/>
      <c r="N804" s="192"/>
      <c r="O804" s="196"/>
      <c r="P804" s="196"/>
      <c r="Q804" s="200"/>
    </row>
    <row r="805" spans="1:17">
      <c r="A805" s="196"/>
      <c r="B805" s="196"/>
      <c r="C805" s="196"/>
      <c r="D805" s="19"/>
      <c r="E805" s="198"/>
      <c r="F805" s="196"/>
      <c r="G805" s="196"/>
      <c r="H805" s="199"/>
      <c r="I805" s="196"/>
      <c r="J805" s="198"/>
      <c r="K805" s="196"/>
      <c r="L805" s="196"/>
      <c r="M805" s="197"/>
      <c r="N805" s="192"/>
      <c r="O805" s="196"/>
      <c r="P805" s="196"/>
      <c r="Q805" s="200"/>
    </row>
    <row r="806" spans="1:17">
      <c r="A806" s="196"/>
      <c r="B806" s="196"/>
      <c r="C806" s="196"/>
      <c r="D806" s="19"/>
      <c r="E806" s="198"/>
      <c r="F806" s="196"/>
      <c r="G806" s="196"/>
      <c r="H806" s="199"/>
      <c r="I806" s="196"/>
      <c r="J806" s="198"/>
      <c r="K806" s="196"/>
      <c r="L806" s="196"/>
      <c r="M806" s="197"/>
      <c r="N806" s="192"/>
      <c r="O806" s="196"/>
      <c r="P806" s="196"/>
      <c r="Q806" s="200"/>
    </row>
    <row r="807" spans="1:17">
      <c r="A807" s="196"/>
      <c r="B807" s="196"/>
      <c r="C807" s="196"/>
      <c r="D807" s="19"/>
      <c r="E807" s="198"/>
      <c r="F807" s="196"/>
      <c r="G807" s="196"/>
      <c r="H807" s="199"/>
      <c r="I807" s="196"/>
      <c r="J807" s="198"/>
      <c r="K807" s="196"/>
      <c r="L807" s="196"/>
      <c r="M807" s="197"/>
      <c r="N807" s="192"/>
      <c r="O807" s="196"/>
      <c r="P807" s="196"/>
      <c r="Q807" s="200"/>
    </row>
    <row r="808" spans="1:17">
      <c r="A808" s="196"/>
      <c r="B808" s="196"/>
      <c r="C808" s="196"/>
      <c r="D808" s="19"/>
      <c r="E808" s="198"/>
      <c r="F808" s="196"/>
      <c r="G808" s="196"/>
      <c r="H808" s="199"/>
      <c r="I808" s="196"/>
      <c r="J808" s="198"/>
      <c r="K808" s="196"/>
      <c r="L808" s="196"/>
      <c r="M808" s="197"/>
      <c r="N808" s="192"/>
      <c r="O808" s="196"/>
      <c r="P808" s="196"/>
      <c r="Q808" s="200"/>
    </row>
    <row r="809" spans="1:17">
      <c r="A809" s="196"/>
      <c r="B809" s="196"/>
      <c r="C809" s="196"/>
      <c r="D809" s="19"/>
      <c r="E809" s="198"/>
      <c r="F809" s="196"/>
      <c r="G809" s="196"/>
      <c r="H809" s="199"/>
      <c r="I809" s="196"/>
      <c r="J809" s="198"/>
      <c r="K809" s="196"/>
      <c r="L809" s="196"/>
      <c r="M809" s="197"/>
      <c r="N809" s="192"/>
      <c r="O809" s="196"/>
      <c r="P809" s="196"/>
      <c r="Q809" s="200"/>
    </row>
    <row r="810" spans="1:17">
      <c r="A810" s="196"/>
      <c r="B810" s="196"/>
      <c r="C810" s="196"/>
      <c r="D810" s="19"/>
      <c r="E810" s="198"/>
      <c r="F810" s="196"/>
      <c r="G810" s="196"/>
      <c r="H810" s="199"/>
      <c r="I810" s="196"/>
      <c r="J810" s="198"/>
      <c r="K810" s="196"/>
      <c r="L810" s="196"/>
      <c r="M810" s="197"/>
      <c r="N810" s="192"/>
      <c r="O810" s="196"/>
      <c r="P810" s="196"/>
      <c r="Q810" s="200"/>
    </row>
    <row r="811" spans="1:17">
      <c r="A811" s="196"/>
      <c r="B811" s="196"/>
      <c r="C811" s="196"/>
      <c r="D811" s="19"/>
      <c r="E811" s="198"/>
      <c r="F811" s="196"/>
      <c r="G811" s="196"/>
      <c r="H811" s="199"/>
      <c r="I811" s="196"/>
      <c r="J811" s="198"/>
      <c r="K811" s="196"/>
      <c r="L811" s="196"/>
      <c r="M811" s="197"/>
      <c r="N811" s="192"/>
      <c r="O811" s="196"/>
      <c r="P811" s="196"/>
      <c r="Q811" s="200"/>
    </row>
    <row r="812" spans="1:17">
      <c r="A812" s="196"/>
      <c r="B812" s="196"/>
      <c r="C812" s="196"/>
      <c r="D812" s="19"/>
      <c r="E812" s="198"/>
      <c r="F812" s="196"/>
      <c r="G812" s="196"/>
      <c r="H812" s="199"/>
      <c r="I812" s="196"/>
      <c r="J812" s="198"/>
      <c r="K812" s="196"/>
      <c r="L812" s="196"/>
      <c r="M812" s="197"/>
      <c r="N812" s="192"/>
      <c r="O812" s="196"/>
      <c r="P812" s="196"/>
      <c r="Q812" s="200"/>
    </row>
    <row r="813" spans="1:17">
      <c r="A813" s="196"/>
      <c r="B813" s="196"/>
      <c r="C813" s="196"/>
      <c r="D813" s="19"/>
      <c r="E813" s="198"/>
      <c r="F813" s="196"/>
      <c r="G813" s="196"/>
      <c r="H813" s="199"/>
      <c r="I813" s="196"/>
      <c r="J813" s="198"/>
      <c r="K813" s="196"/>
      <c r="L813" s="196"/>
      <c r="M813" s="197"/>
      <c r="N813" s="192"/>
      <c r="O813" s="196"/>
      <c r="P813" s="196"/>
      <c r="Q813" s="200"/>
    </row>
    <row r="814" spans="1:17">
      <c r="A814" s="196"/>
      <c r="B814" s="196"/>
      <c r="C814" s="196"/>
      <c r="D814" s="19"/>
      <c r="E814" s="198"/>
      <c r="F814" s="196"/>
      <c r="G814" s="196"/>
      <c r="H814" s="199"/>
      <c r="I814" s="196"/>
      <c r="J814" s="198"/>
      <c r="K814" s="196"/>
      <c r="L814" s="196"/>
      <c r="M814" s="197"/>
      <c r="N814" s="192"/>
      <c r="O814" s="196"/>
      <c r="P814" s="196"/>
      <c r="Q814" s="200"/>
    </row>
    <row r="815" spans="1:17">
      <c r="A815" s="196"/>
      <c r="B815" s="196"/>
      <c r="C815" s="196"/>
      <c r="D815" s="19"/>
      <c r="E815" s="198"/>
      <c r="F815" s="196"/>
      <c r="G815" s="196"/>
      <c r="H815" s="199"/>
      <c r="I815" s="196"/>
      <c r="J815" s="198"/>
      <c r="K815" s="196"/>
      <c r="L815" s="196"/>
      <c r="M815" s="197"/>
      <c r="N815" s="192"/>
      <c r="O815" s="196"/>
      <c r="P815" s="196"/>
      <c r="Q815" s="200"/>
    </row>
    <row r="816" spans="1:17">
      <c r="A816" s="196"/>
      <c r="B816" s="196"/>
      <c r="C816" s="196"/>
      <c r="D816" s="19"/>
      <c r="E816" s="198"/>
      <c r="F816" s="196"/>
      <c r="G816" s="196"/>
      <c r="H816" s="199"/>
      <c r="I816" s="196"/>
      <c r="J816" s="198"/>
      <c r="K816" s="196"/>
      <c r="L816" s="196"/>
      <c r="M816" s="197"/>
      <c r="N816" s="192"/>
      <c r="O816" s="196"/>
      <c r="P816" s="196"/>
      <c r="Q816" s="200"/>
    </row>
    <row r="817" spans="1:17">
      <c r="A817" s="196"/>
      <c r="B817" s="196"/>
      <c r="C817" s="196"/>
      <c r="D817" s="19"/>
      <c r="E817" s="198"/>
      <c r="F817" s="196"/>
      <c r="G817" s="196"/>
      <c r="H817" s="199"/>
      <c r="I817" s="196"/>
      <c r="J817" s="198"/>
      <c r="K817" s="196"/>
      <c r="L817" s="196"/>
      <c r="M817" s="197"/>
      <c r="N817" s="192"/>
      <c r="O817" s="196"/>
      <c r="P817" s="196"/>
      <c r="Q817" s="200"/>
    </row>
    <row r="818" spans="1:17">
      <c r="A818" s="196"/>
      <c r="B818" s="196"/>
      <c r="C818" s="196"/>
      <c r="D818" s="19"/>
      <c r="E818" s="198"/>
      <c r="F818" s="196"/>
      <c r="G818" s="196"/>
      <c r="H818" s="199"/>
      <c r="I818" s="196"/>
      <c r="J818" s="198"/>
      <c r="K818" s="196"/>
      <c r="L818" s="196"/>
      <c r="M818" s="197"/>
      <c r="N818" s="192"/>
      <c r="O818" s="196"/>
      <c r="P818" s="196"/>
      <c r="Q818" s="200"/>
    </row>
    <row r="819" spans="1:17">
      <c r="A819" s="196"/>
      <c r="B819" s="196"/>
      <c r="C819" s="196"/>
      <c r="D819" s="19"/>
      <c r="E819" s="198"/>
      <c r="F819" s="196"/>
      <c r="G819" s="196"/>
      <c r="H819" s="199"/>
      <c r="I819" s="196"/>
      <c r="J819" s="198"/>
      <c r="K819" s="196"/>
      <c r="L819" s="196"/>
      <c r="M819" s="197"/>
      <c r="N819" s="192"/>
      <c r="O819" s="196"/>
      <c r="P819" s="196"/>
      <c r="Q819" s="200"/>
    </row>
    <row r="820" spans="1:17">
      <c r="A820" s="196"/>
      <c r="B820" s="196"/>
      <c r="C820" s="196"/>
      <c r="D820" s="19"/>
      <c r="E820" s="198"/>
      <c r="F820" s="196"/>
      <c r="G820" s="196"/>
      <c r="H820" s="199"/>
      <c r="I820" s="196"/>
      <c r="J820" s="198"/>
      <c r="K820" s="196"/>
      <c r="L820" s="196"/>
      <c r="M820" s="197"/>
      <c r="N820" s="192"/>
      <c r="O820" s="196"/>
      <c r="P820" s="196"/>
      <c r="Q820" s="200"/>
    </row>
    <row r="821" spans="1:17">
      <c r="A821" s="196"/>
      <c r="B821" s="196"/>
      <c r="C821" s="196"/>
      <c r="D821" s="19"/>
      <c r="E821" s="198"/>
      <c r="F821" s="196"/>
      <c r="G821" s="196"/>
      <c r="H821" s="199"/>
      <c r="I821" s="196"/>
      <c r="J821" s="198"/>
      <c r="K821" s="196"/>
      <c r="L821" s="196"/>
      <c r="M821" s="197"/>
      <c r="N821" s="192"/>
      <c r="O821" s="196"/>
      <c r="P821" s="196"/>
      <c r="Q821" s="200"/>
    </row>
    <row r="822" spans="1:17">
      <c r="A822" s="196"/>
      <c r="B822" s="196"/>
      <c r="C822" s="196"/>
      <c r="D822" s="19"/>
      <c r="E822" s="198"/>
      <c r="F822" s="196"/>
      <c r="G822" s="196"/>
      <c r="H822" s="199"/>
      <c r="I822" s="196"/>
      <c r="J822" s="198"/>
      <c r="K822" s="196"/>
      <c r="L822" s="196"/>
      <c r="M822" s="197"/>
      <c r="N822" s="192"/>
      <c r="O822" s="196"/>
      <c r="P822" s="196"/>
      <c r="Q822" s="200"/>
    </row>
    <row r="823" spans="1:17">
      <c r="A823" s="196"/>
      <c r="B823" s="196"/>
      <c r="C823" s="196"/>
      <c r="D823" s="19"/>
      <c r="E823" s="198"/>
      <c r="F823" s="196"/>
      <c r="G823" s="196"/>
      <c r="H823" s="199"/>
      <c r="I823" s="196"/>
      <c r="J823" s="198"/>
      <c r="K823" s="196"/>
      <c r="L823" s="196"/>
      <c r="M823" s="197"/>
      <c r="N823" s="192"/>
      <c r="O823" s="196"/>
      <c r="P823" s="196"/>
      <c r="Q823" s="200"/>
    </row>
    <row r="824" spans="1:17">
      <c r="A824" s="196"/>
      <c r="B824" s="196"/>
      <c r="C824" s="196"/>
      <c r="D824" s="19"/>
      <c r="E824" s="198"/>
      <c r="F824" s="196"/>
      <c r="G824" s="196"/>
      <c r="H824" s="199"/>
      <c r="I824" s="196"/>
      <c r="J824" s="198"/>
      <c r="K824" s="196"/>
      <c r="L824" s="196"/>
      <c r="M824" s="197"/>
      <c r="N824" s="192"/>
      <c r="O824" s="196"/>
      <c r="P824" s="196"/>
      <c r="Q824" s="200"/>
    </row>
    <row r="825" spans="1:17">
      <c r="A825" s="196"/>
      <c r="B825" s="196"/>
      <c r="C825" s="196"/>
      <c r="D825" s="19"/>
      <c r="E825" s="198"/>
      <c r="F825" s="196"/>
      <c r="G825" s="196"/>
      <c r="H825" s="199"/>
      <c r="I825" s="196"/>
      <c r="J825" s="198"/>
      <c r="K825" s="196"/>
      <c r="L825" s="196"/>
      <c r="M825" s="197"/>
      <c r="N825" s="192"/>
      <c r="O825" s="196"/>
      <c r="P825" s="196"/>
      <c r="Q825" s="200"/>
    </row>
    <row r="826" spans="1:17">
      <c r="A826" s="196"/>
      <c r="B826" s="196"/>
      <c r="C826" s="196"/>
      <c r="D826" s="19"/>
      <c r="E826" s="198"/>
      <c r="F826" s="196"/>
      <c r="G826" s="196"/>
      <c r="H826" s="199"/>
      <c r="I826" s="196"/>
      <c r="J826" s="198"/>
      <c r="K826" s="196"/>
      <c r="L826" s="196"/>
      <c r="M826" s="197"/>
      <c r="N826" s="192"/>
      <c r="O826" s="196"/>
      <c r="P826" s="196"/>
      <c r="Q826" s="200"/>
    </row>
    <row r="827" spans="1:17">
      <c r="A827" s="196"/>
      <c r="B827" s="196"/>
      <c r="C827" s="196"/>
      <c r="D827" s="19"/>
      <c r="E827" s="198"/>
      <c r="F827" s="196"/>
      <c r="G827" s="196"/>
      <c r="H827" s="199"/>
      <c r="I827" s="196"/>
      <c r="J827" s="198"/>
      <c r="K827" s="196"/>
      <c r="L827" s="196"/>
      <c r="M827" s="197"/>
      <c r="N827" s="192"/>
      <c r="O827" s="196"/>
      <c r="P827" s="196"/>
      <c r="Q827" s="200"/>
    </row>
    <row r="828" spans="1:17">
      <c r="A828" s="196"/>
      <c r="B828" s="196"/>
      <c r="C828" s="196"/>
      <c r="D828" s="19"/>
      <c r="E828" s="198"/>
      <c r="F828" s="196"/>
      <c r="G828" s="196"/>
      <c r="H828" s="199"/>
      <c r="I828" s="196"/>
      <c r="J828" s="198"/>
      <c r="K828" s="196"/>
      <c r="L828" s="196"/>
      <c r="M828" s="197"/>
      <c r="N828" s="192"/>
      <c r="O828" s="196"/>
      <c r="P828" s="196"/>
      <c r="Q828" s="200"/>
    </row>
    <row r="829" spans="1:17">
      <c r="A829" s="196"/>
      <c r="B829" s="196"/>
      <c r="C829" s="196"/>
      <c r="D829" s="19"/>
      <c r="E829" s="198"/>
      <c r="F829" s="196"/>
      <c r="G829" s="196"/>
      <c r="H829" s="199"/>
      <c r="I829" s="196"/>
      <c r="J829" s="198"/>
      <c r="K829" s="196"/>
      <c r="L829" s="196"/>
      <c r="M829" s="197"/>
      <c r="N829" s="192"/>
      <c r="O829" s="196"/>
      <c r="P829" s="196"/>
      <c r="Q829" s="200"/>
    </row>
    <row r="830" spans="1:17">
      <c r="A830" s="196"/>
      <c r="B830" s="196"/>
      <c r="C830" s="196"/>
      <c r="D830" s="19"/>
      <c r="E830" s="198"/>
      <c r="F830" s="196"/>
      <c r="G830" s="196"/>
      <c r="H830" s="199"/>
      <c r="I830" s="196"/>
      <c r="J830" s="198"/>
      <c r="K830" s="196"/>
      <c r="L830" s="196"/>
      <c r="M830" s="197"/>
      <c r="N830" s="192"/>
      <c r="O830" s="196"/>
      <c r="P830" s="196"/>
      <c r="Q830" s="200"/>
    </row>
    <row r="831" spans="1:17">
      <c r="A831" s="196"/>
      <c r="B831" s="196"/>
      <c r="C831" s="196"/>
      <c r="D831" s="19"/>
      <c r="E831" s="198"/>
      <c r="F831" s="196"/>
      <c r="G831" s="196"/>
      <c r="H831" s="199"/>
      <c r="I831" s="196"/>
      <c r="J831" s="198"/>
      <c r="K831" s="196"/>
      <c r="L831" s="196"/>
      <c r="M831" s="197"/>
      <c r="N831" s="192"/>
      <c r="O831" s="196"/>
      <c r="P831" s="196"/>
      <c r="Q831" s="200"/>
    </row>
    <row r="832" spans="1:17">
      <c r="A832" s="196"/>
      <c r="B832" s="196"/>
      <c r="C832" s="196"/>
      <c r="D832" s="19"/>
      <c r="E832" s="198"/>
      <c r="F832" s="196"/>
      <c r="G832" s="196"/>
      <c r="H832" s="199"/>
      <c r="I832" s="196"/>
      <c r="J832" s="198"/>
      <c r="K832" s="196"/>
      <c r="L832" s="196"/>
      <c r="M832" s="197"/>
      <c r="N832" s="192"/>
      <c r="O832" s="196"/>
      <c r="P832" s="196"/>
      <c r="Q832" s="200"/>
    </row>
    <row r="833" spans="1:17">
      <c r="A833" s="196"/>
      <c r="B833" s="196"/>
      <c r="C833" s="196"/>
      <c r="D833" s="19"/>
      <c r="E833" s="198"/>
      <c r="F833" s="196"/>
      <c r="G833" s="196"/>
      <c r="H833" s="199"/>
      <c r="I833" s="196"/>
      <c r="J833" s="198"/>
      <c r="K833" s="196"/>
      <c r="L833" s="196"/>
      <c r="M833" s="197"/>
      <c r="N833" s="192"/>
      <c r="O833" s="196"/>
      <c r="P833" s="196"/>
      <c r="Q833" s="200"/>
    </row>
    <row r="834" spans="1:17">
      <c r="A834" s="196"/>
      <c r="B834" s="196"/>
      <c r="C834" s="196"/>
      <c r="D834" s="19"/>
      <c r="E834" s="198"/>
      <c r="F834" s="196"/>
      <c r="G834" s="196"/>
      <c r="H834" s="199"/>
      <c r="I834" s="196"/>
      <c r="J834" s="198"/>
      <c r="K834" s="196"/>
      <c r="L834" s="196"/>
      <c r="M834" s="197"/>
      <c r="N834" s="192"/>
      <c r="O834" s="196"/>
      <c r="P834" s="196"/>
      <c r="Q834" s="200"/>
    </row>
    <row r="835" spans="1:17">
      <c r="A835" s="196"/>
      <c r="B835" s="196"/>
      <c r="C835" s="196"/>
      <c r="D835" s="19"/>
      <c r="E835" s="198"/>
      <c r="F835" s="196"/>
      <c r="G835" s="196"/>
      <c r="H835" s="199"/>
      <c r="I835" s="196"/>
      <c r="J835" s="198"/>
      <c r="K835" s="196"/>
      <c r="L835" s="196"/>
      <c r="M835" s="197"/>
      <c r="N835" s="192"/>
      <c r="O835" s="196"/>
      <c r="P835" s="196"/>
      <c r="Q835" s="200"/>
    </row>
    <row r="836" spans="1:17">
      <c r="A836" s="196"/>
      <c r="B836" s="196"/>
      <c r="C836" s="196"/>
      <c r="D836" s="19"/>
      <c r="E836" s="198"/>
      <c r="F836" s="196"/>
      <c r="G836" s="196"/>
      <c r="H836" s="199"/>
      <c r="I836" s="196"/>
      <c r="J836" s="198"/>
      <c r="K836" s="196"/>
      <c r="L836" s="196"/>
      <c r="M836" s="197"/>
      <c r="N836" s="192"/>
      <c r="O836" s="196"/>
      <c r="P836" s="196"/>
      <c r="Q836" s="200"/>
    </row>
    <row r="837" spans="1:17">
      <c r="A837" s="196"/>
      <c r="B837" s="196"/>
      <c r="C837" s="196"/>
      <c r="D837" s="19"/>
      <c r="E837" s="198"/>
      <c r="F837" s="196"/>
      <c r="G837" s="196"/>
      <c r="H837" s="199"/>
      <c r="I837" s="196"/>
      <c r="J837" s="198"/>
      <c r="K837" s="196"/>
      <c r="L837" s="196"/>
      <c r="M837" s="197"/>
      <c r="N837" s="192"/>
      <c r="O837" s="196"/>
      <c r="P837" s="196"/>
      <c r="Q837" s="200"/>
    </row>
    <row r="838" spans="1:17">
      <c r="A838" s="196"/>
      <c r="B838" s="196"/>
      <c r="C838" s="196"/>
      <c r="D838" s="19"/>
      <c r="E838" s="198"/>
      <c r="F838" s="196"/>
      <c r="G838" s="196"/>
      <c r="H838" s="199"/>
      <c r="I838" s="196"/>
      <c r="J838" s="198"/>
      <c r="K838" s="196"/>
      <c r="L838" s="196"/>
      <c r="M838" s="197"/>
      <c r="N838" s="192"/>
      <c r="O838" s="196"/>
      <c r="P838" s="196"/>
      <c r="Q838" s="200"/>
    </row>
    <row r="839" spans="1:17">
      <c r="A839" s="196"/>
      <c r="B839" s="196"/>
      <c r="C839" s="196"/>
      <c r="D839" s="19"/>
      <c r="E839" s="198"/>
      <c r="F839" s="196"/>
      <c r="G839" s="196"/>
      <c r="H839" s="199"/>
      <c r="I839" s="196"/>
      <c r="J839" s="198"/>
      <c r="K839" s="196"/>
      <c r="L839" s="196"/>
      <c r="M839" s="197"/>
      <c r="N839" s="192"/>
      <c r="O839" s="196"/>
      <c r="P839" s="196"/>
      <c r="Q839" s="200"/>
    </row>
    <row r="840" spans="1:17">
      <c r="A840" s="196"/>
      <c r="B840" s="196"/>
      <c r="C840" s="196"/>
      <c r="D840" s="19"/>
      <c r="E840" s="198"/>
      <c r="F840" s="196"/>
      <c r="G840" s="196"/>
      <c r="H840" s="199"/>
      <c r="I840" s="196"/>
      <c r="J840" s="198"/>
      <c r="K840" s="196"/>
      <c r="L840" s="196"/>
      <c r="M840" s="197"/>
      <c r="N840" s="192"/>
      <c r="O840" s="196"/>
      <c r="P840" s="196"/>
      <c r="Q840" s="200"/>
    </row>
    <row r="841" spans="1:17">
      <c r="A841" s="196"/>
      <c r="B841" s="196"/>
      <c r="C841" s="196"/>
      <c r="D841" s="19"/>
      <c r="E841" s="198"/>
      <c r="F841" s="196"/>
      <c r="G841" s="196"/>
      <c r="H841" s="199"/>
      <c r="I841" s="196"/>
      <c r="J841" s="198"/>
      <c r="K841" s="196"/>
      <c r="L841" s="196"/>
      <c r="M841" s="197"/>
      <c r="N841" s="192"/>
      <c r="O841" s="196"/>
      <c r="P841" s="196"/>
      <c r="Q841" s="200"/>
    </row>
    <row r="842" spans="1:17">
      <c r="A842" s="196"/>
      <c r="B842" s="196"/>
      <c r="C842" s="196"/>
      <c r="D842" s="19"/>
      <c r="E842" s="198"/>
      <c r="F842" s="196"/>
      <c r="G842" s="196"/>
      <c r="H842" s="199"/>
      <c r="I842" s="196"/>
      <c r="J842" s="198"/>
      <c r="K842" s="196"/>
      <c r="L842" s="196"/>
      <c r="M842" s="197"/>
      <c r="N842" s="192"/>
      <c r="O842" s="196"/>
      <c r="P842" s="196"/>
      <c r="Q842" s="200"/>
    </row>
    <row r="843" spans="1:17">
      <c r="A843" s="196"/>
      <c r="B843" s="196"/>
      <c r="C843" s="196"/>
      <c r="D843" s="19"/>
      <c r="E843" s="198"/>
      <c r="F843" s="196"/>
      <c r="G843" s="196"/>
      <c r="H843" s="199"/>
      <c r="I843" s="196"/>
      <c r="J843" s="198"/>
      <c r="K843" s="196"/>
      <c r="L843" s="196"/>
      <c r="M843" s="197"/>
      <c r="N843" s="192"/>
      <c r="O843" s="196"/>
      <c r="P843" s="196"/>
      <c r="Q843" s="200"/>
    </row>
    <row r="844" spans="1:17">
      <c r="A844" s="196"/>
      <c r="B844" s="196"/>
      <c r="C844" s="196"/>
      <c r="D844" s="19"/>
      <c r="E844" s="198"/>
      <c r="F844" s="196"/>
      <c r="G844" s="196"/>
      <c r="H844" s="199"/>
      <c r="I844" s="196"/>
      <c r="J844" s="198"/>
      <c r="K844" s="196"/>
      <c r="L844" s="196"/>
      <c r="M844" s="197"/>
      <c r="N844" s="192"/>
      <c r="O844" s="196"/>
      <c r="P844" s="196"/>
      <c r="Q844" s="200"/>
    </row>
    <row r="845" spans="1:17">
      <c r="A845" s="196"/>
      <c r="B845" s="196"/>
      <c r="C845" s="196"/>
      <c r="D845" s="19"/>
      <c r="E845" s="198"/>
      <c r="F845" s="196"/>
      <c r="G845" s="196"/>
      <c r="H845" s="199"/>
      <c r="I845" s="196"/>
      <c r="J845" s="198"/>
      <c r="K845" s="196"/>
      <c r="L845" s="196"/>
      <c r="M845" s="197"/>
      <c r="N845" s="192"/>
      <c r="O845" s="196"/>
      <c r="P845" s="196"/>
      <c r="Q845" s="200"/>
    </row>
    <row r="846" spans="1:17">
      <c r="A846" s="196"/>
      <c r="B846" s="196"/>
      <c r="C846" s="196"/>
      <c r="D846" s="19"/>
      <c r="E846" s="198"/>
      <c r="F846" s="196"/>
      <c r="G846" s="196"/>
      <c r="H846" s="199"/>
      <c r="I846" s="196"/>
      <c r="J846" s="198"/>
      <c r="K846" s="196"/>
      <c r="L846" s="196"/>
      <c r="M846" s="197"/>
      <c r="N846" s="192"/>
      <c r="O846" s="196"/>
      <c r="P846" s="196"/>
      <c r="Q846" s="200"/>
    </row>
    <row r="847" spans="1:17">
      <c r="A847" s="196"/>
      <c r="B847" s="196"/>
      <c r="C847" s="196"/>
      <c r="D847" s="19"/>
      <c r="E847" s="198"/>
      <c r="F847" s="196"/>
      <c r="G847" s="196"/>
      <c r="H847" s="199"/>
      <c r="I847" s="196"/>
      <c r="J847" s="198"/>
      <c r="K847" s="196"/>
      <c r="L847" s="196"/>
      <c r="M847" s="197"/>
      <c r="N847" s="192"/>
      <c r="O847" s="196"/>
      <c r="P847" s="196"/>
      <c r="Q847" s="200"/>
    </row>
    <row r="848" spans="1:17">
      <c r="A848" s="196"/>
      <c r="B848" s="196"/>
      <c r="C848" s="196"/>
      <c r="D848" s="19"/>
      <c r="E848" s="198"/>
      <c r="F848" s="196"/>
      <c r="G848" s="196"/>
      <c r="H848" s="199"/>
      <c r="I848" s="196"/>
      <c r="J848" s="198"/>
      <c r="K848" s="196"/>
      <c r="L848" s="196"/>
      <c r="M848" s="197"/>
      <c r="N848" s="192"/>
      <c r="O848" s="196"/>
      <c r="P848" s="196"/>
      <c r="Q848" s="200"/>
    </row>
    <row r="849" spans="1:17">
      <c r="A849" s="196"/>
      <c r="B849" s="196"/>
      <c r="C849" s="196"/>
      <c r="D849" s="19"/>
      <c r="E849" s="198"/>
      <c r="F849" s="196"/>
      <c r="G849" s="196"/>
      <c r="H849" s="199"/>
      <c r="I849" s="196"/>
      <c r="J849" s="198"/>
      <c r="K849" s="196"/>
      <c r="L849" s="196"/>
      <c r="M849" s="197"/>
      <c r="N849" s="192"/>
      <c r="O849" s="196"/>
      <c r="P849" s="196"/>
      <c r="Q849" s="200"/>
    </row>
    <row r="850" spans="1:17">
      <c r="A850" s="196"/>
      <c r="B850" s="196"/>
      <c r="C850" s="196"/>
      <c r="D850" s="19"/>
      <c r="E850" s="198"/>
      <c r="F850" s="196"/>
      <c r="G850" s="196"/>
      <c r="H850" s="199"/>
      <c r="I850" s="196"/>
      <c r="J850" s="198"/>
      <c r="K850" s="196"/>
      <c r="L850" s="196"/>
      <c r="M850" s="197"/>
      <c r="N850" s="192"/>
      <c r="O850" s="196"/>
      <c r="P850" s="196"/>
      <c r="Q850" s="200"/>
    </row>
    <row r="851" spans="1:17">
      <c r="A851" s="196"/>
      <c r="B851" s="196"/>
      <c r="C851" s="196"/>
      <c r="D851" s="19"/>
      <c r="E851" s="198"/>
      <c r="F851" s="196"/>
      <c r="G851" s="196"/>
      <c r="H851" s="199"/>
      <c r="I851" s="196"/>
      <c r="J851" s="198"/>
      <c r="K851" s="196"/>
      <c r="L851" s="196"/>
      <c r="M851" s="197"/>
      <c r="N851" s="192"/>
      <c r="O851" s="196"/>
      <c r="P851" s="196"/>
      <c r="Q851" s="200"/>
    </row>
    <row r="852" spans="1:17">
      <c r="A852" s="196"/>
      <c r="B852" s="196"/>
      <c r="C852" s="196"/>
      <c r="D852" s="19"/>
      <c r="E852" s="198"/>
      <c r="F852" s="196"/>
      <c r="G852" s="196"/>
      <c r="H852" s="199"/>
      <c r="I852" s="196"/>
      <c r="J852" s="198"/>
      <c r="K852" s="196"/>
      <c r="L852" s="196"/>
      <c r="M852" s="197"/>
      <c r="N852" s="192"/>
      <c r="O852" s="196"/>
      <c r="P852" s="196"/>
      <c r="Q852" s="200"/>
    </row>
    <row r="853" spans="1:17">
      <c r="A853" s="196"/>
      <c r="B853" s="196"/>
      <c r="C853" s="196"/>
      <c r="D853" s="19"/>
      <c r="E853" s="198"/>
      <c r="F853" s="196"/>
      <c r="G853" s="196"/>
      <c r="H853" s="199"/>
      <c r="I853" s="196"/>
      <c r="J853" s="198"/>
      <c r="K853" s="196"/>
      <c r="L853" s="196"/>
      <c r="M853" s="197"/>
      <c r="N853" s="192"/>
      <c r="O853" s="196"/>
      <c r="P853" s="196"/>
      <c r="Q853" s="200"/>
    </row>
    <row r="854" spans="1:17">
      <c r="A854" s="196"/>
      <c r="B854" s="196"/>
      <c r="C854" s="196"/>
      <c r="D854" s="19"/>
      <c r="E854" s="198"/>
      <c r="F854" s="196"/>
      <c r="G854" s="196"/>
      <c r="H854" s="199"/>
      <c r="I854" s="196"/>
      <c r="J854" s="198"/>
      <c r="K854" s="196"/>
      <c r="L854" s="196"/>
      <c r="M854" s="197"/>
      <c r="N854" s="192"/>
      <c r="O854" s="196"/>
      <c r="P854" s="196"/>
      <c r="Q854" s="200"/>
    </row>
    <row r="855" spans="1:17">
      <c r="A855" s="196"/>
      <c r="B855" s="196"/>
      <c r="C855" s="196"/>
      <c r="D855" s="19"/>
      <c r="E855" s="198"/>
      <c r="F855" s="196"/>
      <c r="G855" s="196"/>
      <c r="H855" s="199"/>
      <c r="I855" s="196"/>
      <c r="J855" s="198"/>
      <c r="K855" s="196"/>
      <c r="L855" s="196"/>
      <c r="M855" s="197"/>
      <c r="N855" s="192"/>
      <c r="O855" s="196"/>
      <c r="P855" s="196"/>
      <c r="Q855" s="200"/>
    </row>
    <row r="856" spans="1:17">
      <c r="A856" s="196"/>
      <c r="B856" s="196"/>
      <c r="C856" s="196"/>
      <c r="D856" s="19"/>
      <c r="E856" s="198"/>
      <c r="F856" s="196"/>
      <c r="G856" s="196"/>
      <c r="H856" s="199"/>
      <c r="I856" s="196"/>
      <c r="J856" s="198"/>
      <c r="K856" s="196"/>
      <c r="L856" s="196"/>
      <c r="M856" s="197"/>
      <c r="N856" s="192"/>
      <c r="O856" s="196"/>
      <c r="P856" s="196"/>
      <c r="Q856" s="200"/>
    </row>
    <row r="857" spans="1:17">
      <c r="A857" s="196"/>
      <c r="B857" s="196"/>
      <c r="C857" s="196"/>
      <c r="D857" s="19"/>
      <c r="E857" s="198"/>
      <c r="F857" s="196"/>
      <c r="G857" s="196"/>
      <c r="H857" s="199"/>
      <c r="I857" s="196"/>
      <c r="J857" s="198"/>
      <c r="K857" s="196"/>
      <c r="L857" s="196"/>
      <c r="M857" s="197"/>
      <c r="N857" s="192"/>
      <c r="O857" s="196"/>
      <c r="P857" s="196"/>
      <c r="Q857" s="200"/>
    </row>
    <row r="858" spans="1:17">
      <c r="A858" s="196"/>
      <c r="B858" s="196"/>
      <c r="C858" s="196"/>
      <c r="D858" s="19"/>
      <c r="E858" s="198"/>
      <c r="F858" s="196"/>
      <c r="G858" s="196"/>
      <c r="H858" s="199"/>
      <c r="I858" s="196"/>
      <c r="J858" s="198"/>
      <c r="K858" s="196"/>
      <c r="L858" s="196"/>
      <c r="M858" s="197"/>
      <c r="N858" s="192"/>
      <c r="O858" s="196"/>
      <c r="P858" s="196"/>
      <c r="Q858" s="200"/>
    </row>
    <row r="859" spans="1:17">
      <c r="A859" s="196"/>
      <c r="B859" s="196"/>
      <c r="C859" s="196"/>
      <c r="D859" s="19"/>
      <c r="E859" s="198"/>
      <c r="F859" s="196"/>
      <c r="G859" s="196"/>
      <c r="H859" s="199"/>
      <c r="I859" s="196"/>
      <c r="J859" s="198"/>
      <c r="K859" s="196"/>
      <c r="L859" s="196"/>
      <c r="M859" s="197"/>
      <c r="N859" s="192"/>
      <c r="O859" s="196"/>
      <c r="P859" s="196"/>
      <c r="Q859" s="200"/>
    </row>
    <row r="860" spans="1:17">
      <c r="A860" s="196"/>
      <c r="B860" s="196"/>
      <c r="C860" s="196"/>
      <c r="D860" s="19"/>
      <c r="E860" s="198"/>
      <c r="F860" s="196"/>
      <c r="G860" s="196"/>
      <c r="H860" s="199"/>
      <c r="I860" s="196"/>
      <c r="J860" s="198"/>
      <c r="K860" s="196"/>
      <c r="L860" s="196"/>
      <c r="M860" s="197"/>
      <c r="N860" s="192"/>
      <c r="O860" s="196"/>
      <c r="P860" s="196"/>
      <c r="Q860" s="200"/>
    </row>
    <row r="861" spans="1:17">
      <c r="A861" s="196"/>
      <c r="B861" s="196"/>
      <c r="C861" s="196"/>
      <c r="D861" s="19"/>
      <c r="E861" s="198"/>
      <c r="F861" s="196"/>
      <c r="G861" s="196"/>
      <c r="H861" s="199"/>
      <c r="I861" s="196"/>
      <c r="J861" s="198"/>
      <c r="K861" s="196"/>
      <c r="L861" s="196"/>
      <c r="M861" s="197"/>
      <c r="N861" s="192"/>
      <c r="O861" s="196"/>
      <c r="P861" s="196"/>
      <c r="Q861" s="200"/>
    </row>
    <row r="862" spans="1:17">
      <c r="A862" s="196"/>
      <c r="B862" s="196"/>
      <c r="C862" s="196"/>
      <c r="D862" s="19"/>
      <c r="E862" s="198"/>
      <c r="F862" s="196"/>
      <c r="G862" s="196"/>
      <c r="H862" s="199"/>
      <c r="I862" s="196"/>
      <c r="J862" s="198"/>
      <c r="K862" s="196"/>
      <c r="L862" s="196"/>
      <c r="M862" s="197"/>
      <c r="N862" s="192"/>
      <c r="O862" s="196"/>
      <c r="P862" s="196"/>
      <c r="Q862" s="200"/>
    </row>
    <row r="863" spans="1:17">
      <c r="A863" s="196"/>
      <c r="B863" s="196"/>
      <c r="C863" s="196"/>
      <c r="D863" s="19"/>
      <c r="E863" s="198"/>
      <c r="F863" s="196"/>
      <c r="G863" s="196"/>
      <c r="H863" s="199"/>
      <c r="I863" s="196"/>
      <c r="J863" s="198"/>
      <c r="K863" s="196"/>
      <c r="L863" s="196"/>
      <c r="M863" s="197"/>
      <c r="N863" s="192"/>
      <c r="O863" s="196"/>
      <c r="P863" s="196"/>
      <c r="Q863" s="200"/>
    </row>
    <row r="864" spans="1:17">
      <c r="A864" s="196"/>
      <c r="B864" s="196"/>
      <c r="C864" s="196"/>
      <c r="D864" s="19"/>
      <c r="E864" s="198"/>
      <c r="F864" s="196"/>
      <c r="G864" s="196"/>
      <c r="H864" s="199"/>
      <c r="I864" s="196"/>
      <c r="J864" s="198"/>
      <c r="K864" s="196"/>
      <c r="L864" s="196"/>
      <c r="M864" s="197"/>
      <c r="N864" s="192"/>
      <c r="O864" s="196"/>
      <c r="P864" s="196"/>
      <c r="Q864" s="200"/>
    </row>
    <row r="865" spans="1:17">
      <c r="A865" s="196"/>
      <c r="B865" s="196"/>
      <c r="C865" s="196"/>
      <c r="D865" s="19"/>
      <c r="E865" s="198"/>
      <c r="F865" s="196"/>
      <c r="G865" s="196"/>
      <c r="H865" s="199"/>
      <c r="I865" s="196"/>
      <c r="J865" s="198"/>
      <c r="K865" s="196"/>
      <c r="L865" s="196"/>
      <c r="M865" s="197"/>
      <c r="N865" s="192"/>
      <c r="O865" s="196"/>
      <c r="P865" s="196"/>
      <c r="Q865" s="200"/>
    </row>
    <row r="866" spans="1:17">
      <c r="A866" s="196"/>
      <c r="B866" s="196"/>
      <c r="C866" s="196"/>
      <c r="D866" s="19"/>
      <c r="E866" s="198"/>
      <c r="F866" s="196"/>
      <c r="G866" s="196"/>
      <c r="H866" s="199"/>
      <c r="I866" s="196"/>
      <c r="J866" s="198"/>
      <c r="K866" s="196"/>
      <c r="L866" s="196"/>
      <c r="M866" s="197"/>
      <c r="N866" s="192"/>
      <c r="O866" s="196"/>
      <c r="P866" s="196"/>
      <c r="Q866" s="200"/>
    </row>
    <row r="867" spans="1:17">
      <c r="A867" s="196"/>
      <c r="B867" s="196"/>
      <c r="C867" s="196"/>
      <c r="D867" s="19"/>
      <c r="E867" s="198"/>
      <c r="F867" s="196"/>
      <c r="G867" s="196"/>
      <c r="H867" s="199"/>
      <c r="I867" s="196"/>
      <c r="J867" s="198"/>
      <c r="K867" s="196"/>
      <c r="L867" s="196"/>
      <c r="M867" s="197"/>
      <c r="N867" s="192"/>
      <c r="O867" s="196"/>
      <c r="P867" s="196"/>
      <c r="Q867" s="200"/>
    </row>
    <row r="868" spans="1:17">
      <c r="A868" s="196"/>
      <c r="B868" s="196"/>
      <c r="C868" s="196"/>
      <c r="D868" s="19"/>
      <c r="E868" s="198"/>
      <c r="F868" s="196"/>
      <c r="G868" s="196"/>
      <c r="H868" s="199"/>
      <c r="I868" s="196"/>
      <c r="J868" s="198"/>
      <c r="K868" s="196"/>
      <c r="L868" s="196"/>
      <c r="M868" s="197"/>
      <c r="N868" s="192"/>
      <c r="O868" s="196"/>
      <c r="P868" s="196"/>
      <c r="Q868" s="200"/>
    </row>
    <row r="869" spans="1:17">
      <c r="A869" s="196"/>
      <c r="B869" s="196"/>
      <c r="C869" s="196"/>
      <c r="D869" s="19"/>
      <c r="E869" s="198"/>
      <c r="F869" s="196"/>
      <c r="G869" s="196"/>
      <c r="H869" s="199"/>
      <c r="I869" s="196"/>
      <c r="J869" s="198"/>
      <c r="K869" s="196"/>
      <c r="L869" s="196"/>
      <c r="M869" s="197"/>
      <c r="N869" s="192"/>
      <c r="O869" s="196"/>
      <c r="P869" s="196"/>
      <c r="Q869" s="200"/>
    </row>
    <row r="870" spans="1:17">
      <c r="A870" s="196"/>
      <c r="B870" s="196"/>
      <c r="C870" s="196"/>
      <c r="D870" s="19"/>
      <c r="E870" s="198"/>
      <c r="F870" s="196"/>
      <c r="G870" s="196"/>
      <c r="H870" s="199"/>
      <c r="I870" s="196"/>
      <c r="J870" s="198"/>
      <c r="K870" s="196"/>
      <c r="L870" s="196"/>
      <c r="M870" s="197"/>
      <c r="N870" s="192"/>
      <c r="O870" s="196"/>
      <c r="P870" s="196"/>
      <c r="Q870" s="200"/>
    </row>
    <row r="871" spans="1:17">
      <c r="A871" s="196"/>
      <c r="B871" s="196"/>
      <c r="C871" s="196"/>
      <c r="D871" s="19"/>
      <c r="E871" s="198"/>
      <c r="F871" s="196"/>
      <c r="G871" s="196"/>
      <c r="H871" s="199"/>
      <c r="I871" s="196"/>
      <c r="J871" s="198"/>
      <c r="K871" s="196"/>
      <c r="L871" s="196"/>
      <c r="M871" s="197"/>
      <c r="N871" s="192"/>
      <c r="O871" s="196"/>
      <c r="P871" s="196"/>
      <c r="Q871" s="200"/>
    </row>
    <row r="872" spans="1:17">
      <c r="A872" s="196"/>
      <c r="B872" s="196"/>
      <c r="C872" s="196"/>
      <c r="D872" s="19"/>
      <c r="E872" s="198"/>
      <c r="F872" s="196"/>
      <c r="G872" s="196"/>
      <c r="H872" s="199"/>
      <c r="I872" s="196"/>
      <c r="J872" s="198"/>
      <c r="K872" s="196"/>
      <c r="L872" s="196"/>
      <c r="M872" s="197"/>
      <c r="N872" s="192"/>
      <c r="O872" s="196"/>
      <c r="P872" s="196"/>
      <c r="Q872" s="200"/>
    </row>
    <row r="873" spans="1:17">
      <c r="A873" s="196"/>
      <c r="B873" s="196"/>
      <c r="C873" s="196"/>
      <c r="D873" s="19"/>
      <c r="E873" s="198"/>
      <c r="F873" s="196"/>
      <c r="G873" s="196"/>
      <c r="H873" s="199"/>
      <c r="I873" s="196"/>
      <c r="J873" s="198"/>
      <c r="K873" s="196"/>
      <c r="L873" s="196"/>
      <c r="M873" s="197"/>
      <c r="N873" s="192"/>
      <c r="O873" s="196"/>
      <c r="P873" s="196"/>
      <c r="Q873" s="200"/>
    </row>
    <row r="874" spans="1:17">
      <c r="A874" s="196"/>
      <c r="B874" s="196"/>
      <c r="C874" s="196"/>
      <c r="D874" s="19"/>
      <c r="E874" s="198"/>
      <c r="F874" s="196"/>
      <c r="G874" s="196"/>
      <c r="H874" s="199"/>
      <c r="I874" s="196"/>
      <c r="J874" s="198"/>
      <c r="K874" s="196"/>
      <c r="L874" s="196"/>
      <c r="M874" s="197"/>
      <c r="N874" s="192"/>
      <c r="O874" s="196"/>
      <c r="P874" s="196"/>
      <c r="Q874" s="200"/>
    </row>
    <row r="875" spans="1:17">
      <c r="A875" s="196"/>
      <c r="B875" s="196"/>
      <c r="C875" s="196"/>
      <c r="D875" s="19"/>
      <c r="E875" s="198"/>
      <c r="F875" s="196"/>
      <c r="G875" s="196"/>
      <c r="H875" s="199"/>
      <c r="I875" s="196"/>
      <c r="J875" s="198"/>
      <c r="K875" s="196"/>
      <c r="L875" s="196"/>
      <c r="M875" s="197"/>
      <c r="N875" s="192"/>
      <c r="O875" s="196"/>
      <c r="P875" s="196"/>
      <c r="Q875" s="200"/>
    </row>
    <row r="876" spans="1:17">
      <c r="A876" s="196"/>
      <c r="B876" s="196"/>
      <c r="C876" s="196"/>
      <c r="D876" s="19"/>
      <c r="E876" s="198"/>
      <c r="F876" s="196"/>
      <c r="G876" s="196"/>
      <c r="H876" s="199"/>
      <c r="I876" s="196"/>
      <c r="J876" s="198"/>
      <c r="K876" s="196"/>
      <c r="L876" s="196"/>
      <c r="M876" s="197"/>
      <c r="N876" s="192"/>
      <c r="O876" s="196"/>
      <c r="P876" s="196"/>
      <c r="Q876" s="200"/>
    </row>
    <row r="877" spans="1:17">
      <c r="A877" s="196"/>
      <c r="B877" s="196"/>
      <c r="C877" s="196"/>
      <c r="D877" s="19"/>
      <c r="E877" s="198"/>
      <c r="F877" s="196"/>
      <c r="G877" s="196"/>
      <c r="H877" s="199"/>
      <c r="I877" s="196"/>
      <c r="J877" s="198"/>
      <c r="K877" s="196"/>
      <c r="L877" s="196"/>
      <c r="M877" s="197"/>
      <c r="N877" s="192"/>
      <c r="O877" s="196"/>
      <c r="P877" s="196"/>
      <c r="Q877" s="200"/>
    </row>
    <row r="878" spans="1:17">
      <c r="A878" s="196"/>
      <c r="B878" s="196"/>
      <c r="C878" s="196"/>
      <c r="D878" s="19"/>
      <c r="E878" s="198"/>
      <c r="F878" s="196"/>
      <c r="G878" s="196"/>
      <c r="H878" s="199"/>
      <c r="I878" s="196"/>
      <c r="J878" s="198"/>
      <c r="K878" s="196"/>
      <c r="L878" s="196"/>
      <c r="M878" s="197"/>
      <c r="N878" s="192"/>
      <c r="O878" s="196"/>
      <c r="P878" s="196"/>
      <c r="Q878" s="200"/>
    </row>
    <row r="879" spans="1:17">
      <c r="A879" s="196"/>
      <c r="B879" s="196"/>
      <c r="C879" s="196"/>
      <c r="D879" s="19"/>
      <c r="E879" s="198"/>
      <c r="F879" s="196"/>
      <c r="G879" s="196"/>
      <c r="H879" s="199"/>
      <c r="I879" s="196"/>
      <c r="J879" s="198"/>
      <c r="K879" s="196"/>
      <c r="L879" s="196"/>
      <c r="M879" s="197"/>
      <c r="N879" s="192"/>
      <c r="O879" s="196"/>
      <c r="P879" s="196"/>
      <c r="Q879" s="200"/>
    </row>
    <row r="880" spans="1:17">
      <c r="A880" s="196"/>
      <c r="B880" s="196"/>
      <c r="C880" s="196"/>
      <c r="D880" s="19"/>
      <c r="E880" s="198"/>
      <c r="F880" s="196"/>
      <c r="G880" s="196"/>
      <c r="H880" s="199"/>
      <c r="I880" s="196"/>
      <c r="J880" s="198"/>
      <c r="K880" s="196"/>
      <c r="L880" s="196"/>
      <c r="M880" s="197"/>
      <c r="N880" s="192"/>
      <c r="O880" s="196"/>
      <c r="P880" s="196"/>
      <c r="Q880" s="200"/>
    </row>
    <row r="881" spans="1:17">
      <c r="A881" s="196"/>
      <c r="B881" s="196"/>
      <c r="C881" s="196"/>
      <c r="D881" s="19"/>
      <c r="E881" s="198"/>
      <c r="F881" s="196"/>
      <c r="G881" s="196"/>
      <c r="H881" s="199"/>
      <c r="I881" s="196"/>
      <c r="J881" s="198"/>
      <c r="K881" s="196"/>
      <c r="L881" s="196"/>
      <c r="M881" s="197"/>
      <c r="N881" s="192"/>
      <c r="O881" s="196"/>
      <c r="P881" s="196"/>
      <c r="Q881" s="200"/>
    </row>
    <row r="882" spans="1:17">
      <c r="A882" s="196"/>
      <c r="B882" s="196"/>
      <c r="C882" s="196"/>
      <c r="D882" s="19"/>
      <c r="E882" s="198"/>
      <c r="F882" s="196"/>
      <c r="G882" s="196"/>
      <c r="H882" s="199"/>
      <c r="I882" s="196"/>
      <c r="J882" s="198"/>
      <c r="K882" s="196"/>
      <c r="L882" s="196"/>
      <c r="M882" s="197"/>
      <c r="N882" s="192"/>
      <c r="O882" s="196"/>
      <c r="P882" s="196"/>
      <c r="Q882" s="200"/>
    </row>
    <row r="883" spans="1:17">
      <c r="A883" s="196"/>
      <c r="B883" s="196"/>
      <c r="C883" s="196"/>
      <c r="D883" s="19"/>
      <c r="E883" s="198"/>
      <c r="F883" s="196"/>
      <c r="G883" s="196"/>
      <c r="H883" s="199"/>
      <c r="I883" s="196"/>
      <c r="J883" s="198"/>
      <c r="K883" s="196"/>
      <c r="L883" s="196"/>
      <c r="M883" s="197"/>
      <c r="N883" s="192"/>
      <c r="O883" s="196"/>
      <c r="P883" s="196"/>
      <c r="Q883" s="200"/>
    </row>
    <row r="884" spans="1:17">
      <c r="A884" s="196"/>
      <c r="B884" s="196"/>
      <c r="C884" s="196"/>
      <c r="D884" s="19"/>
      <c r="E884" s="198"/>
      <c r="F884" s="196"/>
      <c r="G884" s="196"/>
      <c r="H884" s="199"/>
      <c r="I884" s="196"/>
      <c r="J884" s="198"/>
      <c r="K884" s="196"/>
      <c r="L884" s="196"/>
      <c r="M884" s="197"/>
      <c r="N884" s="192"/>
      <c r="O884" s="196"/>
      <c r="P884" s="196"/>
      <c r="Q884" s="200"/>
    </row>
    <row r="885" spans="1:17">
      <c r="A885" s="196"/>
      <c r="B885" s="196"/>
      <c r="C885" s="196"/>
      <c r="D885" s="19"/>
      <c r="E885" s="198"/>
      <c r="F885" s="196"/>
      <c r="G885" s="196"/>
      <c r="H885" s="199"/>
      <c r="I885" s="196"/>
      <c r="J885" s="198"/>
      <c r="K885" s="196"/>
      <c r="L885" s="196"/>
      <c r="M885" s="197"/>
      <c r="N885" s="192"/>
      <c r="O885" s="196"/>
      <c r="P885" s="196"/>
      <c r="Q885" s="200"/>
    </row>
    <row r="886" spans="1:17">
      <c r="A886" s="196"/>
      <c r="B886" s="196"/>
      <c r="C886" s="196"/>
      <c r="D886" s="19"/>
      <c r="E886" s="198"/>
      <c r="F886" s="196"/>
      <c r="G886" s="196"/>
      <c r="H886" s="199"/>
      <c r="I886" s="196"/>
      <c r="J886" s="198"/>
      <c r="K886" s="196"/>
      <c r="L886" s="196"/>
      <c r="M886" s="197"/>
      <c r="N886" s="192"/>
      <c r="O886" s="196"/>
      <c r="P886" s="196"/>
      <c r="Q886" s="200"/>
    </row>
    <row r="887" spans="1:17">
      <c r="A887" s="196"/>
      <c r="B887" s="196"/>
      <c r="C887" s="196"/>
      <c r="D887" s="19"/>
      <c r="E887" s="198"/>
      <c r="F887" s="196"/>
      <c r="G887" s="196"/>
      <c r="H887" s="199"/>
      <c r="I887" s="196"/>
      <c r="J887" s="198"/>
      <c r="K887" s="196"/>
      <c r="L887" s="196"/>
      <c r="M887" s="197"/>
      <c r="N887" s="192"/>
      <c r="O887" s="196"/>
      <c r="P887" s="196"/>
      <c r="Q887" s="200"/>
    </row>
    <row r="888" spans="1:17">
      <c r="A888" s="196"/>
      <c r="B888" s="196"/>
      <c r="C888" s="196"/>
      <c r="D888" s="19"/>
      <c r="E888" s="198"/>
      <c r="F888" s="196"/>
      <c r="G888" s="196"/>
      <c r="H888" s="199"/>
      <c r="I888" s="196"/>
      <c r="J888" s="198"/>
      <c r="K888" s="196"/>
      <c r="L888" s="196"/>
      <c r="M888" s="197"/>
      <c r="N888" s="192"/>
      <c r="O888" s="196"/>
      <c r="P888" s="196"/>
      <c r="Q888" s="200"/>
    </row>
    <row r="889" spans="1:17">
      <c r="A889" s="196"/>
      <c r="B889" s="196"/>
      <c r="C889" s="196"/>
      <c r="D889" s="19"/>
      <c r="E889" s="198"/>
      <c r="F889" s="196"/>
      <c r="G889" s="196"/>
      <c r="H889" s="199"/>
      <c r="I889" s="196"/>
      <c r="J889" s="198"/>
      <c r="K889" s="196"/>
      <c r="L889" s="196"/>
      <c r="M889" s="197"/>
      <c r="N889" s="192"/>
      <c r="O889" s="196"/>
      <c r="P889" s="196"/>
      <c r="Q889" s="200"/>
    </row>
    <row r="890" spans="1:17">
      <c r="A890" s="196"/>
      <c r="B890" s="196"/>
      <c r="C890" s="196"/>
      <c r="D890" s="19"/>
      <c r="E890" s="198"/>
      <c r="F890" s="196"/>
      <c r="G890" s="196"/>
      <c r="H890" s="199"/>
      <c r="I890" s="196"/>
      <c r="J890" s="198"/>
      <c r="K890" s="196"/>
      <c r="L890" s="196"/>
      <c r="M890" s="197"/>
      <c r="N890" s="192"/>
      <c r="O890" s="196"/>
      <c r="P890" s="196"/>
      <c r="Q890" s="200"/>
    </row>
    <row r="891" spans="1:17">
      <c r="A891" s="196"/>
      <c r="B891" s="196"/>
      <c r="C891" s="196"/>
      <c r="D891" s="19"/>
      <c r="E891" s="198"/>
      <c r="F891" s="196"/>
      <c r="G891" s="196"/>
      <c r="H891" s="199"/>
      <c r="I891" s="196"/>
      <c r="J891" s="198"/>
      <c r="K891" s="196"/>
      <c r="L891" s="196"/>
      <c r="M891" s="197"/>
      <c r="N891" s="192"/>
      <c r="O891" s="196"/>
      <c r="P891" s="196"/>
      <c r="Q891" s="200"/>
    </row>
    <row r="892" spans="1:17">
      <c r="A892" s="196"/>
      <c r="B892" s="196"/>
      <c r="C892" s="196"/>
      <c r="D892" s="19"/>
      <c r="E892" s="198"/>
      <c r="F892" s="196"/>
      <c r="G892" s="196"/>
      <c r="H892" s="199"/>
      <c r="I892" s="196"/>
      <c r="J892" s="198"/>
      <c r="K892" s="196"/>
      <c r="L892" s="196"/>
      <c r="M892" s="197"/>
      <c r="N892" s="192"/>
      <c r="O892" s="196"/>
      <c r="P892" s="196"/>
      <c r="Q892" s="200"/>
    </row>
    <row r="893" spans="1:17">
      <c r="A893" s="196"/>
      <c r="B893" s="196"/>
      <c r="C893" s="196"/>
      <c r="D893" s="19"/>
      <c r="E893" s="198"/>
      <c r="F893" s="196"/>
      <c r="G893" s="196"/>
      <c r="H893" s="199"/>
      <c r="I893" s="196"/>
      <c r="J893" s="198"/>
      <c r="K893" s="196"/>
      <c r="L893" s="196"/>
      <c r="M893" s="197"/>
      <c r="N893" s="192"/>
      <c r="O893" s="196"/>
      <c r="P893" s="196"/>
      <c r="Q893" s="200"/>
    </row>
    <row r="894" spans="1:17">
      <c r="A894" s="196"/>
      <c r="B894" s="196"/>
      <c r="C894" s="196"/>
      <c r="D894" s="19"/>
      <c r="E894" s="198"/>
      <c r="F894" s="196"/>
      <c r="G894" s="196"/>
      <c r="H894" s="199"/>
      <c r="I894" s="196"/>
      <c r="J894" s="198"/>
      <c r="K894" s="196"/>
      <c r="L894" s="196"/>
      <c r="M894" s="197"/>
      <c r="N894" s="192"/>
      <c r="O894" s="196"/>
      <c r="P894" s="196"/>
      <c r="Q894" s="200"/>
    </row>
    <row r="895" spans="1:17">
      <c r="A895" s="196"/>
      <c r="B895" s="196"/>
      <c r="C895" s="196"/>
      <c r="D895" s="19"/>
      <c r="E895" s="198"/>
      <c r="F895" s="196"/>
      <c r="G895" s="196"/>
      <c r="H895" s="199"/>
      <c r="I895" s="196"/>
      <c r="J895" s="198"/>
      <c r="K895" s="196"/>
      <c r="L895" s="196"/>
      <c r="M895" s="197"/>
      <c r="N895" s="192"/>
      <c r="O895" s="196"/>
      <c r="P895" s="196"/>
      <c r="Q895" s="200"/>
    </row>
    <row r="896" spans="1:17">
      <c r="A896" s="196"/>
      <c r="B896" s="196"/>
      <c r="C896" s="196"/>
      <c r="D896" s="19"/>
      <c r="E896" s="198"/>
      <c r="F896" s="196"/>
      <c r="G896" s="196"/>
      <c r="H896" s="199"/>
      <c r="I896" s="196"/>
      <c r="J896" s="198"/>
      <c r="K896" s="196"/>
      <c r="L896" s="196"/>
      <c r="M896" s="197"/>
      <c r="N896" s="192"/>
      <c r="O896" s="196"/>
      <c r="P896" s="196"/>
      <c r="Q896" s="200"/>
    </row>
    <row r="897" spans="1:17">
      <c r="A897" s="196"/>
      <c r="B897" s="196"/>
      <c r="C897" s="196"/>
      <c r="D897" s="19"/>
      <c r="E897" s="198"/>
      <c r="F897" s="196"/>
      <c r="G897" s="196"/>
      <c r="H897" s="199"/>
      <c r="I897" s="196"/>
      <c r="J897" s="198"/>
      <c r="K897" s="196"/>
      <c r="L897" s="196"/>
      <c r="M897" s="197"/>
      <c r="N897" s="192"/>
      <c r="O897" s="196"/>
      <c r="P897" s="196"/>
      <c r="Q897" s="200"/>
    </row>
    <row r="898" spans="1:17">
      <c r="A898" s="196"/>
      <c r="B898" s="196"/>
      <c r="C898" s="196"/>
      <c r="D898" s="19"/>
      <c r="E898" s="198"/>
      <c r="F898" s="196"/>
      <c r="G898" s="196"/>
      <c r="H898" s="199"/>
      <c r="I898" s="196"/>
      <c r="J898" s="198"/>
      <c r="K898" s="196"/>
      <c r="L898" s="196"/>
      <c r="M898" s="197"/>
      <c r="N898" s="192"/>
      <c r="O898" s="196"/>
      <c r="P898" s="196"/>
      <c r="Q898" s="200"/>
    </row>
    <row r="899" spans="1:17">
      <c r="A899" s="196"/>
      <c r="B899" s="196"/>
      <c r="C899" s="196"/>
      <c r="D899" s="19"/>
      <c r="E899" s="198"/>
      <c r="F899" s="196"/>
      <c r="G899" s="196"/>
      <c r="H899" s="199"/>
      <c r="I899" s="196"/>
      <c r="J899" s="198"/>
      <c r="K899" s="196"/>
      <c r="L899" s="196"/>
      <c r="M899" s="197"/>
      <c r="N899" s="192"/>
      <c r="O899" s="196"/>
      <c r="P899" s="196"/>
      <c r="Q899" s="200"/>
    </row>
    <row r="900" spans="1:17">
      <c r="A900" s="196"/>
      <c r="B900" s="196"/>
      <c r="C900" s="196"/>
      <c r="D900" s="19"/>
      <c r="E900" s="198"/>
      <c r="F900" s="196"/>
      <c r="G900" s="196"/>
      <c r="H900" s="199"/>
      <c r="I900" s="196"/>
      <c r="J900" s="198"/>
      <c r="K900" s="196"/>
      <c r="L900" s="196"/>
      <c r="M900" s="197"/>
      <c r="N900" s="192"/>
      <c r="O900" s="196"/>
      <c r="P900" s="196"/>
      <c r="Q900" s="200"/>
    </row>
    <row r="901" spans="1:17">
      <c r="A901" s="196"/>
      <c r="B901" s="196"/>
      <c r="C901" s="196"/>
      <c r="D901" s="19"/>
      <c r="E901" s="198"/>
      <c r="F901" s="196"/>
      <c r="G901" s="196"/>
      <c r="H901" s="199"/>
      <c r="I901" s="196"/>
      <c r="J901" s="198"/>
      <c r="K901" s="196"/>
      <c r="L901" s="196"/>
      <c r="M901" s="197"/>
      <c r="N901" s="192"/>
      <c r="O901" s="196"/>
      <c r="P901" s="196"/>
      <c r="Q901" s="200"/>
    </row>
    <row r="902" spans="1:17">
      <c r="A902" s="196"/>
      <c r="B902" s="196"/>
      <c r="C902" s="196"/>
      <c r="D902" s="19"/>
      <c r="E902" s="198"/>
      <c r="F902" s="196"/>
      <c r="G902" s="196"/>
      <c r="H902" s="199"/>
      <c r="I902" s="196"/>
      <c r="J902" s="198"/>
      <c r="K902" s="196"/>
      <c r="L902" s="196"/>
      <c r="M902" s="197"/>
      <c r="N902" s="192"/>
      <c r="O902" s="196"/>
      <c r="P902" s="196"/>
      <c r="Q902" s="200"/>
    </row>
    <row r="903" spans="1:17">
      <c r="A903" s="196"/>
      <c r="B903" s="196"/>
      <c r="C903" s="196"/>
      <c r="D903" s="19"/>
      <c r="E903" s="198"/>
      <c r="F903" s="196"/>
      <c r="G903" s="196"/>
      <c r="H903" s="199"/>
      <c r="I903" s="196"/>
      <c r="J903" s="198"/>
      <c r="K903" s="196"/>
      <c r="L903" s="196"/>
      <c r="M903" s="197"/>
      <c r="N903" s="192"/>
      <c r="O903" s="196"/>
      <c r="P903" s="196"/>
      <c r="Q903" s="200"/>
    </row>
    <row r="904" spans="1:17">
      <c r="A904" s="196"/>
      <c r="B904" s="196"/>
      <c r="C904" s="196"/>
      <c r="D904" s="19"/>
      <c r="E904" s="198"/>
      <c r="F904" s="196"/>
      <c r="G904" s="196"/>
      <c r="H904" s="199"/>
      <c r="I904" s="196"/>
      <c r="J904" s="198"/>
      <c r="K904" s="196"/>
      <c r="L904" s="196"/>
      <c r="M904" s="197"/>
      <c r="N904" s="192"/>
      <c r="O904" s="196"/>
      <c r="P904" s="196"/>
      <c r="Q904" s="200"/>
    </row>
    <row r="905" spans="1:17">
      <c r="A905" s="196"/>
      <c r="B905" s="196"/>
      <c r="C905" s="196"/>
      <c r="D905" s="19"/>
      <c r="E905" s="198"/>
      <c r="F905" s="196"/>
      <c r="G905" s="196"/>
      <c r="H905" s="199"/>
      <c r="I905" s="196"/>
      <c r="J905" s="198"/>
      <c r="K905" s="196"/>
      <c r="L905" s="196"/>
      <c r="M905" s="197"/>
      <c r="N905" s="192"/>
      <c r="O905" s="196"/>
      <c r="P905" s="196"/>
      <c r="Q905" s="200"/>
    </row>
    <row r="906" spans="1:17">
      <c r="A906" s="196"/>
      <c r="B906" s="196"/>
      <c r="C906" s="196"/>
      <c r="D906" s="19"/>
      <c r="E906" s="198"/>
      <c r="F906" s="196"/>
      <c r="G906" s="196"/>
      <c r="H906" s="199"/>
      <c r="I906" s="196"/>
      <c r="J906" s="198"/>
      <c r="K906" s="196"/>
      <c r="L906" s="196"/>
      <c r="M906" s="197"/>
      <c r="N906" s="192"/>
      <c r="O906" s="196"/>
      <c r="P906" s="196"/>
      <c r="Q906" s="200"/>
    </row>
    <row r="907" spans="1:17">
      <c r="A907" s="196"/>
      <c r="B907" s="196"/>
      <c r="C907" s="196"/>
      <c r="D907" s="19"/>
      <c r="E907" s="198"/>
      <c r="F907" s="196"/>
      <c r="G907" s="196"/>
      <c r="H907" s="199"/>
      <c r="I907" s="196"/>
      <c r="J907" s="198"/>
      <c r="K907" s="196"/>
      <c r="L907" s="196"/>
      <c r="M907" s="197"/>
      <c r="N907" s="192"/>
      <c r="O907" s="196"/>
      <c r="P907" s="196"/>
      <c r="Q907" s="200"/>
    </row>
    <row r="908" spans="1:17">
      <c r="A908" s="196"/>
      <c r="B908" s="196"/>
      <c r="C908" s="196"/>
      <c r="D908" s="19"/>
      <c r="E908" s="198"/>
      <c r="F908" s="196"/>
      <c r="G908" s="196"/>
      <c r="H908" s="199"/>
      <c r="I908" s="196"/>
      <c r="J908" s="198"/>
      <c r="K908" s="196"/>
      <c r="L908" s="196"/>
      <c r="M908" s="197"/>
      <c r="N908" s="192"/>
      <c r="O908" s="196"/>
      <c r="P908" s="196"/>
      <c r="Q908" s="200"/>
    </row>
    <row r="909" spans="1:17">
      <c r="A909" s="196"/>
      <c r="B909" s="196"/>
      <c r="C909" s="196"/>
      <c r="D909" s="19"/>
      <c r="E909" s="198"/>
      <c r="F909" s="196"/>
      <c r="G909" s="196"/>
      <c r="H909" s="199"/>
      <c r="I909" s="196"/>
      <c r="J909" s="198"/>
      <c r="K909" s="196"/>
      <c r="L909" s="196"/>
      <c r="M909" s="197"/>
      <c r="N909" s="192"/>
      <c r="O909" s="196"/>
      <c r="P909" s="196"/>
      <c r="Q909" s="200"/>
    </row>
    <row r="910" spans="1:17">
      <c r="A910" s="196"/>
      <c r="B910" s="196"/>
      <c r="C910" s="196"/>
      <c r="D910" s="19"/>
      <c r="E910" s="198"/>
      <c r="F910" s="196"/>
      <c r="G910" s="196"/>
      <c r="H910" s="199"/>
      <c r="I910" s="196"/>
      <c r="J910" s="198"/>
      <c r="K910" s="196"/>
      <c r="L910" s="196"/>
      <c r="M910" s="197"/>
      <c r="N910" s="192"/>
      <c r="O910" s="196"/>
      <c r="P910" s="196"/>
      <c r="Q910" s="200"/>
    </row>
    <row r="911" spans="1:17">
      <c r="A911" s="196"/>
      <c r="B911" s="196"/>
      <c r="C911" s="196"/>
      <c r="D911" s="19"/>
      <c r="E911" s="198"/>
      <c r="F911" s="196"/>
      <c r="G911" s="196"/>
      <c r="H911" s="199"/>
      <c r="I911" s="196"/>
      <c r="J911" s="198"/>
      <c r="K911" s="196"/>
      <c r="L911" s="196"/>
      <c r="M911" s="197"/>
      <c r="N911" s="192"/>
      <c r="O911" s="196"/>
      <c r="P911" s="196"/>
      <c r="Q911" s="200"/>
    </row>
    <row r="912" spans="1:17">
      <c r="A912" s="196"/>
      <c r="B912" s="196"/>
      <c r="C912" s="196"/>
      <c r="D912" s="19"/>
      <c r="E912" s="198"/>
      <c r="F912" s="196"/>
      <c r="G912" s="196"/>
      <c r="H912" s="199"/>
      <c r="I912" s="196"/>
      <c r="J912" s="198"/>
      <c r="K912" s="196"/>
      <c r="L912" s="196"/>
      <c r="M912" s="197"/>
      <c r="N912" s="192"/>
      <c r="O912" s="196"/>
      <c r="P912" s="196"/>
      <c r="Q912" s="200"/>
    </row>
    <row r="913" spans="1:17">
      <c r="A913" s="196"/>
      <c r="B913" s="196"/>
      <c r="C913" s="196"/>
      <c r="D913" s="19"/>
      <c r="E913" s="198"/>
      <c r="F913" s="196"/>
      <c r="G913" s="196"/>
      <c r="H913" s="199"/>
      <c r="I913" s="196"/>
      <c r="J913" s="198"/>
      <c r="K913" s="196"/>
      <c r="L913" s="196"/>
      <c r="M913" s="197"/>
      <c r="N913" s="192"/>
      <c r="O913" s="196"/>
      <c r="P913" s="196"/>
      <c r="Q913" s="200"/>
    </row>
    <row r="914" spans="1:17">
      <c r="A914" s="196"/>
      <c r="B914" s="196"/>
      <c r="C914" s="196"/>
      <c r="D914" s="19"/>
      <c r="E914" s="198"/>
      <c r="F914" s="196"/>
      <c r="G914" s="196"/>
      <c r="H914" s="199"/>
      <c r="I914" s="196"/>
      <c r="J914" s="198"/>
      <c r="K914" s="196"/>
      <c r="L914" s="196"/>
      <c r="M914" s="197"/>
      <c r="N914" s="192"/>
      <c r="O914" s="196"/>
      <c r="P914" s="196"/>
      <c r="Q914" s="200"/>
    </row>
    <row r="915" spans="1:17">
      <c r="A915" s="196"/>
      <c r="B915" s="196"/>
      <c r="C915" s="196"/>
      <c r="D915" s="19"/>
      <c r="E915" s="198"/>
      <c r="F915" s="196"/>
      <c r="G915" s="196"/>
      <c r="H915" s="199"/>
      <c r="I915" s="196"/>
      <c r="J915" s="198"/>
      <c r="K915" s="196"/>
      <c r="L915" s="196"/>
      <c r="M915" s="197"/>
      <c r="N915" s="192"/>
      <c r="O915" s="196"/>
      <c r="P915" s="196"/>
      <c r="Q915" s="200"/>
    </row>
    <row r="916" spans="1:17">
      <c r="A916" s="196"/>
      <c r="B916" s="196"/>
      <c r="C916" s="196"/>
      <c r="D916" s="19"/>
      <c r="E916" s="198"/>
      <c r="F916" s="196"/>
      <c r="G916" s="196"/>
      <c r="H916" s="199"/>
      <c r="I916" s="196"/>
      <c r="J916" s="198"/>
      <c r="K916" s="196"/>
      <c r="L916" s="196"/>
      <c r="M916" s="197"/>
      <c r="N916" s="192"/>
      <c r="O916" s="196"/>
      <c r="P916" s="196"/>
      <c r="Q916" s="200"/>
    </row>
    <row r="917" spans="1:17">
      <c r="A917" s="196"/>
      <c r="B917" s="196"/>
      <c r="C917" s="196"/>
      <c r="D917" s="19"/>
      <c r="E917" s="198"/>
      <c r="F917" s="196"/>
      <c r="G917" s="196"/>
      <c r="H917" s="199"/>
      <c r="I917" s="196"/>
      <c r="J917" s="198"/>
      <c r="K917" s="196"/>
      <c r="L917" s="196"/>
      <c r="M917" s="197"/>
      <c r="N917" s="192"/>
      <c r="O917" s="196"/>
      <c r="P917" s="196"/>
      <c r="Q917" s="200"/>
    </row>
    <row r="918" spans="1:17">
      <c r="A918" s="196"/>
      <c r="B918" s="196"/>
      <c r="C918" s="196"/>
      <c r="D918" s="19"/>
      <c r="E918" s="198"/>
      <c r="F918" s="196"/>
      <c r="G918" s="196"/>
      <c r="H918" s="199"/>
      <c r="I918" s="196"/>
      <c r="J918" s="198"/>
      <c r="K918" s="196"/>
      <c r="L918" s="196"/>
      <c r="M918" s="197"/>
      <c r="N918" s="192"/>
      <c r="O918" s="196"/>
      <c r="P918" s="196"/>
      <c r="Q918" s="200"/>
    </row>
    <row r="919" spans="1:17">
      <c r="A919" s="196"/>
      <c r="B919" s="196"/>
      <c r="C919" s="196"/>
      <c r="D919" s="19"/>
      <c r="E919" s="198"/>
      <c r="F919" s="196"/>
      <c r="G919" s="196"/>
      <c r="H919" s="199"/>
      <c r="I919" s="196"/>
      <c r="J919" s="198"/>
      <c r="K919" s="196"/>
      <c r="L919" s="196"/>
      <c r="M919" s="197"/>
      <c r="N919" s="192"/>
      <c r="O919" s="196"/>
      <c r="P919" s="196"/>
      <c r="Q919" s="200"/>
    </row>
    <row r="920" spans="1:17">
      <c r="A920" s="196"/>
      <c r="B920" s="196"/>
      <c r="C920" s="196"/>
      <c r="D920" s="19"/>
      <c r="E920" s="198"/>
      <c r="F920" s="196"/>
      <c r="G920" s="196"/>
      <c r="H920" s="199"/>
      <c r="I920" s="196"/>
      <c r="J920" s="198"/>
      <c r="K920" s="196"/>
      <c r="L920" s="196"/>
      <c r="M920" s="197"/>
      <c r="N920" s="192"/>
      <c r="O920" s="196"/>
      <c r="P920" s="196"/>
      <c r="Q920" s="200"/>
    </row>
    <row r="921" spans="1:17">
      <c r="A921" s="196"/>
      <c r="B921" s="196"/>
      <c r="C921" s="196"/>
      <c r="D921" s="19"/>
      <c r="E921" s="198"/>
      <c r="F921" s="196"/>
      <c r="G921" s="196"/>
      <c r="H921" s="199"/>
      <c r="I921" s="196"/>
      <c r="J921" s="198"/>
      <c r="K921" s="196"/>
      <c r="L921" s="196"/>
      <c r="M921" s="197"/>
      <c r="N921" s="192"/>
      <c r="O921" s="196"/>
      <c r="P921" s="196"/>
      <c r="Q921" s="200"/>
    </row>
    <row r="922" spans="1:17">
      <c r="A922" s="196"/>
      <c r="B922" s="196"/>
      <c r="C922" s="196"/>
      <c r="D922" s="19"/>
      <c r="E922" s="198"/>
      <c r="F922" s="196"/>
      <c r="G922" s="196"/>
      <c r="H922" s="199"/>
      <c r="I922" s="196"/>
      <c r="J922" s="198"/>
      <c r="K922" s="196"/>
      <c r="L922" s="196"/>
      <c r="M922" s="197"/>
      <c r="N922" s="192"/>
      <c r="O922" s="196"/>
      <c r="P922" s="196"/>
      <c r="Q922" s="200"/>
    </row>
    <row r="923" spans="1:17">
      <c r="A923" s="196"/>
      <c r="B923" s="196"/>
      <c r="C923" s="196"/>
      <c r="D923" s="19"/>
      <c r="E923" s="198"/>
      <c r="F923" s="196"/>
      <c r="G923" s="196"/>
      <c r="H923" s="199"/>
      <c r="I923" s="196"/>
      <c r="J923" s="198"/>
      <c r="K923" s="196"/>
      <c r="L923" s="196"/>
      <c r="M923" s="197"/>
      <c r="N923" s="192"/>
      <c r="O923" s="196"/>
      <c r="P923" s="196"/>
      <c r="Q923" s="200"/>
    </row>
    <row r="924" spans="1:17">
      <c r="A924" s="196"/>
      <c r="B924" s="196"/>
      <c r="C924" s="196"/>
      <c r="D924" s="19"/>
      <c r="E924" s="198"/>
      <c r="F924" s="196"/>
      <c r="G924" s="196"/>
      <c r="H924" s="199"/>
      <c r="I924" s="196"/>
      <c r="J924" s="198"/>
      <c r="K924" s="196"/>
      <c r="L924" s="196"/>
      <c r="M924" s="197"/>
      <c r="N924" s="192"/>
      <c r="O924" s="196"/>
      <c r="P924" s="196"/>
      <c r="Q924" s="200"/>
    </row>
    <row r="925" spans="1:17">
      <c r="A925" s="196"/>
      <c r="B925" s="196"/>
      <c r="C925" s="196"/>
      <c r="D925" s="19"/>
      <c r="E925" s="198"/>
      <c r="F925" s="196"/>
      <c r="G925" s="196"/>
      <c r="H925" s="199"/>
      <c r="I925" s="196"/>
      <c r="J925" s="198"/>
      <c r="K925" s="196"/>
      <c r="L925" s="196"/>
      <c r="M925" s="197"/>
      <c r="N925" s="192"/>
      <c r="O925" s="196"/>
      <c r="P925" s="196"/>
      <c r="Q925" s="200"/>
    </row>
    <row r="926" spans="1:17">
      <c r="A926" s="196"/>
      <c r="B926" s="196"/>
      <c r="C926" s="196"/>
      <c r="D926" s="19"/>
      <c r="E926" s="198"/>
      <c r="F926" s="196"/>
      <c r="G926" s="196"/>
      <c r="H926" s="199"/>
      <c r="I926" s="196"/>
      <c r="J926" s="198"/>
      <c r="K926" s="196"/>
      <c r="L926" s="196"/>
      <c r="M926" s="197"/>
      <c r="N926" s="192"/>
      <c r="O926" s="196"/>
      <c r="P926" s="196"/>
      <c r="Q926" s="200"/>
    </row>
    <row r="927" spans="1:17">
      <c r="A927" s="196"/>
      <c r="B927" s="196"/>
      <c r="C927" s="196"/>
      <c r="D927" s="19"/>
      <c r="E927" s="198"/>
      <c r="F927" s="196"/>
      <c r="G927" s="196"/>
      <c r="H927" s="199"/>
      <c r="I927" s="196"/>
      <c r="J927" s="198"/>
      <c r="K927" s="196"/>
      <c r="L927" s="196"/>
      <c r="M927" s="197"/>
      <c r="N927" s="192"/>
      <c r="O927" s="196"/>
      <c r="P927" s="196"/>
      <c r="Q927" s="200"/>
    </row>
    <row r="928" spans="1:17">
      <c r="A928" s="196"/>
      <c r="B928" s="196"/>
      <c r="C928" s="196"/>
      <c r="D928" s="19"/>
      <c r="E928" s="198"/>
      <c r="F928" s="196"/>
      <c r="G928" s="196"/>
      <c r="H928" s="199"/>
      <c r="I928" s="196"/>
      <c r="J928" s="198"/>
      <c r="K928" s="196"/>
      <c r="L928" s="196"/>
      <c r="M928" s="197"/>
      <c r="N928" s="192"/>
      <c r="O928" s="196"/>
      <c r="P928" s="196"/>
      <c r="Q928" s="200"/>
    </row>
    <row r="929" spans="1:17">
      <c r="A929" s="196"/>
      <c r="B929" s="196"/>
      <c r="C929" s="196"/>
      <c r="D929" s="19"/>
      <c r="E929" s="198"/>
      <c r="F929" s="196"/>
      <c r="G929" s="196"/>
      <c r="H929" s="199"/>
      <c r="I929" s="196"/>
      <c r="J929" s="198"/>
      <c r="K929" s="196"/>
      <c r="L929" s="196"/>
      <c r="M929" s="197"/>
      <c r="N929" s="192"/>
      <c r="O929" s="196"/>
      <c r="P929" s="196"/>
      <c r="Q929" s="200"/>
    </row>
    <row r="930" spans="1:17">
      <c r="A930" s="196"/>
      <c r="B930" s="196"/>
      <c r="C930" s="196"/>
      <c r="D930" s="19"/>
      <c r="E930" s="198"/>
      <c r="F930" s="196"/>
      <c r="G930" s="196"/>
      <c r="H930" s="199"/>
      <c r="I930" s="196"/>
      <c r="J930" s="198"/>
      <c r="K930" s="196"/>
      <c r="L930" s="196"/>
      <c r="M930" s="197"/>
      <c r="N930" s="192"/>
      <c r="O930" s="196"/>
      <c r="P930" s="196"/>
      <c r="Q930" s="200"/>
    </row>
    <row r="931" spans="1:17">
      <c r="A931" s="196"/>
      <c r="B931" s="196"/>
      <c r="C931" s="196"/>
      <c r="D931" s="19"/>
      <c r="E931" s="198"/>
      <c r="F931" s="196"/>
      <c r="G931" s="196"/>
      <c r="H931" s="199"/>
      <c r="I931" s="196"/>
      <c r="J931" s="198"/>
      <c r="K931" s="196"/>
      <c r="L931" s="196"/>
      <c r="M931" s="197"/>
      <c r="N931" s="192"/>
      <c r="O931" s="196"/>
      <c r="P931" s="196"/>
      <c r="Q931" s="200"/>
    </row>
    <row r="932" spans="1:17">
      <c r="A932" s="196"/>
      <c r="B932" s="196"/>
      <c r="C932" s="196"/>
      <c r="D932" s="19"/>
      <c r="E932" s="198"/>
      <c r="F932" s="196"/>
      <c r="G932" s="196"/>
      <c r="H932" s="199"/>
      <c r="I932" s="196"/>
      <c r="J932" s="198"/>
      <c r="K932" s="196"/>
      <c r="L932" s="196"/>
      <c r="M932" s="197"/>
      <c r="N932" s="192"/>
      <c r="O932" s="196"/>
      <c r="P932" s="196"/>
      <c r="Q932" s="200"/>
    </row>
    <row r="933" spans="1:17">
      <c r="A933" s="196"/>
      <c r="B933" s="196"/>
      <c r="C933" s="196"/>
      <c r="D933" s="19"/>
      <c r="E933" s="198"/>
      <c r="F933" s="196"/>
      <c r="G933" s="196"/>
      <c r="H933" s="199"/>
      <c r="I933" s="196"/>
      <c r="J933" s="198"/>
      <c r="K933" s="196"/>
      <c r="L933" s="196"/>
      <c r="M933" s="197"/>
      <c r="N933" s="192"/>
      <c r="O933" s="196"/>
      <c r="P933" s="196"/>
      <c r="Q933" s="200"/>
    </row>
    <row r="934" spans="1:17">
      <c r="A934" s="196"/>
      <c r="B934" s="196"/>
      <c r="C934" s="196"/>
      <c r="D934" s="19"/>
      <c r="E934" s="198"/>
      <c r="F934" s="196"/>
      <c r="G934" s="196"/>
      <c r="H934" s="199"/>
      <c r="I934" s="196"/>
      <c r="J934" s="198"/>
      <c r="K934" s="196"/>
      <c r="L934" s="196"/>
      <c r="M934" s="197"/>
      <c r="N934" s="192"/>
      <c r="O934" s="196"/>
      <c r="P934" s="196"/>
      <c r="Q934" s="200"/>
    </row>
    <row r="935" spans="1:17">
      <c r="A935" s="196"/>
      <c r="B935" s="196"/>
      <c r="C935" s="196"/>
      <c r="D935" s="19"/>
      <c r="E935" s="198"/>
      <c r="F935" s="196"/>
      <c r="G935" s="196"/>
      <c r="H935" s="199"/>
      <c r="I935" s="196"/>
      <c r="J935" s="198"/>
      <c r="K935" s="196"/>
      <c r="L935" s="196"/>
      <c r="M935" s="197"/>
      <c r="N935" s="192"/>
      <c r="O935" s="196"/>
      <c r="P935" s="196"/>
      <c r="Q935" s="200"/>
    </row>
    <row r="936" spans="1:17">
      <c r="A936" s="196"/>
      <c r="B936" s="196"/>
      <c r="C936" s="196"/>
      <c r="D936" s="19"/>
      <c r="E936" s="198"/>
      <c r="F936" s="196"/>
      <c r="G936" s="196"/>
      <c r="H936" s="199"/>
      <c r="I936" s="196"/>
      <c r="J936" s="198"/>
      <c r="K936" s="196"/>
      <c r="L936" s="196"/>
      <c r="M936" s="197"/>
      <c r="N936" s="192"/>
      <c r="O936" s="196"/>
      <c r="P936" s="196"/>
      <c r="Q936" s="200"/>
    </row>
    <row r="937" spans="1:17">
      <c r="A937" s="196"/>
      <c r="B937" s="196"/>
      <c r="C937" s="196"/>
      <c r="D937" s="19"/>
      <c r="E937" s="198"/>
      <c r="F937" s="196"/>
      <c r="G937" s="196"/>
      <c r="H937" s="199"/>
      <c r="I937" s="196"/>
      <c r="J937" s="198"/>
      <c r="K937" s="196"/>
      <c r="L937" s="196"/>
      <c r="M937" s="197"/>
      <c r="N937" s="192"/>
      <c r="O937" s="196"/>
      <c r="P937" s="196"/>
      <c r="Q937" s="200"/>
    </row>
    <row r="938" spans="1:17">
      <c r="A938" s="196"/>
      <c r="B938" s="196"/>
      <c r="C938" s="196"/>
      <c r="D938" s="19"/>
      <c r="E938" s="198"/>
      <c r="F938" s="196"/>
      <c r="G938" s="196"/>
      <c r="H938" s="199"/>
      <c r="I938" s="196"/>
      <c r="J938" s="198"/>
      <c r="K938" s="196"/>
      <c r="L938" s="196"/>
      <c r="M938" s="197"/>
      <c r="N938" s="192"/>
      <c r="O938" s="196"/>
      <c r="P938" s="196"/>
      <c r="Q938" s="200"/>
    </row>
    <row r="939" spans="1:17">
      <c r="A939" s="196"/>
      <c r="B939" s="196"/>
      <c r="C939" s="196"/>
      <c r="D939" s="19"/>
      <c r="E939" s="198"/>
      <c r="F939" s="196"/>
      <c r="G939" s="196"/>
      <c r="H939" s="199"/>
      <c r="I939" s="196"/>
      <c r="J939" s="198"/>
      <c r="K939" s="196"/>
      <c r="L939" s="196"/>
      <c r="M939" s="197"/>
      <c r="N939" s="192"/>
      <c r="O939" s="196"/>
      <c r="P939" s="196"/>
      <c r="Q939" s="200"/>
    </row>
    <row r="940" spans="1:17">
      <c r="A940" s="196"/>
      <c r="B940" s="196"/>
      <c r="C940" s="196"/>
      <c r="D940" s="19"/>
      <c r="E940" s="198"/>
      <c r="F940" s="196"/>
      <c r="G940" s="196"/>
      <c r="H940" s="199"/>
      <c r="I940" s="196"/>
      <c r="J940" s="198"/>
      <c r="K940" s="196"/>
      <c r="L940" s="196"/>
      <c r="M940" s="197"/>
      <c r="N940" s="192"/>
      <c r="O940" s="196"/>
      <c r="P940" s="196"/>
      <c r="Q940" s="200"/>
    </row>
    <row r="941" spans="1:17">
      <c r="A941" s="196"/>
      <c r="B941" s="196"/>
      <c r="C941" s="196"/>
      <c r="D941" s="19"/>
      <c r="E941" s="198"/>
      <c r="F941" s="196"/>
      <c r="G941" s="196"/>
      <c r="H941" s="199"/>
      <c r="I941" s="196"/>
      <c r="J941" s="198"/>
      <c r="K941" s="196"/>
      <c r="L941" s="196"/>
      <c r="M941" s="197"/>
      <c r="N941" s="192"/>
      <c r="O941" s="196"/>
      <c r="P941" s="196"/>
      <c r="Q941" s="200"/>
    </row>
    <row r="942" spans="1:17">
      <c r="A942" s="196"/>
      <c r="B942" s="196"/>
      <c r="C942" s="196"/>
      <c r="D942" s="19"/>
      <c r="E942" s="198"/>
      <c r="F942" s="196"/>
      <c r="G942" s="196"/>
      <c r="H942" s="199"/>
      <c r="I942" s="196"/>
      <c r="J942" s="198"/>
      <c r="K942" s="196"/>
      <c r="L942" s="196"/>
      <c r="M942" s="197"/>
      <c r="N942" s="192"/>
      <c r="O942" s="196"/>
      <c r="P942" s="196"/>
      <c r="Q942" s="200"/>
    </row>
    <row r="943" spans="1:17">
      <c r="A943" s="196"/>
      <c r="B943" s="196"/>
      <c r="C943" s="196"/>
      <c r="D943" s="19"/>
      <c r="E943" s="198"/>
      <c r="F943" s="196"/>
      <c r="G943" s="196"/>
      <c r="H943" s="199"/>
      <c r="I943" s="196"/>
      <c r="J943" s="198"/>
      <c r="K943" s="196"/>
      <c r="L943" s="196"/>
      <c r="M943" s="197"/>
      <c r="N943" s="192"/>
      <c r="O943" s="196"/>
      <c r="P943" s="196"/>
      <c r="Q943" s="200"/>
    </row>
    <row r="944" spans="1:17">
      <c r="A944" s="196"/>
      <c r="B944" s="196"/>
      <c r="C944" s="196"/>
      <c r="D944" s="19"/>
      <c r="E944" s="198"/>
      <c r="F944" s="196"/>
      <c r="G944" s="196"/>
      <c r="H944" s="199"/>
      <c r="I944" s="196"/>
      <c r="J944" s="198"/>
      <c r="K944" s="196"/>
      <c r="L944" s="196"/>
      <c r="M944" s="197"/>
      <c r="N944" s="192"/>
      <c r="O944" s="196"/>
      <c r="P944" s="196"/>
      <c r="Q944" s="200"/>
    </row>
    <row r="945" spans="1:17">
      <c r="A945" s="196"/>
      <c r="B945" s="196"/>
      <c r="C945" s="196"/>
      <c r="D945" s="19"/>
      <c r="E945" s="198"/>
      <c r="F945" s="196"/>
      <c r="G945" s="196"/>
      <c r="H945" s="199"/>
      <c r="I945" s="196"/>
      <c r="J945" s="198"/>
      <c r="K945" s="196"/>
      <c r="L945" s="196"/>
      <c r="M945" s="197"/>
      <c r="N945" s="192"/>
      <c r="O945" s="196"/>
      <c r="P945" s="196"/>
      <c r="Q945" s="200"/>
    </row>
    <row r="946" spans="1:17">
      <c r="A946" s="196"/>
      <c r="B946" s="196"/>
      <c r="C946" s="196"/>
      <c r="D946" s="19"/>
      <c r="E946" s="198"/>
      <c r="F946" s="196"/>
      <c r="G946" s="196"/>
      <c r="H946" s="199"/>
      <c r="I946" s="196"/>
      <c r="J946" s="198"/>
      <c r="K946" s="196"/>
      <c r="L946" s="196"/>
      <c r="M946" s="197"/>
      <c r="N946" s="192"/>
      <c r="O946" s="196"/>
      <c r="P946" s="196"/>
      <c r="Q946" s="200"/>
    </row>
    <row r="947" spans="1:17">
      <c r="A947" s="196"/>
      <c r="B947" s="196"/>
      <c r="C947" s="196"/>
      <c r="D947" s="19"/>
      <c r="E947" s="198"/>
      <c r="F947" s="196"/>
      <c r="G947" s="196"/>
      <c r="H947" s="199"/>
      <c r="I947" s="196"/>
      <c r="J947" s="198"/>
      <c r="K947" s="196"/>
      <c r="L947" s="196"/>
      <c r="M947" s="197"/>
      <c r="N947" s="192"/>
      <c r="O947" s="196"/>
      <c r="P947" s="196"/>
      <c r="Q947" s="200"/>
    </row>
    <row r="948" spans="1:17">
      <c r="A948" s="196"/>
      <c r="B948" s="196"/>
      <c r="C948" s="196"/>
      <c r="D948" s="19"/>
      <c r="E948" s="198"/>
      <c r="F948" s="196"/>
      <c r="G948" s="196"/>
      <c r="H948" s="199"/>
      <c r="I948" s="196"/>
      <c r="J948" s="198"/>
      <c r="K948" s="196"/>
      <c r="L948" s="196"/>
      <c r="M948" s="197"/>
      <c r="N948" s="192"/>
      <c r="O948" s="196"/>
      <c r="P948" s="196"/>
      <c r="Q948" s="200"/>
    </row>
    <row r="949" spans="1:17">
      <c r="A949" s="196"/>
      <c r="B949" s="196"/>
      <c r="C949" s="196"/>
      <c r="D949" s="19"/>
      <c r="E949" s="198"/>
      <c r="F949" s="196"/>
      <c r="G949" s="196"/>
      <c r="H949" s="199"/>
      <c r="I949" s="196"/>
      <c r="J949" s="198"/>
      <c r="K949" s="196"/>
      <c r="L949" s="196"/>
      <c r="M949" s="197"/>
      <c r="N949" s="192"/>
      <c r="O949" s="196"/>
      <c r="P949" s="196"/>
      <c r="Q949" s="200"/>
    </row>
    <row r="950" spans="1:17">
      <c r="A950" s="196"/>
      <c r="B950" s="196"/>
      <c r="C950" s="196"/>
      <c r="D950" s="19"/>
      <c r="E950" s="198"/>
      <c r="F950" s="196"/>
      <c r="G950" s="196"/>
      <c r="H950" s="199"/>
      <c r="I950" s="196"/>
      <c r="J950" s="198"/>
      <c r="K950" s="196"/>
      <c r="L950" s="196"/>
      <c r="M950" s="197"/>
      <c r="N950" s="192"/>
      <c r="O950" s="196"/>
      <c r="P950" s="196"/>
      <c r="Q950" s="200"/>
    </row>
    <row r="951" spans="1:17">
      <c r="A951" s="196"/>
      <c r="B951" s="196"/>
      <c r="C951" s="196"/>
      <c r="D951" s="19"/>
      <c r="E951" s="198"/>
      <c r="F951" s="196"/>
      <c r="G951" s="196"/>
      <c r="H951" s="199"/>
      <c r="I951" s="196"/>
      <c r="J951" s="198"/>
      <c r="K951" s="196"/>
      <c r="L951" s="196"/>
      <c r="M951" s="197"/>
      <c r="N951" s="192"/>
      <c r="O951" s="196"/>
      <c r="P951" s="196"/>
      <c r="Q951" s="200"/>
    </row>
    <row r="952" spans="1:17">
      <c r="A952" s="196"/>
      <c r="B952" s="196"/>
      <c r="C952" s="196"/>
      <c r="D952" s="19"/>
      <c r="E952" s="198"/>
      <c r="F952" s="196"/>
      <c r="G952" s="196"/>
      <c r="H952" s="199"/>
      <c r="I952" s="196"/>
      <c r="J952" s="198"/>
      <c r="K952" s="196"/>
      <c r="L952" s="196"/>
      <c r="M952" s="197"/>
      <c r="N952" s="192"/>
      <c r="O952" s="196"/>
      <c r="P952" s="196"/>
      <c r="Q952" s="200"/>
    </row>
    <row r="953" spans="1:17">
      <c r="A953" s="196"/>
      <c r="B953" s="196"/>
      <c r="C953" s="196"/>
      <c r="D953" s="19"/>
      <c r="E953" s="198"/>
      <c r="F953" s="196"/>
      <c r="G953" s="196"/>
      <c r="H953" s="199"/>
      <c r="I953" s="196"/>
      <c r="J953" s="198"/>
      <c r="K953" s="196"/>
      <c r="L953" s="196"/>
      <c r="M953" s="197"/>
      <c r="N953" s="192"/>
      <c r="O953" s="196"/>
      <c r="P953" s="196"/>
      <c r="Q953" s="200"/>
    </row>
    <row r="954" spans="1:17">
      <c r="A954" s="196"/>
      <c r="B954" s="196"/>
      <c r="C954" s="196"/>
      <c r="D954" s="19"/>
      <c r="E954" s="198"/>
      <c r="F954" s="196"/>
      <c r="G954" s="196"/>
      <c r="H954" s="199"/>
      <c r="I954" s="196"/>
      <c r="J954" s="198"/>
      <c r="K954" s="196"/>
      <c r="L954" s="196"/>
      <c r="M954" s="197"/>
      <c r="N954" s="192"/>
      <c r="O954" s="196"/>
      <c r="P954" s="196"/>
      <c r="Q954" s="200"/>
    </row>
    <row r="955" spans="1:17">
      <c r="A955" s="196"/>
      <c r="B955" s="196"/>
      <c r="C955" s="196"/>
      <c r="D955" s="19"/>
      <c r="E955" s="198"/>
      <c r="F955" s="196"/>
      <c r="G955" s="196"/>
      <c r="H955" s="199"/>
      <c r="I955" s="196"/>
      <c r="J955" s="198"/>
      <c r="K955" s="196"/>
      <c r="L955" s="196"/>
      <c r="M955" s="197"/>
      <c r="N955" s="192"/>
      <c r="O955" s="196"/>
      <c r="P955" s="196"/>
      <c r="Q955" s="200"/>
    </row>
    <row r="956" spans="1:17">
      <c r="A956" s="196"/>
      <c r="B956" s="196"/>
      <c r="C956" s="196"/>
      <c r="D956" s="19"/>
      <c r="E956" s="198"/>
      <c r="F956" s="196"/>
      <c r="G956" s="196"/>
      <c r="H956" s="199"/>
      <c r="I956" s="196"/>
      <c r="J956" s="198"/>
      <c r="K956" s="196"/>
      <c r="L956" s="196"/>
      <c r="M956" s="197"/>
      <c r="N956" s="192"/>
      <c r="O956" s="196"/>
      <c r="P956" s="196"/>
      <c r="Q956" s="200"/>
    </row>
    <row r="957" spans="1:17">
      <c r="A957" s="196"/>
      <c r="B957" s="196"/>
      <c r="C957" s="196"/>
      <c r="D957" s="19"/>
      <c r="E957" s="198"/>
      <c r="F957" s="196"/>
      <c r="G957" s="196"/>
      <c r="H957" s="199"/>
      <c r="I957" s="196"/>
      <c r="J957" s="198"/>
      <c r="K957" s="196"/>
      <c r="L957" s="196"/>
      <c r="M957" s="197"/>
      <c r="N957" s="192"/>
      <c r="O957" s="196"/>
      <c r="P957" s="196"/>
      <c r="Q957" s="200"/>
    </row>
    <row r="958" spans="1:17">
      <c r="A958" s="196"/>
      <c r="B958" s="196"/>
      <c r="C958" s="196"/>
      <c r="D958" s="19"/>
      <c r="E958" s="198"/>
      <c r="F958" s="196"/>
      <c r="G958" s="196"/>
      <c r="H958" s="199"/>
      <c r="I958" s="196"/>
      <c r="J958" s="198"/>
      <c r="K958" s="196"/>
      <c r="L958" s="196"/>
      <c r="M958" s="197"/>
      <c r="N958" s="192"/>
      <c r="O958" s="196"/>
      <c r="P958" s="196"/>
      <c r="Q958" s="200"/>
    </row>
    <row r="959" spans="1:17">
      <c r="A959" s="196"/>
      <c r="B959" s="196"/>
      <c r="C959" s="196"/>
      <c r="D959" s="19"/>
      <c r="E959" s="198"/>
      <c r="F959" s="196"/>
      <c r="G959" s="196"/>
      <c r="H959" s="199"/>
      <c r="I959" s="196"/>
      <c r="J959" s="198"/>
      <c r="K959" s="196"/>
      <c r="L959" s="196"/>
      <c r="M959" s="197"/>
      <c r="N959" s="192"/>
      <c r="O959" s="196"/>
      <c r="P959" s="196"/>
      <c r="Q959" s="200"/>
    </row>
    <row r="960" spans="1:17">
      <c r="A960" s="196"/>
      <c r="B960" s="196"/>
      <c r="C960" s="196"/>
      <c r="D960" s="19"/>
      <c r="E960" s="198"/>
      <c r="F960" s="196"/>
      <c r="G960" s="196"/>
      <c r="H960" s="199"/>
      <c r="I960" s="196"/>
      <c r="J960" s="198"/>
      <c r="K960" s="196"/>
      <c r="L960" s="196"/>
      <c r="M960" s="197"/>
      <c r="N960" s="192"/>
      <c r="O960" s="196"/>
      <c r="P960" s="196"/>
      <c r="Q960" s="200"/>
    </row>
    <row r="961" spans="1:17">
      <c r="A961" s="196"/>
      <c r="B961" s="196"/>
      <c r="C961" s="196"/>
      <c r="D961" s="19"/>
      <c r="E961" s="198"/>
      <c r="F961" s="196"/>
      <c r="G961" s="196"/>
      <c r="H961" s="199"/>
      <c r="I961" s="196"/>
      <c r="J961" s="198"/>
      <c r="K961" s="196"/>
      <c r="L961" s="196"/>
      <c r="M961" s="197"/>
      <c r="N961" s="192"/>
      <c r="O961" s="196"/>
      <c r="P961" s="196"/>
      <c r="Q961" s="200"/>
    </row>
    <row r="962" spans="1:17">
      <c r="A962" s="196"/>
      <c r="B962" s="196"/>
      <c r="C962" s="196"/>
      <c r="D962" s="19"/>
      <c r="E962" s="198"/>
      <c r="F962" s="196"/>
      <c r="G962" s="196"/>
      <c r="H962" s="199"/>
      <c r="I962" s="196"/>
      <c r="J962" s="198"/>
      <c r="K962" s="196"/>
      <c r="L962" s="196"/>
      <c r="M962" s="197"/>
      <c r="N962" s="192"/>
      <c r="O962" s="196"/>
      <c r="P962" s="196"/>
      <c r="Q962" s="200"/>
    </row>
    <row r="963" spans="1:17">
      <c r="A963" s="196"/>
      <c r="B963" s="196"/>
      <c r="C963" s="196"/>
      <c r="D963" s="19"/>
      <c r="E963" s="198"/>
      <c r="F963" s="196"/>
      <c r="G963" s="196"/>
      <c r="H963" s="199"/>
      <c r="I963" s="196"/>
      <c r="J963" s="198"/>
      <c r="K963" s="196"/>
      <c r="L963" s="196"/>
      <c r="M963" s="197"/>
      <c r="N963" s="192"/>
      <c r="O963" s="196"/>
      <c r="P963" s="196"/>
      <c r="Q963" s="200"/>
    </row>
    <row r="964" spans="1:17">
      <c r="A964" s="196"/>
      <c r="B964" s="196"/>
      <c r="C964" s="196"/>
      <c r="D964" s="19"/>
      <c r="E964" s="198"/>
      <c r="F964" s="196"/>
      <c r="G964" s="196"/>
      <c r="H964" s="199"/>
      <c r="I964" s="196"/>
      <c r="J964" s="198"/>
      <c r="K964" s="196"/>
      <c r="L964" s="196"/>
      <c r="M964" s="197"/>
      <c r="N964" s="192"/>
      <c r="O964" s="196"/>
      <c r="P964" s="196"/>
      <c r="Q964" s="200"/>
    </row>
    <row r="965" spans="1:17">
      <c r="A965" s="196"/>
      <c r="B965" s="196"/>
      <c r="C965" s="196"/>
      <c r="D965" s="19"/>
      <c r="E965" s="198"/>
      <c r="F965" s="196"/>
      <c r="G965" s="196"/>
      <c r="H965" s="199"/>
      <c r="I965" s="196"/>
      <c r="J965" s="198"/>
      <c r="K965" s="196"/>
      <c r="L965" s="196"/>
      <c r="M965" s="197"/>
      <c r="N965" s="192"/>
      <c r="O965" s="196"/>
      <c r="P965" s="196"/>
      <c r="Q965" s="200"/>
    </row>
    <row r="966" spans="1:17">
      <c r="A966" s="196"/>
      <c r="B966" s="196"/>
      <c r="C966" s="196"/>
      <c r="D966" s="19"/>
      <c r="E966" s="198"/>
      <c r="F966" s="196"/>
      <c r="G966" s="196"/>
      <c r="H966" s="199"/>
      <c r="I966" s="196"/>
      <c r="J966" s="198"/>
      <c r="K966" s="196"/>
      <c r="L966" s="196"/>
      <c r="M966" s="197"/>
      <c r="N966" s="192"/>
      <c r="O966" s="196"/>
      <c r="P966" s="196"/>
      <c r="Q966" s="200"/>
    </row>
    <row r="967" spans="1:17">
      <c r="A967" s="196"/>
      <c r="B967" s="196"/>
      <c r="C967" s="196"/>
      <c r="D967" s="19"/>
      <c r="E967" s="198"/>
      <c r="F967" s="196"/>
      <c r="G967" s="196"/>
      <c r="H967" s="199"/>
      <c r="I967" s="196"/>
      <c r="J967" s="198"/>
      <c r="K967" s="196"/>
      <c r="L967" s="196"/>
      <c r="M967" s="197"/>
      <c r="N967" s="192"/>
      <c r="O967" s="196"/>
      <c r="P967" s="196"/>
      <c r="Q967" s="200"/>
    </row>
    <row r="968" spans="1:17">
      <c r="A968" s="196"/>
      <c r="B968" s="196"/>
      <c r="C968" s="196"/>
      <c r="D968" s="19"/>
      <c r="E968" s="198"/>
      <c r="F968" s="196"/>
      <c r="G968" s="196"/>
      <c r="H968" s="199"/>
      <c r="I968" s="196"/>
      <c r="J968" s="198"/>
      <c r="K968" s="196"/>
      <c r="L968" s="196"/>
      <c r="M968" s="197"/>
      <c r="N968" s="192"/>
      <c r="O968" s="196"/>
      <c r="P968" s="196"/>
      <c r="Q968" s="200"/>
    </row>
    <row r="969" spans="1:17">
      <c r="A969" s="196"/>
      <c r="B969" s="196"/>
      <c r="C969" s="196"/>
      <c r="D969" s="19"/>
      <c r="E969" s="198"/>
      <c r="F969" s="196"/>
      <c r="G969" s="196"/>
      <c r="H969" s="199"/>
      <c r="I969" s="196"/>
      <c r="J969" s="198"/>
      <c r="K969" s="196"/>
      <c r="L969" s="196"/>
      <c r="M969" s="197"/>
      <c r="N969" s="192"/>
      <c r="O969" s="196"/>
      <c r="P969" s="196"/>
      <c r="Q969" s="200"/>
    </row>
    <row r="970" spans="1:17">
      <c r="A970" s="196"/>
      <c r="B970" s="196"/>
      <c r="C970" s="196"/>
      <c r="D970" s="19"/>
      <c r="E970" s="198"/>
      <c r="F970" s="196"/>
      <c r="G970" s="196"/>
      <c r="H970" s="199"/>
      <c r="I970" s="196"/>
      <c r="J970" s="198"/>
      <c r="K970" s="196"/>
      <c r="L970" s="196"/>
      <c r="M970" s="197"/>
      <c r="N970" s="192"/>
      <c r="O970" s="196"/>
      <c r="P970" s="196"/>
      <c r="Q970" s="200"/>
    </row>
    <row r="971" spans="1:17">
      <c r="A971" s="196"/>
      <c r="B971" s="196"/>
      <c r="C971" s="196"/>
      <c r="D971" s="19"/>
      <c r="E971" s="198"/>
      <c r="F971" s="196"/>
      <c r="G971" s="196"/>
      <c r="H971" s="199"/>
      <c r="I971" s="196"/>
      <c r="J971" s="198"/>
      <c r="K971" s="196"/>
      <c r="L971" s="196"/>
      <c r="M971" s="197"/>
      <c r="N971" s="192"/>
      <c r="O971" s="196"/>
      <c r="P971" s="196"/>
      <c r="Q971" s="200"/>
    </row>
    <row r="972" spans="1:17">
      <c r="A972" s="196"/>
      <c r="B972" s="196"/>
      <c r="C972" s="196"/>
      <c r="D972" s="19"/>
      <c r="E972" s="198"/>
      <c r="F972" s="196"/>
      <c r="G972" s="196"/>
      <c r="H972" s="199"/>
      <c r="I972" s="196"/>
      <c r="J972" s="198"/>
      <c r="K972" s="196"/>
      <c r="L972" s="196"/>
      <c r="M972" s="197"/>
      <c r="N972" s="192"/>
      <c r="O972" s="196"/>
      <c r="P972" s="196"/>
      <c r="Q972" s="200"/>
    </row>
    <row r="973" spans="1:17">
      <c r="A973" s="196"/>
      <c r="B973" s="196"/>
      <c r="C973" s="196"/>
      <c r="D973" s="19"/>
      <c r="E973" s="198"/>
      <c r="F973" s="196"/>
      <c r="G973" s="196"/>
      <c r="H973" s="199"/>
      <c r="I973" s="196"/>
      <c r="J973" s="198"/>
      <c r="K973" s="196"/>
      <c r="L973" s="196"/>
      <c r="M973" s="197"/>
      <c r="N973" s="192"/>
      <c r="O973" s="196"/>
      <c r="P973" s="196"/>
      <c r="Q973" s="200"/>
    </row>
    <row r="974" spans="1:17">
      <c r="A974" s="196"/>
      <c r="B974" s="196"/>
      <c r="C974" s="196"/>
      <c r="D974" s="19"/>
      <c r="E974" s="198"/>
      <c r="F974" s="196"/>
      <c r="G974" s="196"/>
      <c r="H974" s="199"/>
      <c r="I974" s="196"/>
      <c r="J974" s="198"/>
      <c r="K974" s="196"/>
      <c r="L974" s="196"/>
      <c r="M974" s="197"/>
      <c r="N974" s="192"/>
      <c r="O974" s="196"/>
      <c r="P974" s="196"/>
      <c r="Q974" s="200"/>
    </row>
    <row r="975" spans="1:17">
      <c r="A975" s="196"/>
      <c r="B975" s="196"/>
      <c r="C975" s="196"/>
      <c r="D975" s="19"/>
      <c r="E975" s="198"/>
      <c r="F975" s="196"/>
      <c r="G975" s="196"/>
      <c r="H975" s="199"/>
      <c r="I975" s="196"/>
      <c r="J975" s="198"/>
      <c r="K975" s="196"/>
      <c r="L975" s="196"/>
      <c r="M975" s="197"/>
      <c r="N975" s="192"/>
      <c r="O975" s="196"/>
      <c r="P975" s="196"/>
      <c r="Q975" s="200"/>
    </row>
    <row r="976" spans="1:17">
      <c r="A976" s="196"/>
      <c r="B976" s="196"/>
      <c r="C976" s="196"/>
      <c r="D976" s="19"/>
      <c r="E976" s="198"/>
      <c r="F976" s="196"/>
      <c r="G976" s="196"/>
      <c r="H976" s="199"/>
      <c r="I976" s="196"/>
      <c r="J976" s="198"/>
      <c r="K976" s="196"/>
      <c r="L976" s="196"/>
      <c r="M976" s="197"/>
      <c r="N976" s="192"/>
      <c r="O976" s="196"/>
      <c r="P976" s="196"/>
      <c r="Q976" s="200"/>
    </row>
    <row r="977" spans="1:17">
      <c r="A977" s="196"/>
      <c r="B977" s="196"/>
      <c r="C977" s="196"/>
      <c r="D977" s="19"/>
      <c r="E977" s="198"/>
      <c r="F977" s="196"/>
      <c r="G977" s="196"/>
      <c r="H977" s="199"/>
      <c r="I977" s="196"/>
      <c r="J977" s="198"/>
      <c r="K977" s="196"/>
      <c r="L977" s="196"/>
      <c r="M977" s="197"/>
      <c r="N977" s="192"/>
      <c r="O977" s="196"/>
      <c r="P977" s="196"/>
      <c r="Q977" s="200"/>
    </row>
    <row r="978" spans="1:17">
      <c r="A978" s="196"/>
      <c r="B978" s="196"/>
      <c r="C978" s="196"/>
      <c r="D978" s="19"/>
      <c r="E978" s="198"/>
      <c r="F978" s="196"/>
      <c r="G978" s="196"/>
      <c r="H978" s="199"/>
      <c r="I978" s="196"/>
      <c r="J978" s="198"/>
      <c r="K978" s="196"/>
      <c r="L978" s="196"/>
      <c r="M978" s="197"/>
      <c r="N978" s="192"/>
      <c r="O978" s="196"/>
      <c r="P978" s="196"/>
      <c r="Q978" s="200"/>
    </row>
    <row r="979" spans="1:17">
      <c r="A979" s="196"/>
      <c r="B979" s="196"/>
      <c r="C979" s="196"/>
      <c r="D979" s="19"/>
      <c r="E979" s="198"/>
      <c r="F979" s="196"/>
      <c r="G979" s="196"/>
      <c r="H979" s="199"/>
      <c r="I979" s="196"/>
      <c r="J979" s="198"/>
      <c r="K979" s="196"/>
      <c r="L979" s="196"/>
      <c r="M979" s="197"/>
      <c r="N979" s="192"/>
      <c r="O979" s="196"/>
      <c r="P979" s="196"/>
      <c r="Q979" s="200"/>
    </row>
    <row r="980" spans="1:17">
      <c r="A980" s="196"/>
      <c r="B980" s="196"/>
      <c r="C980" s="196"/>
      <c r="D980" s="19"/>
      <c r="E980" s="198"/>
      <c r="F980" s="196"/>
      <c r="G980" s="196"/>
      <c r="H980" s="199"/>
      <c r="I980" s="196"/>
      <c r="J980" s="198"/>
      <c r="K980" s="196"/>
      <c r="L980" s="196"/>
      <c r="M980" s="197"/>
      <c r="N980" s="192"/>
      <c r="O980" s="196"/>
      <c r="P980" s="196"/>
      <c r="Q980" s="200"/>
    </row>
    <row r="981" spans="1:17">
      <c r="A981" s="196"/>
      <c r="B981" s="196"/>
      <c r="C981" s="196"/>
      <c r="D981" s="19"/>
      <c r="E981" s="198"/>
      <c r="F981" s="196"/>
      <c r="G981" s="196"/>
      <c r="H981" s="199"/>
      <c r="I981" s="196"/>
      <c r="J981" s="198"/>
      <c r="K981" s="196"/>
      <c r="L981" s="196"/>
      <c r="M981" s="197"/>
      <c r="N981" s="192"/>
      <c r="O981" s="196"/>
      <c r="P981" s="196"/>
      <c r="Q981" s="200"/>
    </row>
    <row r="982" spans="1:17">
      <c r="A982" s="196"/>
      <c r="B982" s="196"/>
      <c r="C982" s="196"/>
      <c r="D982" s="19"/>
      <c r="E982" s="198"/>
      <c r="F982" s="196"/>
      <c r="G982" s="196"/>
      <c r="H982" s="199"/>
      <c r="I982" s="196"/>
      <c r="J982" s="198"/>
      <c r="K982" s="196"/>
      <c r="L982" s="196"/>
      <c r="M982" s="197"/>
      <c r="N982" s="192"/>
      <c r="O982" s="196"/>
      <c r="P982" s="196"/>
      <c r="Q982" s="200"/>
    </row>
    <row r="983" spans="1:17">
      <c r="A983" s="196"/>
      <c r="B983" s="196"/>
      <c r="C983" s="196"/>
      <c r="D983" s="19"/>
      <c r="E983" s="198"/>
      <c r="F983" s="196"/>
      <c r="G983" s="196"/>
      <c r="H983" s="199"/>
      <c r="I983" s="196"/>
      <c r="J983" s="198"/>
      <c r="K983" s="196"/>
      <c r="L983" s="196"/>
      <c r="M983" s="197"/>
      <c r="N983" s="192"/>
      <c r="O983" s="196"/>
      <c r="P983" s="196"/>
      <c r="Q983" s="200"/>
    </row>
    <row r="984" spans="1:17">
      <c r="A984" s="196"/>
      <c r="B984" s="196"/>
      <c r="C984" s="196"/>
      <c r="D984" s="19"/>
      <c r="E984" s="198"/>
      <c r="F984" s="196"/>
      <c r="G984" s="196"/>
      <c r="H984" s="199"/>
      <c r="I984" s="196"/>
      <c r="J984" s="198"/>
      <c r="K984" s="196"/>
      <c r="L984" s="196"/>
      <c r="M984" s="197"/>
      <c r="N984" s="192"/>
      <c r="O984" s="196"/>
      <c r="P984" s="196"/>
      <c r="Q984" s="200"/>
    </row>
    <row r="985" spans="1:17">
      <c r="A985" s="196"/>
      <c r="B985" s="196"/>
      <c r="C985" s="196"/>
      <c r="D985" s="19"/>
      <c r="E985" s="198"/>
      <c r="F985" s="196"/>
      <c r="G985" s="196"/>
      <c r="H985" s="199"/>
      <c r="I985" s="196"/>
      <c r="J985" s="198"/>
      <c r="K985" s="196"/>
      <c r="L985" s="196"/>
      <c r="M985" s="197"/>
      <c r="N985" s="192"/>
      <c r="O985" s="196"/>
      <c r="P985" s="196"/>
      <c r="Q985" s="200"/>
    </row>
    <row r="986" spans="1:17">
      <c r="A986" s="196"/>
      <c r="B986" s="196"/>
      <c r="C986" s="196"/>
      <c r="D986" s="19"/>
      <c r="E986" s="198"/>
      <c r="F986" s="196"/>
      <c r="G986" s="196"/>
      <c r="H986" s="199"/>
      <c r="I986" s="196"/>
      <c r="J986" s="198"/>
      <c r="K986" s="196"/>
      <c r="L986" s="196"/>
      <c r="M986" s="197"/>
      <c r="N986" s="192"/>
      <c r="O986" s="196"/>
      <c r="P986" s="196"/>
      <c r="Q986" s="200"/>
    </row>
    <row r="987" spans="1:17">
      <c r="A987" s="196"/>
      <c r="B987" s="196"/>
      <c r="C987" s="196"/>
      <c r="D987" s="19"/>
      <c r="E987" s="198"/>
      <c r="F987" s="196"/>
      <c r="G987" s="196"/>
      <c r="H987" s="199"/>
      <c r="I987" s="196"/>
      <c r="J987" s="198"/>
      <c r="K987" s="196"/>
      <c r="L987" s="196"/>
      <c r="M987" s="197"/>
      <c r="N987" s="192"/>
      <c r="O987" s="196"/>
      <c r="P987" s="196"/>
      <c r="Q987" s="200"/>
    </row>
    <row r="988" spans="1:17">
      <c r="A988" s="196"/>
      <c r="B988" s="196"/>
      <c r="C988" s="196"/>
      <c r="D988" s="19"/>
      <c r="E988" s="198"/>
      <c r="F988" s="196"/>
      <c r="G988" s="196"/>
      <c r="H988" s="199"/>
      <c r="I988" s="196"/>
      <c r="J988" s="198"/>
      <c r="K988" s="196"/>
      <c r="L988" s="196"/>
      <c r="M988" s="197"/>
      <c r="N988" s="192"/>
      <c r="O988" s="196"/>
      <c r="P988" s="196"/>
      <c r="Q988" s="200"/>
    </row>
    <row r="989" spans="1:17">
      <c r="A989" s="196"/>
      <c r="B989" s="196"/>
      <c r="C989" s="196"/>
      <c r="D989" s="19"/>
      <c r="E989" s="198"/>
      <c r="F989" s="196"/>
      <c r="G989" s="196"/>
      <c r="H989" s="199"/>
      <c r="I989" s="196"/>
      <c r="J989" s="198"/>
      <c r="K989" s="196"/>
      <c r="L989" s="196"/>
      <c r="M989" s="197"/>
      <c r="N989" s="192"/>
      <c r="O989" s="196"/>
      <c r="P989" s="196"/>
      <c r="Q989" s="200"/>
    </row>
    <row r="990" spans="1:17">
      <c r="A990" s="196"/>
      <c r="B990" s="196"/>
      <c r="C990" s="196"/>
      <c r="D990" s="19"/>
      <c r="E990" s="198"/>
      <c r="F990" s="196"/>
      <c r="G990" s="196"/>
      <c r="H990" s="199"/>
      <c r="I990" s="196"/>
      <c r="J990" s="198"/>
      <c r="K990" s="196"/>
      <c r="L990" s="196"/>
      <c r="M990" s="197"/>
      <c r="N990" s="192"/>
      <c r="O990" s="196"/>
      <c r="P990" s="196"/>
      <c r="Q990" s="200"/>
    </row>
    <row r="991" spans="1:17">
      <c r="A991" s="196"/>
      <c r="B991" s="196"/>
      <c r="C991" s="196"/>
      <c r="D991" s="19"/>
      <c r="E991" s="198"/>
      <c r="F991" s="196"/>
      <c r="G991" s="196"/>
      <c r="H991" s="199"/>
      <c r="I991" s="196"/>
      <c r="J991" s="198"/>
      <c r="K991" s="196"/>
      <c r="L991" s="196"/>
      <c r="M991" s="197"/>
      <c r="N991" s="192"/>
      <c r="O991" s="196"/>
      <c r="P991" s="196"/>
      <c r="Q991" s="200"/>
    </row>
    <row r="992" spans="1:17">
      <c r="A992" s="196"/>
      <c r="B992" s="196"/>
      <c r="C992" s="196"/>
      <c r="D992" s="19"/>
      <c r="E992" s="198"/>
      <c r="F992" s="196"/>
      <c r="G992" s="196"/>
      <c r="H992" s="199"/>
      <c r="I992" s="196"/>
      <c r="J992" s="198"/>
      <c r="K992" s="196"/>
      <c r="L992" s="196"/>
      <c r="M992" s="197"/>
      <c r="N992" s="192"/>
      <c r="O992" s="196"/>
      <c r="P992" s="196"/>
      <c r="Q992" s="200"/>
    </row>
    <row r="993" spans="1:17">
      <c r="A993" s="196"/>
      <c r="B993" s="196"/>
      <c r="C993" s="196"/>
      <c r="D993" s="19"/>
      <c r="E993" s="198"/>
      <c r="F993" s="196"/>
      <c r="G993" s="196"/>
      <c r="H993" s="199"/>
      <c r="I993" s="196"/>
      <c r="J993" s="198"/>
      <c r="K993" s="196"/>
      <c r="L993" s="196"/>
      <c r="M993" s="197"/>
      <c r="N993" s="192"/>
      <c r="O993" s="196"/>
      <c r="P993" s="196"/>
      <c r="Q993" s="200"/>
    </row>
    <row r="994" spans="1:17">
      <c r="A994" s="196"/>
      <c r="B994" s="196"/>
      <c r="C994" s="196"/>
      <c r="D994" s="19"/>
      <c r="E994" s="198"/>
      <c r="F994" s="196"/>
      <c r="G994" s="196"/>
      <c r="H994" s="199"/>
      <c r="I994" s="196"/>
      <c r="J994" s="198"/>
      <c r="K994" s="196"/>
      <c r="L994" s="196"/>
      <c r="M994" s="197"/>
      <c r="N994" s="192"/>
      <c r="O994" s="196"/>
      <c r="P994" s="196"/>
      <c r="Q994" s="200"/>
    </row>
    <row r="995" spans="1:17">
      <c r="A995" s="196"/>
      <c r="B995" s="196"/>
      <c r="C995" s="196"/>
      <c r="D995" s="19"/>
      <c r="E995" s="198"/>
      <c r="F995" s="196"/>
      <c r="G995" s="196"/>
      <c r="H995" s="199"/>
      <c r="I995" s="196"/>
      <c r="J995" s="198"/>
      <c r="K995" s="196"/>
      <c r="L995" s="196"/>
      <c r="M995" s="197"/>
      <c r="N995" s="192"/>
      <c r="O995" s="196"/>
      <c r="P995" s="196"/>
      <c r="Q995" s="200"/>
    </row>
    <row r="996" spans="1:17">
      <c r="A996" s="196"/>
      <c r="B996" s="196"/>
      <c r="C996" s="196"/>
      <c r="D996" s="19"/>
      <c r="E996" s="198"/>
      <c r="F996" s="196"/>
      <c r="G996" s="196"/>
      <c r="H996" s="199"/>
      <c r="I996" s="196"/>
      <c r="J996" s="198"/>
      <c r="K996" s="196"/>
      <c r="L996" s="196"/>
      <c r="M996" s="197"/>
      <c r="N996" s="192"/>
      <c r="O996" s="196"/>
      <c r="P996" s="196"/>
      <c r="Q996" s="200"/>
    </row>
    <row r="997" spans="1:17">
      <c r="A997" s="196"/>
      <c r="B997" s="196"/>
      <c r="C997" s="196"/>
      <c r="D997" s="19"/>
      <c r="E997" s="198"/>
      <c r="F997" s="196"/>
      <c r="G997" s="196"/>
      <c r="H997" s="199"/>
      <c r="I997" s="196"/>
      <c r="J997" s="198"/>
      <c r="K997" s="196"/>
      <c r="L997" s="196"/>
      <c r="M997" s="197"/>
      <c r="N997" s="192"/>
      <c r="O997" s="196"/>
      <c r="P997" s="196"/>
      <c r="Q997" s="200"/>
    </row>
    <row r="998" spans="1:17">
      <c r="A998" s="196"/>
      <c r="B998" s="196"/>
      <c r="C998" s="196"/>
      <c r="D998" s="19"/>
      <c r="E998" s="198"/>
      <c r="F998" s="196"/>
      <c r="G998" s="196"/>
      <c r="H998" s="199"/>
      <c r="I998" s="196"/>
      <c r="J998" s="198"/>
      <c r="K998" s="196"/>
      <c r="L998" s="196"/>
      <c r="M998" s="197"/>
      <c r="N998" s="192"/>
      <c r="O998" s="196"/>
      <c r="P998" s="196"/>
      <c r="Q998" s="200"/>
    </row>
    <row r="999" spans="1:17">
      <c r="A999" s="196"/>
      <c r="B999" s="196"/>
      <c r="C999" s="196"/>
      <c r="D999" s="19"/>
      <c r="E999" s="198"/>
      <c r="F999" s="196"/>
      <c r="G999" s="196"/>
      <c r="H999" s="199"/>
      <c r="I999" s="196"/>
      <c r="J999" s="198"/>
      <c r="K999" s="196"/>
      <c r="L999" s="196"/>
      <c r="M999" s="197"/>
      <c r="N999" s="192"/>
      <c r="O999" s="196"/>
      <c r="P999" s="196"/>
      <c r="Q999" s="200"/>
    </row>
    <row r="1000" spans="1:17">
      <c r="A1000" s="196"/>
      <c r="B1000" s="196"/>
      <c r="C1000" s="196"/>
      <c r="D1000" s="19"/>
      <c r="E1000" s="198"/>
      <c r="F1000" s="196"/>
      <c r="G1000" s="196"/>
      <c r="H1000" s="199"/>
      <c r="I1000" s="196"/>
      <c r="J1000" s="198"/>
      <c r="K1000" s="196"/>
      <c r="L1000" s="196"/>
      <c r="M1000" s="197"/>
      <c r="N1000" s="192"/>
      <c r="O1000" s="196"/>
      <c r="P1000" s="196"/>
      <c r="Q1000" s="200"/>
    </row>
    <row r="1001" spans="1:17">
      <c r="A1001" s="196"/>
      <c r="B1001" s="196"/>
      <c r="C1001" s="196"/>
      <c r="D1001" s="19"/>
      <c r="E1001" s="198"/>
      <c r="F1001" s="196"/>
      <c r="G1001" s="196"/>
      <c r="H1001" s="199"/>
      <c r="I1001" s="196"/>
      <c r="J1001" s="198"/>
      <c r="K1001" s="196"/>
      <c r="L1001" s="196"/>
      <c r="M1001" s="197"/>
      <c r="N1001" s="192"/>
      <c r="O1001" s="196"/>
      <c r="P1001" s="196"/>
      <c r="Q1001" s="200"/>
    </row>
    <row r="1002" spans="1:17">
      <c r="A1002" s="196"/>
      <c r="B1002" s="196"/>
      <c r="C1002" s="196"/>
      <c r="D1002" s="19"/>
      <c r="E1002" s="198"/>
      <c r="F1002" s="196"/>
      <c r="G1002" s="196"/>
      <c r="H1002" s="199"/>
      <c r="I1002" s="196"/>
      <c r="J1002" s="198"/>
      <c r="K1002" s="196"/>
      <c r="L1002" s="196"/>
      <c r="M1002" s="197"/>
      <c r="N1002" s="192"/>
      <c r="O1002" s="196"/>
      <c r="P1002" s="196"/>
      <c r="Q1002" s="200"/>
    </row>
    <row r="1003" spans="1:17">
      <c r="A1003" s="196"/>
      <c r="B1003" s="196"/>
      <c r="C1003" s="196"/>
      <c r="D1003" s="19"/>
      <c r="E1003" s="198"/>
      <c r="F1003" s="196"/>
      <c r="G1003" s="196"/>
      <c r="H1003" s="199"/>
      <c r="I1003" s="196"/>
      <c r="J1003" s="198"/>
      <c r="K1003" s="196"/>
      <c r="L1003" s="196"/>
      <c r="M1003" s="197"/>
      <c r="N1003" s="192"/>
      <c r="O1003" s="196"/>
      <c r="P1003" s="196"/>
      <c r="Q1003" s="200"/>
    </row>
    <row r="1004" spans="1:17">
      <c r="A1004" s="196"/>
      <c r="B1004" s="196"/>
      <c r="C1004" s="196"/>
      <c r="D1004" s="19"/>
      <c r="E1004" s="198"/>
      <c r="F1004" s="196"/>
      <c r="G1004" s="196"/>
      <c r="H1004" s="199"/>
      <c r="I1004" s="196"/>
      <c r="J1004" s="198"/>
      <c r="K1004" s="196"/>
      <c r="L1004" s="196"/>
      <c r="M1004" s="197"/>
      <c r="N1004" s="192"/>
      <c r="O1004" s="196"/>
      <c r="P1004" s="196"/>
      <c r="Q1004" s="200"/>
    </row>
    <row r="1005" spans="1:17">
      <c r="A1005" s="196"/>
      <c r="B1005" s="196"/>
      <c r="C1005" s="196"/>
      <c r="D1005" s="19"/>
      <c r="E1005" s="198"/>
      <c r="F1005" s="196"/>
      <c r="G1005" s="196"/>
      <c r="H1005" s="199"/>
      <c r="I1005" s="196"/>
      <c r="J1005" s="198"/>
      <c r="K1005" s="196"/>
      <c r="L1005" s="196"/>
      <c r="M1005" s="197"/>
      <c r="N1005" s="192"/>
      <c r="O1005" s="196"/>
      <c r="P1005" s="196"/>
      <c r="Q1005" s="200"/>
    </row>
    <row r="1006" spans="1:17">
      <c r="A1006" s="196"/>
      <c r="B1006" s="196"/>
      <c r="C1006" s="196"/>
      <c r="D1006" s="19"/>
      <c r="E1006" s="198"/>
      <c r="F1006" s="196"/>
      <c r="G1006" s="196"/>
      <c r="H1006" s="199"/>
      <c r="I1006" s="196"/>
      <c r="J1006" s="198"/>
      <c r="K1006" s="196"/>
      <c r="L1006" s="196"/>
      <c r="M1006" s="197"/>
      <c r="N1006" s="192"/>
      <c r="O1006" s="196"/>
      <c r="P1006" s="196"/>
      <c r="Q1006" s="200"/>
    </row>
    <row r="1007" spans="1:17">
      <c r="A1007" s="196"/>
      <c r="B1007" s="196"/>
      <c r="C1007" s="196"/>
      <c r="D1007" s="19"/>
      <c r="E1007" s="198"/>
      <c r="F1007" s="196"/>
      <c r="G1007" s="196"/>
      <c r="H1007" s="199"/>
      <c r="I1007" s="196"/>
      <c r="J1007" s="198"/>
      <c r="K1007" s="196"/>
      <c r="L1007" s="196"/>
      <c r="M1007" s="197"/>
      <c r="N1007" s="192"/>
      <c r="O1007" s="196"/>
      <c r="P1007" s="196"/>
      <c r="Q1007" s="200"/>
    </row>
    <row r="1008" spans="1:17">
      <c r="A1008" s="196"/>
      <c r="B1008" s="196"/>
      <c r="C1008" s="196"/>
      <c r="D1008" s="19"/>
      <c r="E1008" s="198"/>
      <c r="F1008" s="196"/>
      <c r="G1008" s="196"/>
      <c r="H1008" s="199"/>
      <c r="I1008" s="196"/>
      <c r="J1008" s="198"/>
      <c r="K1008" s="196"/>
      <c r="L1008" s="196"/>
      <c r="M1008" s="197"/>
      <c r="N1008" s="192"/>
      <c r="O1008" s="196"/>
      <c r="P1008" s="196"/>
      <c r="Q1008" s="200"/>
    </row>
    <row r="1009" spans="1:17">
      <c r="A1009" s="196"/>
      <c r="B1009" s="196"/>
      <c r="C1009" s="196"/>
      <c r="D1009" s="19"/>
      <c r="E1009" s="198"/>
      <c r="F1009" s="196"/>
      <c r="G1009" s="196"/>
      <c r="H1009" s="199"/>
      <c r="I1009" s="196"/>
      <c r="J1009" s="198"/>
      <c r="K1009" s="196"/>
      <c r="L1009" s="196"/>
      <c r="M1009" s="197"/>
      <c r="N1009" s="192"/>
      <c r="O1009" s="196"/>
      <c r="P1009" s="196"/>
      <c r="Q1009" s="200"/>
    </row>
    <row r="1010" spans="1:17">
      <c r="A1010" s="196"/>
      <c r="B1010" s="196"/>
      <c r="C1010" s="196"/>
      <c r="D1010" s="19"/>
      <c r="E1010" s="198"/>
      <c r="F1010" s="196"/>
      <c r="G1010" s="196"/>
      <c r="H1010" s="199"/>
      <c r="I1010" s="196"/>
      <c r="J1010" s="198"/>
      <c r="K1010" s="196"/>
      <c r="L1010" s="196"/>
      <c r="M1010" s="197"/>
      <c r="N1010" s="192"/>
      <c r="O1010" s="196"/>
      <c r="P1010" s="196"/>
      <c r="Q1010" s="200"/>
    </row>
    <row r="1011" spans="1:17">
      <c r="A1011" s="196"/>
      <c r="B1011" s="196"/>
      <c r="C1011" s="196"/>
      <c r="D1011" s="19"/>
      <c r="E1011" s="198"/>
      <c r="F1011" s="196"/>
      <c r="G1011" s="196"/>
      <c r="H1011" s="199"/>
      <c r="I1011" s="196"/>
      <c r="J1011" s="198"/>
      <c r="K1011" s="196"/>
      <c r="L1011" s="196"/>
      <c r="M1011" s="197"/>
      <c r="N1011" s="192"/>
      <c r="O1011" s="196"/>
      <c r="P1011" s="196"/>
      <c r="Q1011" s="200"/>
    </row>
    <row r="1012" spans="1:17">
      <c r="A1012" s="196"/>
      <c r="B1012" s="196"/>
      <c r="C1012" s="196"/>
      <c r="D1012" s="19"/>
      <c r="E1012" s="198"/>
      <c r="F1012" s="196"/>
      <c r="G1012" s="196"/>
      <c r="H1012" s="199"/>
      <c r="I1012" s="196"/>
      <c r="J1012" s="198"/>
      <c r="K1012" s="196"/>
      <c r="L1012" s="196"/>
      <c r="M1012" s="197"/>
      <c r="N1012" s="192"/>
      <c r="O1012" s="196"/>
      <c r="P1012" s="196"/>
      <c r="Q1012" s="200"/>
    </row>
    <row r="1013" spans="1:17">
      <c r="A1013" s="196"/>
      <c r="B1013" s="196"/>
      <c r="C1013" s="196"/>
      <c r="D1013" s="19"/>
      <c r="E1013" s="198"/>
      <c r="F1013" s="196"/>
      <c r="G1013" s="196"/>
      <c r="H1013" s="199"/>
      <c r="I1013" s="196"/>
      <c r="J1013" s="198"/>
      <c r="K1013" s="196"/>
      <c r="L1013" s="196"/>
      <c r="M1013" s="197"/>
      <c r="N1013" s="192"/>
      <c r="O1013" s="196"/>
      <c r="P1013" s="196"/>
      <c r="Q1013" s="200"/>
    </row>
    <row r="1014" spans="1:17">
      <c r="A1014" s="196"/>
      <c r="B1014" s="196"/>
      <c r="C1014" s="196"/>
      <c r="D1014" s="19"/>
      <c r="E1014" s="198"/>
      <c r="F1014" s="196"/>
      <c r="G1014" s="196"/>
      <c r="H1014" s="199"/>
      <c r="I1014" s="196"/>
      <c r="J1014" s="198"/>
      <c r="K1014" s="196"/>
      <c r="L1014" s="196"/>
      <c r="M1014" s="197"/>
      <c r="N1014" s="192"/>
      <c r="O1014" s="196"/>
      <c r="P1014" s="196"/>
      <c r="Q1014" s="200"/>
    </row>
    <row r="1015" spans="1:17">
      <c r="A1015" s="196"/>
      <c r="B1015" s="196"/>
      <c r="C1015" s="196"/>
      <c r="D1015" s="19"/>
      <c r="E1015" s="198"/>
      <c r="F1015" s="196"/>
      <c r="G1015" s="196"/>
      <c r="H1015" s="199"/>
      <c r="I1015" s="196"/>
      <c r="J1015" s="198"/>
      <c r="K1015" s="196"/>
      <c r="L1015" s="196"/>
      <c r="M1015" s="197"/>
      <c r="N1015" s="192"/>
      <c r="O1015" s="196"/>
      <c r="P1015" s="196"/>
      <c r="Q1015" s="200"/>
    </row>
    <row r="1016" spans="1:17">
      <c r="A1016" s="196"/>
      <c r="B1016" s="196"/>
      <c r="C1016" s="196"/>
      <c r="D1016" s="19"/>
      <c r="E1016" s="198"/>
      <c r="F1016" s="196"/>
      <c r="G1016" s="196"/>
      <c r="H1016" s="199"/>
      <c r="I1016" s="196"/>
      <c r="J1016" s="198"/>
      <c r="K1016" s="196"/>
      <c r="L1016" s="196"/>
      <c r="M1016" s="197"/>
      <c r="N1016" s="192"/>
      <c r="O1016" s="196"/>
      <c r="P1016" s="196"/>
      <c r="Q1016" s="200"/>
    </row>
    <row r="1017" spans="1:17">
      <c r="A1017" s="196"/>
      <c r="B1017" s="196"/>
      <c r="C1017" s="196"/>
      <c r="D1017" s="19"/>
      <c r="E1017" s="198"/>
      <c r="F1017" s="196"/>
      <c r="G1017" s="196"/>
      <c r="H1017" s="199"/>
      <c r="I1017" s="196"/>
      <c r="J1017" s="198"/>
      <c r="K1017" s="196"/>
      <c r="L1017" s="196"/>
      <c r="M1017" s="197"/>
      <c r="N1017" s="192"/>
      <c r="O1017" s="196"/>
      <c r="P1017" s="196"/>
      <c r="Q1017" s="200"/>
    </row>
    <row r="1018" spans="1:17">
      <c r="A1018" s="196"/>
      <c r="B1018" s="196"/>
      <c r="C1018" s="196"/>
      <c r="D1018" s="19"/>
      <c r="E1018" s="198"/>
      <c r="F1018" s="196"/>
      <c r="G1018" s="196"/>
      <c r="H1018" s="199"/>
      <c r="I1018" s="196"/>
      <c r="J1018" s="198"/>
      <c r="K1018" s="196"/>
      <c r="L1018" s="196"/>
      <c r="M1018" s="197"/>
      <c r="N1018" s="192"/>
      <c r="O1018" s="196"/>
      <c r="P1018" s="196"/>
      <c r="Q1018" s="200"/>
    </row>
    <row r="1019" spans="1:17">
      <c r="A1019" s="196"/>
      <c r="B1019" s="196"/>
      <c r="C1019" s="196"/>
      <c r="D1019" s="19"/>
      <c r="E1019" s="198"/>
      <c r="F1019" s="196"/>
      <c r="G1019" s="196"/>
      <c r="H1019" s="199"/>
      <c r="I1019" s="196"/>
      <c r="J1019" s="198"/>
      <c r="K1019" s="196"/>
      <c r="L1019" s="196"/>
      <c r="M1019" s="197"/>
      <c r="N1019" s="192"/>
      <c r="O1019" s="196"/>
      <c r="P1019" s="196"/>
      <c r="Q1019" s="200"/>
    </row>
    <row r="1020" spans="1:17">
      <c r="A1020" s="196"/>
      <c r="B1020" s="196"/>
      <c r="C1020" s="196"/>
      <c r="D1020" s="19"/>
      <c r="E1020" s="198"/>
      <c r="F1020" s="196"/>
      <c r="G1020" s="196"/>
      <c r="H1020" s="199"/>
      <c r="I1020" s="196"/>
      <c r="J1020" s="198"/>
      <c r="K1020" s="196"/>
      <c r="L1020" s="196"/>
      <c r="M1020" s="197"/>
      <c r="N1020" s="192"/>
      <c r="O1020" s="196"/>
      <c r="P1020" s="196"/>
      <c r="Q1020" s="200"/>
    </row>
    <row r="1021" spans="1:17">
      <c r="A1021" s="196"/>
      <c r="B1021" s="196"/>
      <c r="C1021" s="196"/>
      <c r="D1021" s="19"/>
      <c r="E1021" s="198"/>
      <c r="F1021" s="196"/>
      <c r="G1021" s="196"/>
      <c r="H1021" s="199"/>
      <c r="I1021" s="196"/>
      <c r="J1021" s="198"/>
      <c r="K1021" s="196"/>
      <c r="L1021" s="196"/>
      <c r="M1021" s="197"/>
      <c r="N1021" s="192"/>
      <c r="O1021" s="196"/>
      <c r="P1021" s="196"/>
      <c r="Q1021" s="200"/>
    </row>
    <row r="1022" spans="1:17">
      <c r="A1022" s="196"/>
      <c r="B1022" s="196"/>
      <c r="C1022" s="196"/>
      <c r="D1022" s="19"/>
      <c r="E1022" s="198"/>
      <c r="F1022" s="196"/>
      <c r="G1022" s="196"/>
      <c r="H1022" s="199"/>
      <c r="I1022" s="196"/>
      <c r="J1022" s="198"/>
      <c r="K1022" s="196"/>
      <c r="L1022" s="196"/>
      <c r="M1022" s="197"/>
      <c r="N1022" s="192"/>
      <c r="O1022" s="196"/>
      <c r="P1022" s="196"/>
      <c r="Q1022" s="200"/>
    </row>
    <row r="1023" spans="1:17">
      <c r="A1023" s="196"/>
      <c r="B1023" s="196"/>
      <c r="C1023" s="196"/>
      <c r="D1023" s="19"/>
      <c r="E1023" s="198"/>
      <c r="F1023" s="196"/>
      <c r="G1023" s="196"/>
      <c r="H1023" s="199"/>
      <c r="I1023" s="196"/>
      <c r="J1023" s="198"/>
      <c r="K1023" s="196"/>
      <c r="L1023" s="196"/>
      <c r="M1023" s="197"/>
      <c r="N1023" s="192"/>
      <c r="O1023" s="196"/>
      <c r="P1023" s="196"/>
      <c r="Q1023" s="200"/>
    </row>
    <row r="1024" spans="1:17">
      <c r="A1024" s="196"/>
      <c r="B1024" s="196"/>
      <c r="C1024" s="196"/>
      <c r="D1024" s="19"/>
      <c r="E1024" s="198"/>
      <c r="F1024" s="196"/>
      <c r="G1024" s="196"/>
      <c r="H1024" s="199"/>
      <c r="I1024" s="196"/>
      <c r="J1024" s="198"/>
      <c r="K1024" s="196"/>
      <c r="L1024" s="196"/>
      <c r="M1024" s="197"/>
      <c r="N1024" s="192"/>
      <c r="O1024" s="196"/>
      <c r="P1024" s="196"/>
      <c r="Q1024" s="200"/>
    </row>
    <row r="1025" spans="1:17">
      <c r="A1025" s="196"/>
      <c r="B1025" s="196"/>
      <c r="C1025" s="196"/>
      <c r="D1025" s="19"/>
      <c r="E1025" s="198"/>
      <c r="F1025" s="196"/>
      <c r="G1025" s="196"/>
      <c r="H1025" s="199"/>
      <c r="I1025" s="196"/>
      <c r="J1025" s="198"/>
      <c r="K1025" s="196"/>
      <c r="L1025" s="196"/>
      <c r="M1025" s="197"/>
      <c r="N1025" s="192"/>
      <c r="O1025" s="196"/>
      <c r="P1025" s="196"/>
      <c r="Q1025" s="200"/>
    </row>
    <row r="1026" spans="1:17">
      <c r="A1026" s="196"/>
      <c r="B1026" s="196"/>
      <c r="C1026" s="196"/>
      <c r="D1026" s="19"/>
      <c r="E1026" s="198"/>
      <c r="F1026" s="196"/>
      <c r="G1026" s="196"/>
      <c r="H1026" s="199"/>
      <c r="I1026" s="196"/>
      <c r="J1026" s="198"/>
      <c r="K1026" s="196"/>
      <c r="L1026" s="196"/>
      <c r="M1026" s="197"/>
      <c r="N1026" s="192"/>
      <c r="O1026" s="196"/>
      <c r="P1026" s="196"/>
      <c r="Q1026" s="200"/>
    </row>
    <row r="1027" spans="1:17">
      <c r="A1027" s="196"/>
      <c r="B1027" s="196"/>
      <c r="C1027" s="196"/>
      <c r="D1027" s="19"/>
      <c r="E1027" s="198"/>
      <c r="F1027" s="196"/>
      <c r="G1027" s="196"/>
      <c r="H1027" s="199"/>
      <c r="I1027" s="196"/>
      <c r="J1027" s="198"/>
      <c r="K1027" s="196"/>
      <c r="L1027" s="196"/>
      <c r="M1027" s="197"/>
      <c r="N1027" s="192"/>
      <c r="O1027" s="196"/>
      <c r="P1027" s="196"/>
      <c r="Q1027" s="200"/>
    </row>
    <row r="1028" spans="1:17">
      <c r="A1028" s="196"/>
      <c r="B1028" s="196"/>
      <c r="C1028" s="196"/>
      <c r="D1028" s="19"/>
      <c r="E1028" s="198"/>
      <c r="F1028" s="196"/>
      <c r="G1028" s="196"/>
      <c r="H1028" s="199"/>
      <c r="I1028" s="196"/>
      <c r="J1028" s="198"/>
      <c r="K1028" s="196"/>
      <c r="L1028" s="196"/>
      <c r="M1028" s="197"/>
      <c r="N1028" s="192"/>
      <c r="O1028" s="196"/>
      <c r="P1028" s="196"/>
      <c r="Q1028" s="200"/>
    </row>
    <row r="1029" spans="1:17">
      <c r="A1029" s="196"/>
      <c r="B1029" s="196"/>
      <c r="C1029" s="196"/>
      <c r="D1029" s="19"/>
      <c r="E1029" s="198"/>
      <c r="F1029" s="196"/>
      <c r="G1029" s="196"/>
      <c r="H1029" s="199"/>
      <c r="I1029" s="196"/>
      <c r="J1029" s="198"/>
      <c r="K1029" s="196"/>
      <c r="L1029" s="196"/>
      <c r="M1029" s="197"/>
      <c r="N1029" s="192"/>
      <c r="O1029" s="196"/>
      <c r="P1029" s="196"/>
      <c r="Q1029" s="200"/>
    </row>
    <row r="1030" spans="1:17">
      <c r="A1030" s="196"/>
      <c r="B1030" s="196"/>
      <c r="C1030" s="196"/>
      <c r="D1030" s="19"/>
      <c r="E1030" s="198"/>
      <c r="F1030" s="196"/>
      <c r="G1030" s="196"/>
      <c r="H1030" s="199"/>
      <c r="I1030" s="196"/>
      <c r="J1030" s="198"/>
      <c r="K1030" s="196"/>
      <c r="L1030" s="196"/>
      <c r="M1030" s="197"/>
      <c r="N1030" s="192"/>
      <c r="O1030" s="196"/>
      <c r="P1030" s="196"/>
      <c r="Q1030" s="200"/>
    </row>
    <row r="1031" spans="1:17">
      <c r="A1031" s="196"/>
      <c r="B1031" s="196"/>
      <c r="C1031" s="196"/>
      <c r="D1031" s="19"/>
      <c r="E1031" s="198"/>
      <c r="F1031" s="196"/>
      <c r="G1031" s="196"/>
      <c r="H1031" s="199"/>
      <c r="I1031" s="196"/>
      <c r="J1031" s="198"/>
      <c r="K1031" s="196"/>
      <c r="L1031" s="196"/>
      <c r="M1031" s="197"/>
      <c r="N1031" s="192"/>
      <c r="O1031" s="196"/>
      <c r="P1031" s="196"/>
      <c r="Q1031" s="200"/>
    </row>
    <row r="1032" spans="1:17">
      <c r="A1032" s="196"/>
      <c r="B1032" s="196"/>
      <c r="C1032" s="196"/>
      <c r="D1032" s="19"/>
      <c r="E1032" s="198"/>
      <c r="F1032" s="196"/>
      <c r="G1032" s="196"/>
      <c r="H1032" s="199"/>
      <c r="I1032" s="196"/>
      <c r="J1032" s="198"/>
      <c r="K1032" s="196"/>
      <c r="L1032" s="196"/>
      <c r="M1032" s="197"/>
      <c r="N1032" s="192"/>
      <c r="O1032" s="196"/>
      <c r="P1032" s="196"/>
      <c r="Q1032" s="200"/>
    </row>
    <row r="1033" spans="1:17">
      <c r="A1033" s="196"/>
      <c r="B1033" s="196"/>
      <c r="C1033" s="196"/>
      <c r="D1033" s="19"/>
      <c r="E1033" s="198"/>
      <c r="F1033" s="196"/>
      <c r="G1033" s="196"/>
      <c r="H1033" s="199"/>
      <c r="I1033" s="196"/>
      <c r="J1033" s="198"/>
      <c r="K1033" s="196"/>
      <c r="L1033" s="196"/>
      <c r="M1033" s="197"/>
      <c r="N1033" s="192"/>
      <c r="O1033" s="196"/>
      <c r="P1033" s="196"/>
      <c r="Q1033" s="200"/>
    </row>
    <row r="1034" spans="1:17">
      <c r="A1034" s="196"/>
      <c r="B1034" s="196"/>
      <c r="C1034" s="196"/>
      <c r="D1034" s="19"/>
      <c r="E1034" s="198"/>
      <c r="F1034" s="196"/>
      <c r="G1034" s="196"/>
      <c r="H1034" s="199"/>
      <c r="I1034" s="196"/>
      <c r="J1034" s="198"/>
      <c r="K1034" s="196"/>
      <c r="L1034" s="196"/>
      <c r="M1034" s="197"/>
      <c r="N1034" s="192"/>
      <c r="O1034" s="196"/>
      <c r="P1034" s="196"/>
      <c r="Q1034" s="200"/>
    </row>
    <row r="1035" spans="1:17">
      <c r="A1035" s="196"/>
      <c r="B1035" s="196"/>
      <c r="C1035" s="196"/>
      <c r="D1035" s="19"/>
      <c r="E1035" s="198"/>
      <c r="F1035" s="196"/>
      <c r="G1035" s="196"/>
      <c r="H1035" s="199"/>
      <c r="I1035" s="196"/>
      <c r="J1035" s="198"/>
      <c r="K1035" s="196"/>
      <c r="L1035" s="196"/>
      <c r="M1035" s="197"/>
      <c r="N1035" s="192"/>
      <c r="O1035" s="196"/>
      <c r="P1035" s="196"/>
      <c r="Q1035" s="200"/>
    </row>
    <row r="1036" spans="1:17">
      <c r="A1036" s="196"/>
      <c r="B1036" s="196"/>
      <c r="C1036" s="196"/>
      <c r="D1036" s="19"/>
      <c r="E1036" s="198"/>
      <c r="F1036" s="196"/>
      <c r="G1036" s="196"/>
      <c r="H1036" s="199"/>
      <c r="I1036" s="196"/>
      <c r="J1036" s="198"/>
      <c r="K1036" s="196"/>
      <c r="L1036" s="196"/>
      <c r="M1036" s="197"/>
      <c r="N1036" s="192"/>
      <c r="O1036" s="196"/>
      <c r="P1036" s="196"/>
      <c r="Q1036" s="200"/>
    </row>
    <row r="1037" spans="1:17">
      <c r="A1037" s="196"/>
      <c r="B1037" s="196"/>
      <c r="C1037" s="196"/>
      <c r="D1037" s="19"/>
      <c r="E1037" s="198"/>
      <c r="F1037" s="196"/>
      <c r="G1037" s="196"/>
      <c r="H1037" s="199"/>
      <c r="I1037" s="196"/>
      <c r="J1037" s="198"/>
      <c r="K1037" s="196"/>
      <c r="L1037" s="196"/>
      <c r="M1037" s="197"/>
      <c r="N1037" s="192"/>
      <c r="O1037" s="196"/>
      <c r="P1037" s="196"/>
      <c r="Q1037" s="200"/>
    </row>
    <row r="1038" spans="1:17">
      <c r="A1038" s="196"/>
      <c r="B1038" s="196"/>
      <c r="C1038" s="196"/>
      <c r="D1038" s="19"/>
      <c r="E1038" s="198"/>
      <c r="F1038" s="196"/>
      <c r="G1038" s="196"/>
      <c r="H1038" s="199"/>
      <c r="I1038" s="196"/>
      <c r="J1038" s="198"/>
      <c r="K1038" s="196"/>
      <c r="L1038" s="196"/>
      <c r="M1038" s="197"/>
      <c r="N1038" s="192"/>
      <c r="O1038" s="196"/>
      <c r="P1038" s="196"/>
      <c r="Q1038" s="200"/>
    </row>
    <row r="1039" spans="1:17">
      <c r="A1039" s="196"/>
      <c r="B1039" s="196"/>
      <c r="C1039" s="196"/>
      <c r="D1039" s="19"/>
      <c r="E1039" s="198"/>
      <c r="F1039" s="196"/>
      <c r="G1039" s="196"/>
      <c r="H1039" s="199"/>
      <c r="I1039" s="196"/>
      <c r="J1039" s="198"/>
      <c r="K1039" s="196"/>
      <c r="L1039" s="196"/>
      <c r="M1039" s="197"/>
      <c r="N1039" s="192"/>
      <c r="O1039" s="196"/>
      <c r="P1039" s="196"/>
      <c r="Q1039" s="200"/>
    </row>
    <row r="1040" spans="1:17">
      <c r="A1040" s="196"/>
      <c r="B1040" s="196"/>
      <c r="C1040" s="196"/>
      <c r="D1040" s="19"/>
      <c r="E1040" s="198"/>
      <c r="F1040" s="196"/>
      <c r="G1040" s="196"/>
      <c r="H1040" s="199"/>
      <c r="I1040" s="196"/>
      <c r="J1040" s="198"/>
      <c r="K1040" s="196"/>
      <c r="L1040" s="196"/>
      <c r="M1040" s="197"/>
      <c r="N1040" s="192"/>
      <c r="O1040" s="196"/>
      <c r="P1040" s="196"/>
      <c r="Q1040" s="200"/>
    </row>
    <row r="1041" spans="1:17">
      <c r="A1041" s="196"/>
      <c r="B1041" s="196"/>
      <c r="C1041" s="196"/>
      <c r="D1041" s="19"/>
      <c r="E1041" s="198"/>
      <c r="F1041" s="196"/>
      <c r="G1041" s="196"/>
      <c r="H1041" s="199"/>
      <c r="I1041" s="196"/>
      <c r="J1041" s="198"/>
      <c r="K1041" s="196"/>
      <c r="L1041" s="196"/>
      <c r="M1041" s="197"/>
      <c r="N1041" s="192"/>
      <c r="O1041" s="196"/>
      <c r="P1041" s="196"/>
      <c r="Q1041" s="200"/>
    </row>
    <row r="1042" spans="1:17">
      <c r="A1042" s="196"/>
      <c r="B1042" s="196"/>
      <c r="C1042" s="196"/>
      <c r="D1042" s="19"/>
      <c r="E1042" s="198"/>
      <c r="F1042" s="196"/>
      <c r="G1042" s="196"/>
      <c r="H1042" s="199"/>
      <c r="I1042" s="196"/>
      <c r="J1042" s="198"/>
      <c r="K1042" s="196"/>
      <c r="L1042" s="196"/>
      <c r="M1042" s="197"/>
      <c r="N1042" s="192"/>
      <c r="O1042" s="196"/>
      <c r="P1042" s="196"/>
      <c r="Q1042" s="200"/>
    </row>
    <row r="1043" spans="1:17">
      <c r="A1043" s="196"/>
      <c r="B1043" s="196"/>
      <c r="C1043" s="196"/>
      <c r="D1043" s="19"/>
      <c r="E1043" s="198"/>
      <c r="F1043" s="196"/>
      <c r="G1043" s="196"/>
      <c r="H1043" s="199"/>
      <c r="I1043" s="196"/>
      <c r="J1043" s="198"/>
      <c r="K1043" s="196"/>
      <c r="L1043" s="196"/>
      <c r="M1043" s="197"/>
      <c r="N1043" s="192"/>
      <c r="O1043" s="196"/>
      <c r="P1043" s="196"/>
      <c r="Q1043" s="200"/>
    </row>
    <row r="1044" spans="1:17">
      <c r="A1044" s="196"/>
      <c r="B1044" s="196"/>
      <c r="C1044" s="196"/>
      <c r="D1044" s="19"/>
      <c r="E1044" s="198"/>
      <c r="F1044" s="196"/>
      <c r="G1044" s="196"/>
      <c r="H1044" s="199"/>
      <c r="I1044" s="196"/>
      <c r="J1044" s="198"/>
      <c r="K1044" s="196"/>
      <c r="L1044" s="196"/>
      <c r="M1044" s="197"/>
      <c r="N1044" s="192"/>
      <c r="O1044" s="196"/>
      <c r="P1044" s="196"/>
      <c r="Q1044" s="200"/>
    </row>
    <row r="1045" spans="1:17">
      <c r="A1045" s="196"/>
      <c r="B1045" s="196"/>
      <c r="C1045" s="196"/>
      <c r="D1045" s="19"/>
      <c r="E1045" s="198"/>
      <c r="F1045" s="196"/>
      <c r="G1045" s="196"/>
      <c r="H1045" s="199"/>
      <c r="I1045" s="196"/>
      <c r="J1045" s="198"/>
      <c r="K1045" s="196"/>
      <c r="L1045" s="196"/>
      <c r="M1045" s="197"/>
      <c r="N1045" s="192"/>
      <c r="O1045" s="196"/>
      <c r="P1045" s="196"/>
      <c r="Q1045" s="200"/>
    </row>
    <row r="1046" spans="1:17">
      <c r="A1046" s="196"/>
      <c r="B1046" s="196"/>
      <c r="C1046" s="196"/>
      <c r="D1046" s="19"/>
      <c r="E1046" s="198"/>
      <c r="F1046" s="196"/>
      <c r="G1046" s="196"/>
      <c r="H1046" s="199"/>
      <c r="I1046" s="196"/>
      <c r="J1046" s="198"/>
      <c r="K1046" s="196"/>
      <c r="L1046" s="196"/>
      <c r="M1046" s="197"/>
      <c r="N1046" s="192"/>
      <c r="O1046" s="196"/>
      <c r="P1046" s="196"/>
      <c r="Q1046" s="200"/>
    </row>
    <row r="1047" spans="1:17">
      <c r="A1047" s="196"/>
      <c r="B1047" s="196"/>
      <c r="C1047" s="196"/>
      <c r="D1047" s="19"/>
      <c r="E1047" s="198"/>
      <c r="F1047" s="196"/>
      <c r="G1047" s="196"/>
      <c r="H1047" s="199"/>
      <c r="I1047" s="196"/>
      <c r="J1047" s="198"/>
      <c r="K1047" s="196"/>
      <c r="L1047" s="196"/>
      <c r="M1047" s="197"/>
      <c r="N1047" s="192"/>
      <c r="O1047" s="196"/>
      <c r="P1047" s="196"/>
      <c r="Q1047" s="200"/>
    </row>
    <row r="1048" spans="1:17">
      <c r="A1048" s="196"/>
      <c r="B1048" s="196"/>
      <c r="C1048" s="196"/>
      <c r="D1048" s="19"/>
      <c r="E1048" s="198"/>
      <c r="F1048" s="196"/>
      <c r="G1048" s="196"/>
      <c r="H1048" s="199"/>
      <c r="I1048" s="196"/>
      <c r="J1048" s="198"/>
      <c r="K1048" s="196"/>
      <c r="L1048" s="196"/>
      <c r="M1048" s="197"/>
      <c r="N1048" s="192"/>
      <c r="O1048" s="196"/>
      <c r="P1048" s="196"/>
      <c r="Q1048" s="200"/>
    </row>
    <row r="1049" spans="1:17">
      <c r="A1049" s="196"/>
      <c r="B1049" s="196"/>
      <c r="C1049" s="196"/>
      <c r="D1049" s="19"/>
      <c r="E1049" s="198"/>
      <c r="F1049" s="196"/>
      <c r="G1049" s="196"/>
      <c r="H1049" s="199"/>
      <c r="I1049" s="196"/>
      <c r="J1049" s="198"/>
      <c r="K1049" s="196"/>
      <c r="L1049" s="196"/>
      <c r="M1049" s="197"/>
      <c r="N1049" s="192"/>
      <c r="O1049" s="196"/>
      <c r="P1049" s="196"/>
      <c r="Q1049" s="200"/>
    </row>
    <row r="1050" spans="1:17">
      <c r="A1050" s="196"/>
      <c r="B1050" s="196"/>
      <c r="C1050" s="196"/>
      <c r="D1050" s="19"/>
      <c r="E1050" s="198"/>
      <c r="F1050" s="196"/>
      <c r="G1050" s="196"/>
      <c r="H1050" s="199"/>
      <c r="I1050" s="196"/>
      <c r="J1050" s="198"/>
      <c r="K1050" s="196"/>
      <c r="L1050" s="196"/>
      <c r="M1050" s="197"/>
      <c r="N1050" s="192"/>
      <c r="O1050" s="196"/>
      <c r="P1050" s="196"/>
      <c r="Q1050" s="200"/>
    </row>
    <row r="1051" spans="1:17">
      <c r="A1051" s="196"/>
      <c r="B1051" s="196"/>
      <c r="C1051" s="196"/>
      <c r="D1051" s="19"/>
      <c r="E1051" s="198"/>
      <c r="F1051" s="196"/>
      <c r="G1051" s="196"/>
      <c r="H1051" s="199"/>
      <c r="I1051" s="196"/>
      <c r="J1051" s="198"/>
      <c r="K1051" s="196"/>
      <c r="L1051" s="196"/>
      <c r="M1051" s="197"/>
      <c r="N1051" s="192"/>
      <c r="O1051" s="196"/>
      <c r="P1051" s="196"/>
      <c r="Q1051" s="200"/>
    </row>
    <row r="1052" spans="1:17">
      <c r="A1052" s="196"/>
      <c r="B1052" s="196"/>
      <c r="C1052" s="196"/>
      <c r="D1052" s="19"/>
      <c r="E1052" s="198"/>
      <c r="F1052" s="196"/>
      <c r="G1052" s="196"/>
      <c r="H1052" s="199"/>
      <c r="I1052" s="196"/>
      <c r="J1052" s="198"/>
      <c r="K1052" s="196"/>
      <c r="L1052" s="196"/>
      <c r="M1052" s="197"/>
      <c r="N1052" s="192"/>
      <c r="O1052" s="196"/>
      <c r="P1052" s="196"/>
      <c r="Q1052" s="200"/>
    </row>
    <row r="1053" spans="1:17">
      <c r="A1053" s="196"/>
      <c r="B1053" s="196"/>
      <c r="C1053" s="196"/>
      <c r="D1053" s="19"/>
      <c r="E1053" s="198"/>
      <c r="F1053" s="196"/>
      <c r="G1053" s="196"/>
      <c r="H1053" s="199"/>
      <c r="I1053" s="196"/>
      <c r="J1053" s="198"/>
      <c r="K1053" s="196"/>
      <c r="L1053" s="196"/>
      <c r="M1053" s="197"/>
      <c r="N1053" s="192"/>
      <c r="O1053" s="196"/>
      <c r="P1053" s="196"/>
      <c r="Q1053" s="200"/>
    </row>
    <row r="1054" spans="1:17">
      <c r="A1054" s="196"/>
      <c r="B1054" s="196"/>
      <c r="C1054" s="196"/>
      <c r="D1054" s="19"/>
      <c r="E1054" s="198"/>
      <c r="F1054" s="196"/>
      <c r="G1054" s="196"/>
      <c r="H1054" s="199"/>
      <c r="I1054" s="196"/>
      <c r="J1054" s="198"/>
      <c r="K1054" s="196"/>
      <c r="L1054" s="196"/>
      <c r="M1054" s="197"/>
      <c r="N1054" s="192"/>
      <c r="O1054" s="196"/>
      <c r="P1054" s="196"/>
      <c r="Q1054" s="200"/>
    </row>
    <row r="1055" spans="1:17">
      <c r="A1055" s="196"/>
      <c r="B1055" s="196"/>
      <c r="C1055" s="196"/>
      <c r="D1055" s="19"/>
      <c r="E1055" s="198"/>
      <c r="F1055" s="196"/>
      <c r="G1055" s="196"/>
      <c r="H1055" s="199"/>
      <c r="I1055" s="196"/>
      <c r="J1055" s="198"/>
      <c r="K1055" s="196"/>
      <c r="L1055" s="196"/>
      <c r="M1055" s="197"/>
      <c r="N1055" s="192"/>
      <c r="O1055" s="196"/>
      <c r="P1055" s="196"/>
      <c r="Q1055" s="200"/>
    </row>
    <row r="1056" spans="1:17">
      <c r="A1056" s="196"/>
      <c r="B1056" s="196"/>
      <c r="C1056" s="196"/>
      <c r="D1056" s="19"/>
      <c r="E1056" s="198"/>
      <c r="F1056" s="196"/>
      <c r="G1056" s="196"/>
      <c r="H1056" s="199"/>
      <c r="I1056" s="196"/>
      <c r="J1056" s="198"/>
      <c r="K1056" s="196"/>
      <c r="L1056" s="196"/>
      <c r="M1056" s="197"/>
      <c r="N1056" s="192"/>
      <c r="O1056" s="196"/>
      <c r="P1056" s="196"/>
      <c r="Q1056" s="200"/>
    </row>
    <row r="1057" spans="1:17">
      <c r="A1057" s="196"/>
      <c r="B1057" s="196"/>
      <c r="C1057" s="196"/>
      <c r="D1057" s="19"/>
      <c r="E1057" s="198"/>
      <c r="F1057" s="196"/>
      <c r="G1057" s="196"/>
      <c r="H1057" s="199"/>
      <c r="I1057" s="196"/>
      <c r="J1057" s="198"/>
      <c r="K1057" s="196"/>
      <c r="L1057" s="196"/>
      <c r="M1057" s="197"/>
      <c r="N1057" s="192"/>
      <c r="O1057" s="196"/>
      <c r="P1057" s="196"/>
      <c r="Q1057" s="200"/>
    </row>
    <row r="1058" spans="1:17">
      <c r="A1058" s="196"/>
      <c r="B1058" s="196"/>
      <c r="C1058" s="196"/>
      <c r="D1058" s="19"/>
      <c r="E1058" s="198"/>
      <c r="F1058" s="196"/>
      <c r="G1058" s="196"/>
      <c r="H1058" s="199"/>
      <c r="I1058" s="196"/>
      <c r="J1058" s="198"/>
      <c r="K1058" s="196"/>
      <c r="L1058" s="196"/>
      <c r="M1058" s="197"/>
      <c r="N1058" s="192"/>
      <c r="O1058" s="196"/>
      <c r="P1058" s="196"/>
      <c r="Q1058" s="200"/>
    </row>
    <row r="1059" spans="1:17">
      <c r="A1059" s="196"/>
      <c r="B1059" s="196"/>
      <c r="C1059" s="196"/>
      <c r="D1059" s="19"/>
      <c r="E1059" s="198"/>
      <c r="F1059" s="196"/>
      <c r="G1059" s="196"/>
      <c r="H1059" s="199"/>
      <c r="I1059" s="196"/>
      <c r="J1059" s="198"/>
      <c r="K1059" s="196"/>
      <c r="L1059" s="196"/>
      <c r="M1059" s="197"/>
      <c r="N1059" s="192"/>
      <c r="O1059" s="196"/>
      <c r="P1059" s="196"/>
      <c r="Q1059" s="200"/>
    </row>
    <row r="1060" spans="1:17">
      <c r="A1060" s="196"/>
      <c r="B1060" s="196"/>
      <c r="C1060" s="196"/>
      <c r="D1060" s="19"/>
      <c r="E1060" s="198"/>
      <c r="F1060" s="196"/>
      <c r="G1060" s="196"/>
      <c r="H1060" s="199"/>
      <c r="I1060" s="196"/>
      <c r="J1060" s="198"/>
      <c r="K1060" s="196"/>
      <c r="L1060" s="196"/>
      <c r="M1060" s="197"/>
      <c r="N1060" s="192"/>
      <c r="O1060" s="196"/>
      <c r="P1060" s="196"/>
      <c r="Q1060" s="200"/>
    </row>
    <row r="1061" spans="1:17">
      <c r="A1061" s="196"/>
      <c r="B1061" s="196"/>
      <c r="C1061" s="196"/>
      <c r="D1061" s="19"/>
      <c r="E1061" s="198"/>
      <c r="F1061" s="196"/>
      <c r="G1061" s="196"/>
      <c r="H1061" s="199"/>
      <c r="I1061" s="196"/>
      <c r="J1061" s="198"/>
      <c r="K1061" s="196"/>
      <c r="L1061" s="196"/>
      <c r="M1061" s="197"/>
      <c r="N1061" s="192"/>
      <c r="O1061" s="196"/>
      <c r="P1061" s="196"/>
      <c r="Q1061" s="200"/>
    </row>
    <row r="1062" spans="1:17">
      <c r="A1062" s="196"/>
      <c r="B1062" s="196"/>
      <c r="C1062" s="196"/>
      <c r="D1062" s="19"/>
      <c r="E1062" s="198"/>
      <c r="F1062" s="196"/>
      <c r="G1062" s="196"/>
      <c r="H1062" s="199"/>
      <c r="I1062" s="196"/>
      <c r="J1062" s="198"/>
      <c r="K1062" s="196"/>
      <c r="L1062" s="196"/>
      <c r="M1062" s="197"/>
      <c r="N1062" s="192"/>
      <c r="O1062" s="196"/>
      <c r="P1062" s="196"/>
      <c r="Q1062" s="200"/>
    </row>
    <row r="1063" spans="1:17">
      <c r="A1063" s="196"/>
      <c r="B1063" s="196"/>
      <c r="C1063" s="196"/>
      <c r="D1063" s="19"/>
      <c r="E1063" s="198"/>
      <c r="F1063" s="196"/>
      <c r="G1063" s="196"/>
      <c r="H1063" s="199"/>
      <c r="I1063" s="196"/>
      <c r="J1063" s="198"/>
      <c r="K1063" s="196"/>
      <c r="L1063" s="196"/>
      <c r="M1063" s="197"/>
      <c r="N1063" s="192"/>
      <c r="O1063" s="196"/>
      <c r="P1063" s="196"/>
      <c r="Q1063" s="200"/>
    </row>
    <row r="1064" spans="1:17">
      <c r="A1064" s="196"/>
      <c r="B1064" s="196"/>
      <c r="C1064" s="196"/>
      <c r="D1064" s="19"/>
      <c r="E1064" s="198"/>
      <c r="F1064" s="196"/>
      <c r="G1064" s="196"/>
      <c r="H1064" s="199"/>
      <c r="I1064" s="196"/>
      <c r="J1064" s="198"/>
      <c r="K1064" s="196"/>
      <c r="L1064" s="196"/>
      <c r="M1064" s="197"/>
      <c r="N1064" s="192"/>
      <c r="O1064" s="196"/>
      <c r="P1064" s="196"/>
      <c r="Q1064" s="200"/>
    </row>
    <row r="1065" spans="1:17">
      <c r="A1065" s="196"/>
      <c r="B1065" s="196"/>
      <c r="C1065" s="196"/>
      <c r="D1065" s="19"/>
      <c r="E1065" s="198"/>
      <c r="F1065" s="196"/>
      <c r="G1065" s="196"/>
      <c r="H1065" s="199"/>
      <c r="I1065" s="196"/>
      <c r="J1065" s="198"/>
      <c r="K1065" s="196"/>
      <c r="L1065" s="196"/>
      <c r="M1065" s="197"/>
      <c r="N1065" s="192"/>
      <c r="O1065" s="196"/>
      <c r="P1065" s="196"/>
      <c r="Q1065" s="200"/>
    </row>
    <row r="1066" spans="1:17">
      <c r="A1066" s="196"/>
      <c r="B1066" s="196"/>
      <c r="C1066" s="196"/>
      <c r="D1066" s="19"/>
      <c r="E1066" s="198"/>
      <c r="F1066" s="196"/>
      <c r="G1066" s="196"/>
      <c r="H1066" s="199"/>
      <c r="I1066" s="196"/>
      <c r="J1066" s="198"/>
      <c r="K1066" s="196"/>
      <c r="L1066" s="196"/>
      <c r="M1066" s="197"/>
      <c r="N1066" s="192"/>
      <c r="O1066" s="196"/>
      <c r="P1066" s="196"/>
      <c r="Q1066" s="200"/>
    </row>
    <row r="1067" spans="1:17">
      <c r="A1067" s="196"/>
      <c r="B1067" s="196"/>
      <c r="C1067" s="196"/>
      <c r="D1067" s="19"/>
      <c r="E1067" s="198"/>
      <c r="F1067" s="196"/>
      <c r="G1067" s="196"/>
      <c r="H1067" s="199"/>
      <c r="I1067" s="196"/>
      <c r="J1067" s="198"/>
      <c r="K1067" s="196"/>
      <c r="L1067" s="196"/>
      <c r="M1067" s="197"/>
      <c r="N1067" s="192"/>
      <c r="O1067" s="196"/>
      <c r="P1067" s="196"/>
      <c r="Q1067" s="200"/>
    </row>
    <row r="1068" spans="1:17">
      <c r="A1068" s="196"/>
      <c r="B1068" s="196"/>
      <c r="C1068" s="196"/>
      <c r="D1068" s="19"/>
      <c r="E1068" s="198"/>
      <c r="F1068" s="196"/>
      <c r="G1068" s="196"/>
      <c r="H1068" s="199"/>
      <c r="I1068" s="196"/>
      <c r="J1068" s="198"/>
      <c r="K1068" s="196"/>
      <c r="L1068" s="196"/>
      <c r="M1068" s="197"/>
      <c r="N1068" s="192"/>
      <c r="O1068" s="196"/>
      <c r="P1068" s="196"/>
      <c r="Q1068" s="200"/>
    </row>
    <row r="1069" spans="1:17">
      <c r="A1069" s="196"/>
      <c r="B1069" s="196"/>
      <c r="C1069" s="196"/>
      <c r="D1069" s="19"/>
      <c r="E1069" s="198"/>
      <c r="F1069" s="196"/>
      <c r="G1069" s="196"/>
      <c r="H1069" s="199"/>
      <c r="I1069" s="196"/>
      <c r="J1069" s="198"/>
      <c r="K1069" s="196"/>
      <c r="L1069" s="196"/>
      <c r="M1069" s="197"/>
      <c r="N1069" s="192"/>
      <c r="O1069" s="196"/>
      <c r="P1069" s="196"/>
      <c r="Q1069" s="200"/>
    </row>
    <row r="1070" spans="1:17">
      <c r="A1070" s="196"/>
      <c r="B1070" s="196"/>
      <c r="C1070" s="196"/>
      <c r="D1070" s="19"/>
      <c r="E1070" s="198"/>
      <c r="F1070" s="196"/>
      <c r="G1070" s="196"/>
      <c r="H1070" s="199"/>
      <c r="I1070" s="196"/>
      <c r="J1070" s="198"/>
      <c r="K1070" s="196"/>
      <c r="L1070" s="196"/>
      <c r="M1070" s="197"/>
      <c r="N1070" s="192"/>
      <c r="O1070" s="196"/>
      <c r="P1070" s="196"/>
      <c r="Q1070" s="200"/>
    </row>
    <row r="1071" spans="1:17">
      <c r="A1071" s="196"/>
      <c r="B1071" s="196"/>
      <c r="C1071" s="196"/>
      <c r="D1071" s="19"/>
      <c r="E1071" s="198"/>
      <c r="F1071" s="196"/>
      <c r="G1071" s="196"/>
      <c r="H1071" s="199"/>
      <c r="I1071" s="196"/>
      <c r="J1071" s="198"/>
      <c r="K1071" s="196"/>
      <c r="L1071" s="196"/>
      <c r="M1071" s="197"/>
      <c r="N1071" s="192"/>
      <c r="O1071" s="196"/>
      <c r="P1071" s="196"/>
      <c r="Q1071" s="200"/>
    </row>
    <row r="1072" spans="1:17">
      <c r="A1072" s="196"/>
      <c r="B1072" s="196"/>
      <c r="C1072" s="196"/>
      <c r="D1072" s="19"/>
      <c r="E1072" s="198"/>
      <c r="F1072" s="196"/>
      <c r="G1072" s="196"/>
      <c r="H1072" s="199"/>
      <c r="I1072" s="196"/>
      <c r="J1072" s="198"/>
      <c r="K1072" s="196"/>
      <c r="L1072" s="196"/>
      <c r="M1072" s="197"/>
      <c r="N1072" s="192"/>
      <c r="O1072" s="196"/>
      <c r="P1072" s="196"/>
      <c r="Q1072" s="200"/>
    </row>
    <row r="1073" spans="1:17">
      <c r="A1073" s="196"/>
      <c r="B1073" s="196"/>
      <c r="C1073" s="196"/>
      <c r="D1073" s="19"/>
      <c r="E1073" s="198"/>
      <c r="F1073" s="196"/>
      <c r="G1073" s="196"/>
      <c r="H1073" s="199"/>
      <c r="I1073" s="196"/>
      <c r="J1073" s="198"/>
      <c r="K1073" s="196"/>
      <c r="L1073" s="196"/>
      <c r="M1073" s="197"/>
      <c r="N1073" s="192"/>
      <c r="O1073" s="196"/>
      <c r="P1073" s="196"/>
      <c r="Q1073" s="200"/>
    </row>
    <row r="1074" spans="1:17">
      <c r="A1074" s="196"/>
      <c r="B1074" s="196"/>
      <c r="C1074" s="196"/>
      <c r="D1074" s="19"/>
      <c r="E1074" s="198"/>
      <c r="F1074" s="196"/>
      <c r="G1074" s="196"/>
      <c r="H1074" s="199"/>
      <c r="I1074" s="196"/>
      <c r="J1074" s="198"/>
      <c r="K1074" s="196"/>
      <c r="L1074" s="196"/>
      <c r="M1074" s="197"/>
      <c r="N1074" s="192"/>
      <c r="O1074" s="196"/>
      <c r="P1074" s="196"/>
      <c r="Q1074" s="200"/>
    </row>
    <row r="1075" spans="1:17">
      <c r="A1075" s="196"/>
      <c r="B1075" s="196"/>
      <c r="C1075" s="196"/>
      <c r="D1075" s="19"/>
      <c r="E1075" s="198"/>
      <c r="F1075" s="196"/>
      <c r="G1075" s="196"/>
      <c r="H1075" s="199"/>
      <c r="I1075" s="196"/>
      <c r="J1075" s="198"/>
      <c r="K1075" s="196"/>
      <c r="L1075" s="196"/>
      <c r="M1075" s="197"/>
      <c r="N1075" s="192"/>
      <c r="O1075" s="196"/>
      <c r="P1075" s="196"/>
      <c r="Q1075" s="200"/>
    </row>
    <row r="1076" spans="1:17">
      <c r="A1076" s="196"/>
      <c r="B1076" s="196"/>
      <c r="C1076" s="196"/>
      <c r="D1076" s="19"/>
      <c r="E1076" s="198"/>
      <c r="F1076" s="196"/>
      <c r="G1076" s="196"/>
      <c r="H1076" s="199"/>
      <c r="I1076" s="196"/>
      <c r="J1076" s="198"/>
      <c r="K1076" s="196"/>
      <c r="L1076" s="196"/>
      <c r="M1076" s="197"/>
      <c r="N1076" s="192"/>
      <c r="O1076" s="196"/>
      <c r="P1076" s="196"/>
      <c r="Q1076" s="200"/>
    </row>
    <row r="1077" spans="1:17">
      <c r="A1077" s="196"/>
      <c r="B1077" s="196"/>
      <c r="C1077" s="196"/>
      <c r="D1077" s="19"/>
      <c r="E1077" s="198"/>
      <c r="F1077" s="196"/>
      <c r="G1077" s="196"/>
      <c r="H1077" s="199"/>
      <c r="I1077" s="196"/>
      <c r="J1077" s="198"/>
      <c r="K1077" s="196"/>
      <c r="L1077" s="196"/>
      <c r="M1077" s="197"/>
      <c r="N1077" s="192"/>
      <c r="O1077" s="196"/>
      <c r="P1077" s="196"/>
      <c r="Q1077" s="200"/>
    </row>
    <row r="1078" spans="1:17">
      <c r="A1078" s="196"/>
      <c r="B1078" s="196"/>
      <c r="C1078" s="196"/>
      <c r="D1078" s="19"/>
      <c r="E1078" s="198"/>
      <c r="F1078" s="196"/>
      <c r="G1078" s="196"/>
      <c r="H1078" s="199"/>
      <c r="I1078" s="196"/>
      <c r="J1078" s="198"/>
      <c r="K1078" s="196"/>
      <c r="L1078" s="196"/>
      <c r="M1078" s="197"/>
      <c r="N1078" s="192"/>
      <c r="O1078" s="196"/>
      <c r="P1078" s="196"/>
      <c r="Q1078" s="200"/>
    </row>
    <row r="1079" spans="1:17">
      <c r="A1079" s="196"/>
      <c r="B1079" s="196"/>
      <c r="C1079" s="196"/>
      <c r="D1079" s="19"/>
      <c r="E1079" s="198"/>
      <c r="F1079" s="196"/>
      <c r="G1079" s="196"/>
      <c r="H1079" s="199"/>
      <c r="I1079" s="196"/>
      <c r="J1079" s="198"/>
      <c r="K1079" s="196"/>
      <c r="L1079" s="196"/>
      <c r="M1079" s="197"/>
      <c r="N1079" s="192"/>
      <c r="O1079" s="196"/>
      <c r="P1079" s="196"/>
      <c r="Q1079" s="200"/>
    </row>
    <row r="1080" spans="1:17">
      <c r="A1080" s="196"/>
      <c r="B1080" s="196"/>
      <c r="C1080" s="196"/>
      <c r="D1080" s="19"/>
      <c r="E1080" s="198"/>
      <c r="F1080" s="196"/>
      <c r="G1080" s="196"/>
      <c r="H1080" s="199"/>
      <c r="I1080" s="196"/>
      <c r="J1080" s="198"/>
      <c r="K1080" s="196"/>
      <c r="L1080" s="196"/>
      <c r="M1080" s="197"/>
      <c r="N1080" s="192"/>
      <c r="O1080" s="196"/>
      <c r="P1080" s="196"/>
      <c r="Q1080" s="200"/>
    </row>
    <row r="1081" spans="1:17">
      <c r="A1081" s="196"/>
      <c r="B1081" s="196"/>
      <c r="C1081" s="196"/>
      <c r="D1081" s="19"/>
      <c r="E1081" s="198"/>
      <c r="F1081" s="196"/>
      <c r="G1081" s="196"/>
      <c r="H1081" s="199"/>
      <c r="I1081" s="196"/>
      <c r="J1081" s="198"/>
      <c r="K1081" s="196"/>
      <c r="L1081" s="196"/>
      <c r="M1081" s="197"/>
      <c r="N1081" s="192"/>
      <c r="O1081" s="196"/>
      <c r="P1081" s="196"/>
      <c r="Q1081" s="200"/>
    </row>
    <row r="1082" spans="1:17">
      <c r="A1082" s="196"/>
      <c r="B1082" s="196"/>
      <c r="C1082" s="196"/>
      <c r="D1082" s="19"/>
      <c r="E1082" s="198"/>
      <c r="F1082" s="196"/>
      <c r="G1082" s="196"/>
      <c r="H1082" s="199"/>
      <c r="I1082" s="196"/>
      <c r="J1082" s="198"/>
      <c r="K1082" s="196"/>
      <c r="L1082" s="196"/>
      <c r="M1082" s="197"/>
      <c r="N1082" s="192"/>
      <c r="O1082" s="196"/>
      <c r="P1082" s="196"/>
      <c r="Q1082" s="200"/>
    </row>
    <row r="1083" spans="1:17">
      <c r="A1083" s="196"/>
      <c r="B1083" s="196"/>
      <c r="C1083" s="196"/>
      <c r="D1083" s="19"/>
      <c r="E1083" s="198"/>
      <c r="F1083" s="196"/>
      <c r="G1083" s="196"/>
      <c r="H1083" s="199"/>
      <c r="I1083" s="196"/>
      <c r="J1083" s="198"/>
      <c r="K1083" s="196"/>
      <c r="L1083" s="196"/>
      <c r="M1083" s="197"/>
      <c r="N1083" s="192"/>
      <c r="O1083" s="196"/>
      <c r="P1083" s="196"/>
      <c r="Q1083" s="200"/>
    </row>
    <row r="1084" spans="1:17">
      <c r="A1084" s="196"/>
      <c r="B1084" s="196"/>
      <c r="C1084" s="196"/>
      <c r="D1084" s="19"/>
      <c r="E1084" s="198"/>
      <c r="F1084" s="196"/>
      <c r="G1084" s="196"/>
      <c r="H1084" s="199"/>
      <c r="I1084" s="196"/>
      <c r="J1084" s="198"/>
      <c r="K1084" s="196"/>
      <c r="L1084" s="196"/>
      <c r="M1084" s="197"/>
      <c r="N1084" s="192"/>
      <c r="O1084" s="196"/>
      <c r="P1084" s="196"/>
      <c r="Q1084" s="200"/>
    </row>
    <row r="1085" spans="1:17">
      <c r="A1085" s="196"/>
      <c r="B1085" s="196"/>
      <c r="C1085" s="196"/>
      <c r="D1085" s="19"/>
      <c r="E1085" s="198"/>
      <c r="F1085" s="196"/>
      <c r="G1085" s="196"/>
      <c r="H1085" s="199"/>
      <c r="I1085" s="196"/>
      <c r="J1085" s="198"/>
      <c r="K1085" s="196"/>
      <c r="L1085" s="196"/>
      <c r="M1085" s="197"/>
      <c r="N1085" s="192"/>
      <c r="O1085" s="196"/>
      <c r="P1085" s="196"/>
      <c r="Q1085" s="200"/>
    </row>
    <row r="1086" spans="1:17">
      <c r="A1086" s="196"/>
      <c r="B1086" s="196"/>
      <c r="C1086" s="196"/>
      <c r="D1086" s="19"/>
      <c r="E1086" s="198"/>
      <c r="F1086" s="196"/>
      <c r="G1086" s="196"/>
      <c r="H1086" s="199"/>
      <c r="I1086" s="196"/>
      <c r="J1086" s="198"/>
      <c r="K1086" s="196"/>
      <c r="L1086" s="196"/>
      <c r="M1086" s="197"/>
      <c r="N1086" s="192"/>
      <c r="O1086" s="196"/>
      <c r="P1086" s="196"/>
      <c r="Q1086" s="200"/>
    </row>
    <row r="1087" spans="1:17">
      <c r="A1087" s="196"/>
      <c r="B1087" s="196"/>
      <c r="C1087" s="196"/>
      <c r="D1087" s="19"/>
      <c r="E1087" s="198"/>
      <c r="F1087" s="196"/>
      <c r="G1087" s="196"/>
      <c r="H1087" s="199"/>
      <c r="I1087" s="196"/>
      <c r="J1087" s="198"/>
      <c r="K1087" s="196"/>
      <c r="L1087" s="196"/>
      <c r="M1087" s="197"/>
      <c r="N1087" s="192"/>
      <c r="O1087" s="196"/>
      <c r="P1087" s="196"/>
      <c r="Q1087" s="200"/>
    </row>
    <row r="1088" spans="1:17">
      <c r="A1088" s="196"/>
      <c r="B1088" s="196"/>
      <c r="C1088" s="196"/>
      <c r="D1088" s="19"/>
      <c r="E1088" s="198"/>
      <c r="F1088" s="196"/>
      <c r="G1088" s="196"/>
      <c r="H1088" s="199"/>
      <c r="I1088" s="196"/>
      <c r="J1088" s="198"/>
      <c r="K1088" s="196"/>
      <c r="L1088" s="196"/>
      <c r="M1088" s="197"/>
      <c r="N1088" s="192"/>
      <c r="O1088" s="196"/>
      <c r="P1088" s="196"/>
      <c r="Q1088" s="200"/>
    </row>
    <row r="1089" spans="1:17">
      <c r="A1089" s="196"/>
      <c r="B1089" s="196"/>
      <c r="C1089" s="196"/>
      <c r="D1089" s="19"/>
      <c r="E1089" s="198"/>
      <c r="F1089" s="196"/>
      <c r="G1089" s="196"/>
      <c r="H1089" s="199"/>
      <c r="I1089" s="196"/>
      <c r="J1089" s="198"/>
      <c r="K1089" s="196"/>
      <c r="L1089" s="196"/>
      <c r="M1089" s="197"/>
      <c r="N1089" s="192"/>
      <c r="O1089" s="196"/>
      <c r="P1089" s="196"/>
      <c r="Q1089" s="200"/>
    </row>
    <row r="1090" spans="1:17">
      <c r="A1090" s="196"/>
      <c r="B1090" s="196"/>
      <c r="C1090" s="196"/>
      <c r="D1090" s="19"/>
      <c r="E1090" s="198"/>
      <c r="F1090" s="196"/>
      <c r="G1090" s="196"/>
      <c r="H1090" s="199"/>
      <c r="I1090" s="196"/>
      <c r="J1090" s="198"/>
      <c r="K1090" s="196"/>
      <c r="L1090" s="196"/>
      <c r="M1090" s="197"/>
      <c r="N1090" s="192"/>
      <c r="O1090" s="196"/>
      <c r="P1090" s="196"/>
      <c r="Q1090" s="200"/>
    </row>
    <row r="1091" spans="1:17">
      <c r="A1091" s="196"/>
      <c r="B1091" s="196"/>
      <c r="C1091" s="196"/>
      <c r="D1091" s="19"/>
      <c r="E1091" s="198"/>
      <c r="F1091" s="196"/>
      <c r="G1091" s="196"/>
      <c r="H1091" s="199"/>
      <c r="I1091" s="196"/>
      <c r="J1091" s="198"/>
      <c r="K1091" s="196"/>
      <c r="L1091" s="196"/>
      <c r="M1091" s="197"/>
      <c r="N1091" s="192"/>
      <c r="O1091" s="196"/>
      <c r="P1091" s="196"/>
      <c r="Q1091" s="200"/>
    </row>
    <row r="1092" spans="1:17">
      <c r="A1092" s="196"/>
      <c r="B1092" s="196"/>
      <c r="C1092" s="196"/>
      <c r="D1092" s="19"/>
      <c r="E1092" s="198"/>
      <c r="F1092" s="196"/>
      <c r="G1092" s="196"/>
      <c r="H1092" s="199"/>
      <c r="I1092" s="196"/>
      <c r="J1092" s="198"/>
      <c r="K1092" s="196"/>
      <c r="L1092" s="196"/>
      <c r="M1092" s="197"/>
      <c r="N1092" s="192"/>
      <c r="O1092" s="196"/>
      <c r="P1092" s="196"/>
      <c r="Q1092" s="200"/>
    </row>
    <row r="1093" spans="1:17">
      <c r="A1093" s="196"/>
      <c r="B1093" s="196"/>
      <c r="C1093" s="196"/>
      <c r="D1093" s="19"/>
      <c r="E1093" s="198"/>
      <c r="F1093" s="196"/>
      <c r="G1093" s="196"/>
      <c r="H1093" s="199"/>
      <c r="I1093" s="196"/>
      <c r="J1093" s="198"/>
      <c r="K1093" s="196"/>
      <c r="L1093" s="196"/>
      <c r="M1093" s="197"/>
      <c r="N1093" s="192"/>
      <c r="O1093" s="196"/>
      <c r="P1093" s="196"/>
      <c r="Q1093" s="200"/>
    </row>
    <row r="1094" spans="1:17">
      <c r="A1094" s="196"/>
      <c r="B1094" s="196"/>
      <c r="C1094" s="196"/>
      <c r="D1094" s="19"/>
      <c r="E1094" s="198"/>
      <c r="F1094" s="196"/>
      <c r="G1094" s="196"/>
      <c r="H1094" s="199"/>
      <c r="I1094" s="196"/>
      <c r="J1094" s="198"/>
      <c r="K1094" s="196"/>
      <c r="L1094" s="196"/>
      <c r="M1094" s="197"/>
      <c r="N1094" s="192"/>
      <c r="O1094" s="196"/>
      <c r="P1094" s="196"/>
      <c r="Q1094" s="200"/>
    </row>
    <row r="1095" spans="1:17">
      <c r="A1095" s="196"/>
      <c r="B1095" s="196"/>
      <c r="C1095" s="196"/>
      <c r="D1095" s="19"/>
      <c r="E1095" s="198"/>
      <c r="F1095" s="196"/>
      <c r="G1095" s="196"/>
      <c r="H1095" s="199"/>
      <c r="I1095" s="196"/>
      <c r="J1095" s="198"/>
      <c r="K1095" s="196"/>
      <c r="L1095" s="196"/>
      <c r="M1095" s="197"/>
      <c r="N1095" s="192"/>
      <c r="O1095" s="196"/>
      <c r="P1095" s="196"/>
      <c r="Q1095" s="200"/>
    </row>
    <row r="1096" spans="1:17">
      <c r="A1096" s="196"/>
      <c r="B1096" s="196"/>
      <c r="C1096" s="196"/>
      <c r="D1096" s="19"/>
      <c r="E1096" s="198"/>
      <c r="F1096" s="196"/>
      <c r="G1096" s="196"/>
      <c r="H1096" s="199"/>
      <c r="I1096" s="196"/>
      <c r="J1096" s="198"/>
      <c r="K1096" s="196"/>
      <c r="L1096" s="196"/>
      <c r="M1096" s="197"/>
      <c r="N1096" s="192"/>
      <c r="O1096" s="196"/>
      <c r="P1096" s="196"/>
      <c r="Q1096" s="200"/>
    </row>
    <row r="1097" spans="1:17">
      <c r="A1097" s="196"/>
      <c r="B1097" s="196"/>
      <c r="C1097" s="196"/>
      <c r="D1097" s="19"/>
      <c r="E1097" s="198"/>
      <c r="F1097" s="196"/>
      <c r="G1097" s="196"/>
      <c r="H1097" s="199"/>
      <c r="I1097" s="196"/>
      <c r="J1097" s="198"/>
      <c r="K1097" s="196"/>
      <c r="L1097" s="196"/>
      <c r="M1097" s="197"/>
      <c r="N1097" s="192"/>
      <c r="O1097" s="196"/>
      <c r="P1097" s="196"/>
      <c r="Q1097" s="200"/>
    </row>
    <row r="1098" spans="1:17">
      <c r="A1098" s="196"/>
      <c r="B1098" s="196"/>
      <c r="C1098" s="196"/>
      <c r="D1098" s="19"/>
      <c r="E1098" s="198"/>
      <c r="F1098" s="196"/>
      <c r="G1098" s="196"/>
      <c r="H1098" s="199"/>
      <c r="I1098" s="196"/>
      <c r="J1098" s="198"/>
      <c r="K1098" s="196"/>
      <c r="L1098" s="196"/>
      <c r="M1098" s="197"/>
      <c r="N1098" s="192"/>
      <c r="O1098" s="196"/>
      <c r="P1098" s="196"/>
      <c r="Q1098" s="200"/>
    </row>
    <row r="1099" spans="1:17">
      <c r="A1099" s="196"/>
      <c r="B1099" s="196"/>
      <c r="C1099" s="196"/>
      <c r="D1099" s="19"/>
      <c r="E1099" s="198"/>
      <c r="F1099" s="196"/>
      <c r="G1099" s="196"/>
      <c r="H1099" s="199"/>
      <c r="I1099" s="196"/>
      <c r="J1099" s="198"/>
      <c r="K1099" s="196"/>
      <c r="L1099" s="196"/>
      <c r="M1099" s="197"/>
      <c r="N1099" s="192"/>
      <c r="O1099" s="196"/>
      <c r="P1099" s="196"/>
      <c r="Q1099" s="200"/>
    </row>
    <row r="1100" spans="1:17">
      <c r="A1100" s="196"/>
      <c r="B1100" s="196"/>
      <c r="C1100" s="196"/>
      <c r="D1100" s="19"/>
      <c r="E1100" s="198"/>
      <c r="F1100" s="196"/>
      <c r="G1100" s="196"/>
      <c r="H1100" s="199"/>
      <c r="I1100" s="196"/>
      <c r="J1100" s="198"/>
      <c r="K1100" s="196"/>
      <c r="L1100" s="196"/>
      <c r="M1100" s="197"/>
      <c r="N1100" s="192"/>
      <c r="O1100" s="196"/>
      <c r="P1100" s="196"/>
      <c r="Q1100" s="200"/>
    </row>
    <row r="1101" spans="1:17">
      <c r="A1101" s="196"/>
      <c r="B1101" s="196"/>
      <c r="C1101" s="196"/>
      <c r="D1101" s="19"/>
      <c r="E1101" s="198"/>
      <c r="F1101" s="196"/>
      <c r="G1101" s="196"/>
      <c r="H1101" s="199"/>
      <c r="I1101" s="196"/>
      <c r="J1101" s="198"/>
      <c r="K1101" s="196"/>
      <c r="L1101" s="196"/>
      <c r="M1101" s="197"/>
      <c r="N1101" s="192"/>
      <c r="O1101" s="196"/>
      <c r="P1101" s="196"/>
      <c r="Q1101" s="200"/>
    </row>
    <row r="1102" spans="1:17">
      <c r="A1102" s="196"/>
      <c r="B1102" s="196"/>
      <c r="C1102" s="196"/>
      <c r="D1102" s="19"/>
      <c r="E1102" s="198"/>
      <c r="F1102" s="196"/>
      <c r="G1102" s="196"/>
      <c r="H1102" s="199"/>
      <c r="I1102" s="196"/>
      <c r="J1102" s="198"/>
      <c r="K1102" s="196"/>
      <c r="L1102" s="196"/>
      <c r="M1102" s="197"/>
      <c r="N1102" s="192"/>
      <c r="O1102" s="196"/>
      <c r="P1102" s="196"/>
      <c r="Q1102" s="200"/>
    </row>
    <row r="1103" spans="1:17">
      <c r="A1103" s="196"/>
      <c r="B1103" s="196"/>
      <c r="C1103" s="196"/>
      <c r="D1103" s="19"/>
      <c r="E1103" s="198"/>
      <c r="F1103" s="196"/>
      <c r="G1103" s="196"/>
      <c r="H1103" s="199"/>
      <c r="I1103" s="196"/>
      <c r="J1103" s="198"/>
      <c r="K1103" s="196"/>
      <c r="L1103" s="196"/>
      <c r="M1103" s="197"/>
      <c r="N1103" s="192"/>
      <c r="O1103" s="196"/>
      <c r="P1103" s="196"/>
      <c r="Q1103" s="200"/>
    </row>
    <row r="1104" spans="1:17">
      <c r="A1104" s="196"/>
      <c r="B1104" s="196"/>
      <c r="C1104" s="196"/>
      <c r="D1104" s="19"/>
      <c r="E1104" s="198"/>
      <c r="F1104" s="196"/>
      <c r="G1104" s="196"/>
      <c r="H1104" s="199"/>
      <c r="I1104" s="196"/>
      <c r="J1104" s="198"/>
      <c r="K1104" s="196"/>
      <c r="L1104" s="196"/>
      <c r="M1104" s="197"/>
      <c r="N1104" s="192"/>
      <c r="O1104" s="196"/>
      <c r="P1104" s="196"/>
      <c r="Q1104" s="200"/>
    </row>
    <row r="1105" spans="1:17">
      <c r="A1105" s="196"/>
      <c r="B1105" s="196"/>
      <c r="C1105" s="196"/>
      <c r="D1105" s="19"/>
      <c r="E1105" s="198"/>
      <c r="F1105" s="196"/>
      <c r="G1105" s="196"/>
      <c r="H1105" s="199"/>
      <c r="I1105" s="196"/>
      <c r="J1105" s="198"/>
      <c r="K1105" s="196"/>
      <c r="L1105" s="196"/>
      <c r="M1105" s="197"/>
      <c r="N1105" s="192"/>
      <c r="O1105" s="196"/>
      <c r="P1105" s="196"/>
      <c r="Q1105" s="200"/>
    </row>
    <row r="1106" spans="1:17">
      <c r="A1106" s="196"/>
      <c r="B1106" s="196"/>
      <c r="C1106" s="196"/>
      <c r="D1106" s="19"/>
      <c r="E1106" s="198"/>
      <c r="F1106" s="196"/>
      <c r="G1106" s="196"/>
      <c r="H1106" s="199"/>
      <c r="I1106" s="196"/>
      <c r="J1106" s="198"/>
      <c r="K1106" s="196"/>
      <c r="L1106" s="196"/>
      <c r="M1106" s="197"/>
      <c r="N1106" s="192"/>
      <c r="O1106" s="196"/>
      <c r="P1106" s="196"/>
      <c r="Q1106" s="200"/>
    </row>
    <row r="1107" spans="1:17">
      <c r="A1107" s="196"/>
      <c r="B1107" s="196"/>
      <c r="C1107" s="196"/>
      <c r="D1107" s="19"/>
      <c r="E1107" s="198"/>
      <c r="F1107" s="196"/>
      <c r="G1107" s="196"/>
      <c r="H1107" s="199"/>
      <c r="I1107" s="196"/>
      <c r="J1107" s="198"/>
      <c r="K1107" s="196"/>
      <c r="L1107" s="196"/>
      <c r="M1107" s="197"/>
      <c r="N1107" s="192"/>
      <c r="O1107" s="196"/>
      <c r="P1107" s="196"/>
      <c r="Q1107" s="200"/>
    </row>
    <row r="1108" spans="1:17">
      <c r="A1108" s="196"/>
      <c r="B1108" s="196"/>
      <c r="C1108" s="196"/>
      <c r="D1108" s="19"/>
      <c r="E1108" s="198"/>
      <c r="F1108" s="196"/>
      <c r="G1108" s="196"/>
      <c r="H1108" s="199"/>
      <c r="I1108" s="196"/>
      <c r="J1108" s="198"/>
      <c r="K1108" s="196"/>
      <c r="L1108" s="196"/>
      <c r="M1108" s="197"/>
      <c r="N1108" s="192"/>
      <c r="O1108" s="196"/>
      <c r="P1108" s="196"/>
      <c r="Q1108" s="200"/>
    </row>
    <row r="1109" spans="1:17">
      <c r="A1109" s="196"/>
      <c r="B1109" s="196"/>
      <c r="C1109" s="196"/>
      <c r="D1109" s="19"/>
      <c r="E1109" s="198"/>
      <c r="F1109" s="196"/>
      <c r="G1109" s="196"/>
      <c r="H1109" s="199"/>
      <c r="I1109" s="196"/>
      <c r="J1109" s="198"/>
      <c r="K1109" s="196"/>
      <c r="L1109" s="196"/>
      <c r="M1109" s="197"/>
      <c r="N1109" s="192"/>
      <c r="O1109" s="196"/>
      <c r="P1109" s="196"/>
      <c r="Q1109" s="200"/>
    </row>
    <row r="1110" spans="1:17">
      <c r="A1110" s="196"/>
      <c r="B1110" s="196"/>
      <c r="C1110" s="196"/>
      <c r="D1110" s="19"/>
      <c r="E1110" s="198"/>
      <c r="F1110" s="196"/>
      <c r="G1110" s="196"/>
      <c r="H1110" s="199"/>
      <c r="I1110" s="196"/>
      <c r="J1110" s="198"/>
      <c r="K1110" s="196"/>
      <c r="L1110" s="196"/>
      <c r="M1110" s="197"/>
      <c r="N1110" s="192"/>
      <c r="O1110" s="196"/>
      <c r="P1110" s="196"/>
      <c r="Q1110" s="200"/>
    </row>
    <row r="1111" spans="1:17">
      <c r="A1111" s="196"/>
      <c r="B1111" s="196"/>
      <c r="C1111" s="196"/>
      <c r="D1111" s="19"/>
      <c r="E1111" s="198"/>
      <c r="F1111" s="196"/>
      <c r="G1111" s="196"/>
      <c r="H1111" s="199"/>
      <c r="I1111" s="196"/>
      <c r="J1111" s="198"/>
      <c r="K1111" s="196"/>
      <c r="L1111" s="196"/>
      <c r="M1111" s="197"/>
      <c r="N1111" s="192"/>
      <c r="O1111" s="196"/>
      <c r="P1111" s="196"/>
      <c r="Q1111" s="200"/>
    </row>
    <row r="1112" spans="1:17">
      <c r="A1112" s="196"/>
      <c r="B1112" s="196"/>
      <c r="C1112" s="196"/>
      <c r="D1112" s="19"/>
      <c r="E1112" s="198"/>
      <c r="F1112" s="196"/>
      <c r="G1112" s="196"/>
      <c r="H1112" s="199"/>
      <c r="I1112" s="196"/>
      <c r="J1112" s="198"/>
      <c r="K1112" s="196"/>
      <c r="L1112" s="196"/>
      <c r="M1112" s="197"/>
      <c r="N1112" s="192"/>
      <c r="O1112" s="196"/>
      <c r="P1112" s="196"/>
      <c r="Q1112" s="200"/>
    </row>
    <row r="1113" spans="1:17">
      <c r="A1113" s="196"/>
      <c r="B1113" s="196"/>
      <c r="C1113" s="196"/>
      <c r="D1113" s="19"/>
      <c r="E1113" s="198"/>
      <c r="F1113" s="196"/>
      <c r="G1113" s="196"/>
      <c r="H1113" s="199"/>
      <c r="I1113" s="196"/>
      <c r="J1113" s="198"/>
      <c r="K1113" s="196"/>
      <c r="L1113" s="196"/>
      <c r="M1113" s="197"/>
      <c r="N1113" s="192"/>
      <c r="O1113" s="196"/>
      <c r="P1113" s="196"/>
      <c r="Q1113" s="200"/>
    </row>
    <row r="1114" spans="1:17">
      <c r="A1114" s="196"/>
      <c r="B1114" s="196"/>
      <c r="C1114" s="196"/>
      <c r="D1114" s="19"/>
      <c r="E1114" s="198"/>
      <c r="F1114" s="196"/>
      <c r="G1114" s="196"/>
      <c r="H1114" s="199"/>
      <c r="I1114" s="196"/>
      <c r="J1114" s="198"/>
      <c r="K1114" s="196"/>
      <c r="L1114" s="196"/>
      <c r="M1114" s="197"/>
      <c r="N1114" s="192"/>
      <c r="O1114" s="196"/>
      <c r="P1114" s="196"/>
      <c r="Q1114" s="200"/>
    </row>
    <row r="1115" spans="1:17">
      <c r="A1115" s="196"/>
      <c r="B1115" s="196"/>
      <c r="C1115" s="196"/>
      <c r="D1115" s="19"/>
      <c r="E1115" s="198"/>
      <c r="F1115" s="196"/>
      <c r="G1115" s="196"/>
      <c r="H1115" s="199"/>
      <c r="I1115" s="196"/>
      <c r="J1115" s="198"/>
      <c r="K1115" s="196"/>
      <c r="L1115" s="196"/>
      <c r="M1115" s="197"/>
      <c r="N1115" s="192"/>
      <c r="O1115" s="196"/>
      <c r="P1115" s="196"/>
      <c r="Q1115" s="200"/>
    </row>
    <row r="1116" spans="1:17">
      <c r="A1116" s="196"/>
      <c r="B1116" s="196"/>
      <c r="C1116" s="196"/>
      <c r="D1116" s="19"/>
      <c r="E1116" s="198"/>
      <c r="F1116" s="196"/>
      <c r="G1116" s="196"/>
      <c r="H1116" s="199"/>
      <c r="I1116" s="196"/>
      <c r="J1116" s="198"/>
      <c r="K1116" s="196"/>
      <c r="L1116" s="196"/>
      <c r="M1116" s="197"/>
      <c r="N1116" s="192"/>
      <c r="O1116" s="196"/>
      <c r="P1116" s="196"/>
      <c r="Q1116" s="200"/>
    </row>
    <row r="1117" spans="1:17">
      <c r="A1117" s="196"/>
      <c r="B1117" s="196"/>
      <c r="C1117" s="196"/>
      <c r="D1117" s="19"/>
      <c r="E1117" s="198"/>
      <c r="F1117" s="196"/>
      <c r="G1117" s="196"/>
      <c r="H1117" s="199"/>
      <c r="I1117" s="196"/>
      <c r="J1117" s="198"/>
      <c r="K1117" s="196"/>
      <c r="L1117" s="196"/>
      <c r="M1117" s="197"/>
      <c r="N1117" s="192"/>
      <c r="O1117" s="196"/>
      <c r="P1117" s="196"/>
      <c r="Q1117" s="200"/>
    </row>
    <row r="1118" spans="1:17">
      <c r="A1118" s="196"/>
      <c r="B1118" s="196"/>
      <c r="C1118" s="196"/>
      <c r="D1118" s="19"/>
      <c r="E1118" s="198"/>
      <c r="F1118" s="196"/>
      <c r="G1118" s="196"/>
      <c r="H1118" s="199"/>
      <c r="I1118" s="196"/>
      <c r="J1118" s="198"/>
      <c r="K1118" s="196"/>
      <c r="L1118" s="196"/>
      <c r="M1118" s="197"/>
      <c r="N1118" s="192"/>
      <c r="O1118" s="196"/>
      <c r="P1118" s="196"/>
      <c r="Q1118" s="200"/>
    </row>
    <row r="1119" spans="1:17">
      <c r="A1119" s="196"/>
      <c r="B1119" s="196"/>
      <c r="C1119" s="196"/>
      <c r="D1119" s="19"/>
      <c r="E1119" s="198"/>
      <c r="F1119" s="196"/>
      <c r="G1119" s="196"/>
      <c r="H1119" s="199"/>
      <c r="I1119" s="196"/>
      <c r="J1119" s="198"/>
      <c r="K1119" s="196"/>
      <c r="L1119" s="196"/>
      <c r="M1119" s="197"/>
      <c r="N1119" s="192"/>
      <c r="O1119" s="196"/>
      <c r="P1119" s="196"/>
      <c r="Q1119" s="200"/>
    </row>
    <row r="1120" spans="1:17">
      <c r="A1120" s="196"/>
      <c r="B1120" s="196"/>
      <c r="C1120" s="196"/>
      <c r="D1120" s="19"/>
      <c r="E1120" s="198"/>
      <c r="F1120" s="196"/>
      <c r="G1120" s="196"/>
      <c r="H1120" s="199"/>
      <c r="I1120" s="196"/>
      <c r="J1120" s="198"/>
      <c r="K1120" s="196"/>
      <c r="L1120" s="196"/>
      <c r="M1120" s="197"/>
      <c r="N1120" s="192"/>
      <c r="O1120" s="196"/>
      <c r="P1120" s="196"/>
      <c r="Q1120" s="200"/>
    </row>
    <row r="1121" spans="1:17">
      <c r="A1121" s="196"/>
      <c r="B1121" s="196"/>
      <c r="C1121" s="196"/>
      <c r="D1121" s="19"/>
      <c r="E1121" s="198"/>
      <c r="F1121" s="196"/>
      <c r="G1121" s="196"/>
      <c r="H1121" s="199"/>
      <c r="I1121" s="196"/>
      <c r="J1121" s="198"/>
      <c r="K1121" s="196"/>
      <c r="L1121" s="196"/>
      <c r="M1121" s="197"/>
      <c r="N1121" s="192"/>
      <c r="O1121" s="196"/>
      <c r="P1121" s="196"/>
      <c r="Q1121" s="200"/>
    </row>
    <row r="1122" spans="1:17">
      <c r="A1122" s="196"/>
      <c r="B1122" s="196"/>
      <c r="C1122" s="196"/>
      <c r="D1122" s="19"/>
      <c r="E1122" s="198"/>
      <c r="F1122" s="196"/>
      <c r="G1122" s="196"/>
      <c r="H1122" s="199"/>
      <c r="I1122" s="196"/>
      <c r="J1122" s="198"/>
      <c r="K1122" s="196"/>
      <c r="L1122" s="196"/>
      <c r="M1122" s="197"/>
      <c r="N1122" s="192"/>
      <c r="O1122" s="196"/>
      <c r="P1122" s="196"/>
      <c r="Q1122" s="200"/>
    </row>
    <row r="1123" spans="1:17">
      <c r="A1123" s="196"/>
      <c r="B1123" s="196"/>
      <c r="C1123" s="196"/>
      <c r="D1123" s="19"/>
      <c r="E1123" s="198"/>
      <c r="F1123" s="196"/>
      <c r="G1123" s="196"/>
      <c r="H1123" s="199"/>
      <c r="I1123" s="196"/>
      <c r="J1123" s="198"/>
      <c r="K1123" s="196"/>
      <c r="L1123" s="196"/>
      <c r="M1123" s="197"/>
      <c r="N1123" s="192"/>
      <c r="O1123" s="196"/>
      <c r="P1123" s="196"/>
      <c r="Q1123" s="200"/>
    </row>
    <row r="1124" spans="1:17">
      <c r="A1124" s="196"/>
      <c r="B1124" s="196"/>
      <c r="C1124" s="196"/>
      <c r="D1124" s="19"/>
      <c r="E1124" s="198"/>
      <c r="F1124" s="196"/>
      <c r="G1124" s="196"/>
      <c r="H1124" s="199"/>
      <c r="I1124" s="196"/>
      <c r="J1124" s="198"/>
      <c r="K1124" s="196"/>
      <c r="L1124" s="196"/>
      <c r="M1124" s="197"/>
      <c r="N1124" s="192"/>
      <c r="O1124" s="196"/>
      <c r="P1124" s="196"/>
      <c r="Q1124" s="200"/>
    </row>
    <row r="1125" spans="1:17">
      <c r="A1125" s="196"/>
      <c r="B1125" s="196"/>
      <c r="C1125" s="196"/>
      <c r="D1125" s="19"/>
      <c r="E1125" s="198"/>
      <c r="F1125" s="196"/>
      <c r="G1125" s="196"/>
      <c r="H1125" s="199"/>
      <c r="I1125" s="196"/>
      <c r="J1125" s="198"/>
      <c r="K1125" s="196"/>
      <c r="L1125" s="196"/>
      <c r="M1125" s="197"/>
      <c r="N1125" s="192"/>
      <c r="O1125" s="196"/>
      <c r="P1125" s="196"/>
      <c r="Q1125" s="200"/>
    </row>
    <row r="1126" spans="1:17">
      <c r="A1126" s="196"/>
      <c r="B1126" s="196"/>
      <c r="C1126" s="196"/>
      <c r="D1126" s="19"/>
      <c r="E1126" s="198"/>
      <c r="F1126" s="196"/>
      <c r="G1126" s="196"/>
      <c r="H1126" s="199"/>
      <c r="I1126" s="196"/>
      <c r="J1126" s="198"/>
      <c r="K1126" s="196"/>
      <c r="L1126" s="196"/>
      <c r="M1126" s="197"/>
      <c r="N1126" s="192"/>
      <c r="O1126" s="196"/>
      <c r="P1126" s="196"/>
      <c r="Q1126" s="200"/>
    </row>
    <row r="1127" spans="1:17">
      <c r="A1127" s="196"/>
      <c r="B1127" s="196"/>
      <c r="C1127" s="196"/>
      <c r="D1127" s="19"/>
      <c r="E1127" s="198"/>
      <c r="F1127" s="196"/>
      <c r="G1127" s="196"/>
      <c r="H1127" s="199"/>
      <c r="I1127" s="196"/>
      <c r="J1127" s="198"/>
      <c r="K1127" s="196"/>
      <c r="L1127" s="196"/>
      <c r="M1127" s="197"/>
      <c r="N1127" s="192"/>
      <c r="O1127" s="196"/>
      <c r="P1127" s="196"/>
      <c r="Q1127" s="200"/>
    </row>
    <row r="1128" spans="1:17">
      <c r="A1128" s="196"/>
      <c r="B1128" s="196"/>
      <c r="C1128" s="196"/>
      <c r="D1128" s="19"/>
      <c r="E1128" s="198"/>
      <c r="F1128" s="196"/>
      <c r="G1128" s="196"/>
      <c r="H1128" s="199"/>
      <c r="I1128" s="196"/>
      <c r="J1128" s="198"/>
      <c r="K1128" s="196"/>
      <c r="L1128" s="196"/>
      <c r="M1128" s="197"/>
      <c r="N1128" s="192"/>
      <c r="O1128" s="196"/>
      <c r="P1128" s="196"/>
      <c r="Q1128" s="200"/>
    </row>
    <row r="1129" spans="1:17">
      <c r="A1129" s="196"/>
      <c r="B1129" s="196"/>
      <c r="C1129" s="196"/>
      <c r="D1129" s="19"/>
      <c r="E1129" s="198"/>
      <c r="F1129" s="196"/>
      <c r="G1129" s="196"/>
      <c r="H1129" s="199"/>
      <c r="I1129" s="196"/>
      <c r="J1129" s="198"/>
      <c r="K1129" s="196"/>
      <c r="L1129" s="196"/>
      <c r="M1129" s="197"/>
      <c r="N1129" s="192"/>
      <c r="O1129" s="196"/>
      <c r="P1129" s="196"/>
      <c r="Q1129" s="200"/>
    </row>
    <row r="1130" spans="1:17">
      <c r="A1130" s="196"/>
      <c r="B1130" s="196"/>
      <c r="C1130" s="196"/>
      <c r="D1130" s="19"/>
      <c r="E1130" s="198"/>
      <c r="F1130" s="196"/>
      <c r="G1130" s="196"/>
      <c r="H1130" s="199"/>
      <c r="I1130" s="196"/>
      <c r="J1130" s="198"/>
      <c r="K1130" s="196"/>
      <c r="L1130" s="196"/>
      <c r="M1130" s="197"/>
      <c r="N1130" s="192"/>
      <c r="O1130" s="196"/>
      <c r="P1130" s="196"/>
      <c r="Q1130" s="200"/>
    </row>
    <row r="1131" spans="1:17">
      <c r="A1131" s="196"/>
      <c r="B1131" s="196"/>
      <c r="C1131" s="196"/>
      <c r="D1131" s="19"/>
      <c r="E1131" s="198"/>
      <c r="F1131" s="196"/>
      <c r="G1131" s="196"/>
      <c r="H1131" s="199"/>
      <c r="I1131" s="196"/>
      <c r="J1131" s="198"/>
      <c r="K1131" s="196"/>
      <c r="L1131" s="196"/>
      <c r="M1131" s="197"/>
      <c r="N1131" s="192"/>
      <c r="O1131" s="196"/>
      <c r="P1131" s="196"/>
      <c r="Q1131" s="200"/>
    </row>
    <row r="1132" spans="1:17">
      <c r="A1132" s="196"/>
      <c r="B1132" s="196"/>
      <c r="C1132" s="196"/>
      <c r="D1132" s="19"/>
      <c r="E1132" s="198"/>
      <c r="F1132" s="196"/>
      <c r="G1132" s="196"/>
      <c r="H1132" s="199"/>
      <c r="I1132" s="196"/>
      <c r="J1132" s="198"/>
      <c r="K1132" s="196"/>
      <c r="L1132" s="196"/>
      <c r="M1132" s="197"/>
      <c r="N1132" s="192"/>
      <c r="O1132" s="196"/>
      <c r="P1132" s="196"/>
      <c r="Q1132" s="200"/>
    </row>
    <row r="1133" spans="1:17">
      <c r="A1133" s="196"/>
      <c r="B1133" s="196"/>
      <c r="C1133" s="196"/>
      <c r="D1133" s="19"/>
      <c r="E1133" s="198"/>
      <c r="F1133" s="196"/>
      <c r="G1133" s="196"/>
      <c r="H1133" s="199"/>
      <c r="I1133" s="196"/>
      <c r="J1133" s="198"/>
      <c r="K1133" s="196"/>
      <c r="L1133" s="196"/>
      <c r="M1133" s="197"/>
      <c r="N1133" s="192"/>
      <c r="O1133" s="196"/>
      <c r="P1133" s="196"/>
      <c r="Q1133" s="200"/>
    </row>
    <row r="1134" spans="1:17">
      <c r="A1134" s="196"/>
      <c r="B1134" s="196"/>
      <c r="C1134" s="196"/>
      <c r="D1134" s="19"/>
      <c r="E1134" s="198"/>
      <c r="F1134" s="196"/>
      <c r="G1134" s="196"/>
      <c r="H1134" s="199"/>
      <c r="I1134" s="196"/>
      <c r="J1134" s="198"/>
      <c r="K1134" s="196"/>
      <c r="L1134" s="196"/>
      <c r="M1134" s="197"/>
      <c r="N1134" s="192"/>
      <c r="O1134" s="196"/>
      <c r="P1134" s="196"/>
      <c r="Q1134" s="200"/>
    </row>
    <row r="1135" spans="1:17">
      <c r="A1135" s="196"/>
      <c r="B1135" s="196"/>
      <c r="C1135" s="196"/>
      <c r="D1135" s="19"/>
      <c r="E1135" s="198"/>
      <c r="F1135" s="196"/>
      <c r="G1135" s="196"/>
      <c r="H1135" s="199"/>
      <c r="I1135" s="196"/>
      <c r="J1135" s="198"/>
      <c r="K1135" s="196"/>
      <c r="L1135" s="196"/>
      <c r="M1135" s="197"/>
      <c r="N1135" s="192"/>
      <c r="O1135" s="196"/>
      <c r="P1135" s="196"/>
      <c r="Q1135" s="200"/>
    </row>
    <row r="1136" spans="1:17">
      <c r="A1136" s="196"/>
      <c r="B1136" s="196"/>
      <c r="C1136" s="196"/>
      <c r="D1136" s="19"/>
      <c r="E1136" s="198"/>
      <c r="F1136" s="196"/>
      <c r="G1136" s="196"/>
      <c r="H1136" s="199"/>
      <c r="I1136" s="196"/>
      <c r="J1136" s="198"/>
      <c r="K1136" s="196"/>
      <c r="L1136" s="196"/>
      <c r="M1136" s="197"/>
      <c r="N1136" s="192"/>
      <c r="O1136" s="196"/>
      <c r="P1136" s="196"/>
      <c r="Q1136" s="200"/>
    </row>
    <row r="1137" spans="1:17">
      <c r="A1137" s="196"/>
      <c r="B1137" s="196"/>
      <c r="C1137" s="196"/>
      <c r="D1137" s="19"/>
      <c r="E1137" s="198"/>
      <c r="F1137" s="196"/>
      <c r="G1137" s="196"/>
      <c r="H1137" s="199"/>
      <c r="I1137" s="196"/>
      <c r="J1137" s="198"/>
      <c r="K1137" s="196"/>
      <c r="L1137" s="196"/>
      <c r="M1137" s="197"/>
      <c r="N1137" s="192"/>
      <c r="O1137" s="196"/>
      <c r="P1137" s="196"/>
      <c r="Q1137" s="200"/>
    </row>
    <row r="1138" spans="1:17">
      <c r="A1138" s="196"/>
      <c r="B1138" s="196"/>
      <c r="C1138" s="196"/>
      <c r="D1138" s="19"/>
      <c r="E1138" s="198"/>
      <c r="F1138" s="196"/>
      <c r="G1138" s="196"/>
      <c r="H1138" s="199"/>
      <c r="I1138" s="196"/>
      <c r="J1138" s="198"/>
      <c r="K1138" s="196"/>
      <c r="L1138" s="196"/>
      <c r="M1138" s="197"/>
      <c r="N1138" s="192"/>
      <c r="O1138" s="196"/>
      <c r="P1138" s="196"/>
      <c r="Q1138" s="200"/>
    </row>
    <row r="1139" spans="1:17">
      <c r="A1139" s="196"/>
      <c r="B1139" s="196"/>
      <c r="C1139" s="196"/>
      <c r="D1139" s="19"/>
      <c r="E1139" s="198"/>
      <c r="F1139" s="196"/>
      <c r="G1139" s="196"/>
      <c r="H1139" s="199"/>
      <c r="I1139" s="196"/>
      <c r="J1139" s="198"/>
      <c r="K1139" s="196"/>
      <c r="L1139" s="196"/>
      <c r="M1139" s="197"/>
      <c r="N1139" s="192"/>
      <c r="O1139" s="196"/>
      <c r="P1139" s="196"/>
      <c r="Q1139" s="200"/>
    </row>
    <row r="1140" spans="1:17">
      <c r="A1140" s="196"/>
      <c r="B1140" s="196"/>
      <c r="C1140" s="196"/>
      <c r="D1140" s="19"/>
      <c r="E1140" s="198"/>
      <c r="F1140" s="196"/>
      <c r="G1140" s="196"/>
      <c r="H1140" s="199"/>
      <c r="I1140" s="196"/>
      <c r="J1140" s="198"/>
      <c r="K1140" s="196"/>
      <c r="L1140" s="196"/>
      <c r="M1140" s="197"/>
      <c r="N1140" s="192"/>
      <c r="O1140" s="196"/>
      <c r="P1140" s="196"/>
      <c r="Q1140" s="200"/>
    </row>
    <row r="1141" spans="1:17">
      <c r="A1141" s="196"/>
      <c r="B1141" s="196"/>
      <c r="C1141" s="196"/>
      <c r="D1141" s="19"/>
      <c r="E1141" s="198"/>
      <c r="F1141" s="196"/>
      <c r="G1141" s="196"/>
      <c r="H1141" s="199"/>
      <c r="I1141" s="196"/>
      <c r="J1141" s="198"/>
      <c r="K1141" s="196"/>
      <c r="L1141" s="196"/>
      <c r="M1141" s="197"/>
      <c r="N1141" s="192"/>
      <c r="O1141" s="196"/>
      <c r="P1141" s="196"/>
      <c r="Q1141" s="200"/>
    </row>
    <row r="1142" spans="1:17">
      <c r="A1142" s="196"/>
      <c r="B1142" s="196"/>
      <c r="C1142" s="196"/>
      <c r="D1142" s="19"/>
      <c r="E1142" s="198"/>
      <c r="F1142" s="196"/>
      <c r="G1142" s="196"/>
      <c r="H1142" s="199"/>
      <c r="I1142" s="196"/>
      <c r="J1142" s="198"/>
      <c r="K1142" s="196"/>
      <c r="L1142" s="196"/>
      <c r="M1142" s="197"/>
      <c r="N1142" s="192"/>
      <c r="O1142" s="196"/>
      <c r="P1142" s="196"/>
      <c r="Q1142" s="200"/>
    </row>
    <row r="1143" spans="1:17">
      <c r="A1143" s="196"/>
      <c r="B1143" s="196"/>
      <c r="C1143" s="196"/>
      <c r="D1143" s="19"/>
      <c r="E1143" s="198"/>
      <c r="F1143" s="196"/>
      <c r="G1143" s="196"/>
      <c r="H1143" s="199"/>
      <c r="I1143" s="196"/>
      <c r="J1143" s="198"/>
      <c r="K1143" s="196"/>
      <c r="L1143" s="196"/>
      <c r="M1143" s="197"/>
      <c r="N1143" s="192"/>
      <c r="O1143" s="196"/>
      <c r="P1143" s="196"/>
      <c r="Q1143" s="200"/>
    </row>
    <row r="1144" spans="1:17">
      <c r="A1144" s="196"/>
      <c r="B1144" s="196"/>
      <c r="C1144" s="196"/>
      <c r="D1144" s="19"/>
      <c r="E1144" s="198"/>
      <c r="F1144" s="196"/>
      <c r="G1144" s="196"/>
      <c r="H1144" s="199"/>
      <c r="I1144" s="196"/>
      <c r="J1144" s="198"/>
      <c r="K1144" s="196"/>
      <c r="L1144" s="196"/>
      <c r="M1144" s="197"/>
      <c r="N1144" s="192"/>
      <c r="O1144" s="196"/>
      <c r="P1144" s="196"/>
      <c r="Q1144" s="200"/>
    </row>
    <row r="1145" spans="1:17">
      <c r="A1145" s="196"/>
      <c r="B1145" s="196"/>
      <c r="C1145" s="196"/>
      <c r="D1145" s="19"/>
      <c r="E1145" s="198"/>
      <c r="F1145" s="196"/>
      <c r="G1145" s="196"/>
      <c r="H1145" s="199"/>
      <c r="I1145" s="196"/>
      <c r="J1145" s="198"/>
      <c r="K1145" s="196"/>
      <c r="L1145" s="196"/>
      <c r="M1145" s="197"/>
      <c r="N1145" s="192"/>
      <c r="O1145" s="196"/>
      <c r="P1145" s="196"/>
      <c r="Q1145" s="200"/>
    </row>
    <row r="1146" spans="1:17">
      <c r="A1146" s="196"/>
      <c r="B1146" s="196"/>
      <c r="C1146" s="196"/>
      <c r="D1146" s="19"/>
      <c r="E1146" s="198"/>
      <c r="F1146" s="196"/>
      <c r="G1146" s="196"/>
      <c r="H1146" s="199"/>
      <c r="I1146" s="196"/>
      <c r="J1146" s="198"/>
      <c r="K1146" s="196"/>
      <c r="L1146" s="196"/>
      <c r="M1146" s="197"/>
      <c r="N1146" s="192"/>
      <c r="O1146" s="196"/>
      <c r="P1146" s="196"/>
      <c r="Q1146" s="200"/>
    </row>
    <row r="1147" spans="1:17">
      <c r="A1147" s="196"/>
      <c r="B1147" s="196"/>
      <c r="C1147" s="196"/>
      <c r="D1147" s="19"/>
      <c r="E1147" s="198"/>
      <c r="F1147" s="196"/>
      <c r="G1147" s="196"/>
      <c r="H1147" s="199"/>
      <c r="I1147" s="196"/>
      <c r="J1147" s="198"/>
      <c r="K1147" s="196"/>
      <c r="L1147" s="196"/>
      <c r="M1147" s="197"/>
      <c r="N1147" s="192"/>
      <c r="O1147" s="196"/>
      <c r="P1147" s="196"/>
      <c r="Q1147" s="200"/>
    </row>
    <row r="1148" spans="1:17">
      <c r="A1148" s="196"/>
      <c r="B1148" s="196"/>
      <c r="C1148" s="196"/>
      <c r="D1148" s="19"/>
      <c r="E1148" s="198"/>
      <c r="F1148" s="196"/>
      <c r="G1148" s="196"/>
      <c r="H1148" s="199"/>
      <c r="I1148" s="196"/>
      <c r="J1148" s="198"/>
      <c r="K1148" s="196"/>
      <c r="L1148" s="196"/>
      <c r="M1148" s="197"/>
      <c r="N1148" s="192"/>
      <c r="O1148" s="196"/>
      <c r="P1148" s="196"/>
      <c r="Q1148" s="200"/>
    </row>
    <row r="1149" spans="1:17">
      <c r="A1149" s="196"/>
      <c r="B1149" s="196"/>
      <c r="C1149" s="196"/>
      <c r="D1149" s="19"/>
      <c r="E1149" s="198"/>
      <c r="F1149" s="196"/>
      <c r="G1149" s="196"/>
      <c r="H1149" s="199"/>
      <c r="I1149" s="196"/>
      <c r="J1149" s="198"/>
      <c r="K1149" s="196"/>
      <c r="L1149" s="196"/>
      <c r="M1149" s="197"/>
      <c r="N1149" s="192"/>
      <c r="O1149" s="196"/>
      <c r="P1149" s="196"/>
      <c r="Q1149" s="200"/>
    </row>
    <row r="1150" spans="1:17">
      <c r="A1150" s="196"/>
      <c r="B1150" s="196"/>
      <c r="C1150" s="196"/>
      <c r="D1150" s="19"/>
      <c r="E1150" s="198"/>
      <c r="F1150" s="196"/>
      <c r="G1150" s="196"/>
      <c r="H1150" s="199"/>
      <c r="I1150" s="196"/>
      <c r="J1150" s="198"/>
      <c r="K1150" s="196"/>
      <c r="L1150" s="196"/>
      <c r="M1150" s="197"/>
      <c r="N1150" s="192"/>
      <c r="O1150" s="196"/>
      <c r="P1150" s="196"/>
      <c r="Q1150" s="200"/>
    </row>
    <row r="1151" spans="1:17">
      <c r="A1151" s="196"/>
      <c r="B1151" s="196"/>
      <c r="C1151" s="196"/>
      <c r="D1151" s="19"/>
      <c r="E1151" s="198"/>
      <c r="F1151" s="196"/>
      <c r="G1151" s="196"/>
      <c r="H1151" s="199"/>
      <c r="I1151" s="196"/>
      <c r="J1151" s="198"/>
      <c r="K1151" s="196"/>
      <c r="L1151" s="196"/>
      <c r="M1151" s="197"/>
      <c r="N1151" s="192"/>
      <c r="O1151" s="196"/>
      <c r="P1151" s="196"/>
      <c r="Q1151" s="200"/>
    </row>
    <row r="1152" spans="1:17">
      <c r="A1152" s="196"/>
      <c r="B1152" s="196"/>
      <c r="C1152" s="196"/>
      <c r="D1152" s="19"/>
      <c r="E1152" s="198"/>
      <c r="F1152" s="196"/>
      <c r="G1152" s="196"/>
      <c r="H1152" s="199"/>
      <c r="I1152" s="196"/>
      <c r="J1152" s="198"/>
      <c r="K1152" s="196"/>
      <c r="L1152" s="196"/>
      <c r="M1152" s="197"/>
      <c r="N1152" s="192"/>
      <c r="O1152" s="196"/>
      <c r="P1152" s="196"/>
      <c r="Q1152" s="200"/>
    </row>
    <row r="1153" spans="1:17">
      <c r="A1153" s="196"/>
      <c r="B1153" s="196"/>
      <c r="C1153" s="196"/>
      <c r="D1153" s="19"/>
      <c r="E1153" s="198"/>
      <c r="F1153" s="196"/>
      <c r="G1153" s="196"/>
      <c r="H1153" s="199"/>
      <c r="I1153" s="196"/>
      <c r="J1153" s="198"/>
      <c r="K1153" s="196"/>
      <c r="L1153" s="196"/>
      <c r="M1153" s="197"/>
      <c r="N1153" s="192"/>
      <c r="O1153" s="196"/>
      <c r="P1153" s="196"/>
      <c r="Q1153" s="200"/>
    </row>
    <row r="1154" spans="1:17">
      <c r="A1154" s="196"/>
      <c r="B1154" s="196"/>
      <c r="C1154" s="196"/>
      <c r="D1154" s="19"/>
      <c r="E1154" s="198"/>
      <c r="F1154" s="196"/>
      <c r="G1154" s="196"/>
      <c r="H1154" s="199"/>
      <c r="I1154" s="196"/>
      <c r="J1154" s="198"/>
      <c r="K1154" s="196"/>
      <c r="L1154" s="196"/>
      <c r="M1154" s="197"/>
      <c r="N1154" s="192"/>
      <c r="O1154" s="196"/>
      <c r="P1154" s="196"/>
      <c r="Q1154" s="200"/>
    </row>
    <row r="1155" spans="1:17">
      <c r="A1155" s="196"/>
      <c r="B1155" s="196"/>
      <c r="C1155" s="196"/>
      <c r="D1155" s="19"/>
      <c r="E1155" s="198"/>
      <c r="F1155" s="196"/>
      <c r="G1155" s="196"/>
      <c r="H1155" s="199"/>
      <c r="I1155" s="196"/>
      <c r="J1155" s="198"/>
      <c r="K1155" s="196"/>
      <c r="L1155" s="196"/>
      <c r="M1155" s="197"/>
      <c r="N1155" s="192"/>
      <c r="O1155" s="196"/>
      <c r="P1155" s="196"/>
      <c r="Q1155" s="200"/>
    </row>
    <row r="1156" spans="1:17">
      <c r="A1156" s="196"/>
      <c r="B1156" s="196"/>
      <c r="C1156" s="196"/>
      <c r="D1156" s="19"/>
      <c r="E1156" s="198"/>
      <c r="F1156" s="196"/>
      <c r="G1156" s="196"/>
      <c r="H1156" s="199"/>
      <c r="I1156" s="196"/>
      <c r="J1156" s="198"/>
      <c r="K1156" s="196"/>
      <c r="L1156" s="196"/>
      <c r="M1156" s="197"/>
      <c r="N1156" s="192"/>
      <c r="O1156" s="196"/>
      <c r="P1156" s="196"/>
      <c r="Q1156" s="200"/>
    </row>
    <row r="1157" spans="1:17">
      <c r="A1157" s="196"/>
      <c r="B1157" s="196"/>
      <c r="C1157" s="196"/>
      <c r="D1157" s="19"/>
      <c r="E1157" s="198"/>
      <c r="F1157" s="196"/>
      <c r="G1157" s="196"/>
      <c r="H1157" s="199"/>
      <c r="I1157" s="196"/>
      <c r="J1157" s="198"/>
      <c r="K1157" s="196"/>
      <c r="L1157" s="196"/>
      <c r="M1157" s="197"/>
      <c r="N1157" s="192"/>
      <c r="O1157" s="196"/>
      <c r="P1157" s="196"/>
      <c r="Q1157" s="200"/>
    </row>
    <row r="1158" spans="1:17">
      <c r="A1158" s="196"/>
      <c r="B1158" s="196"/>
      <c r="C1158" s="196"/>
      <c r="D1158" s="19"/>
      <c r="E1158" s="198"/>
      <c r="F1158" s="196"/>
      <c r="G1158" s="196"/>
      <c r="H1158" s="199"/>
      <c r="I1158" s="196"/>
      <c r="J1158" s="198"/>
      <c r="K1158" s="196"/>
      <c r="L1158" s="196"/>
      <c r="M1158" s="197"/>
      <c r="N1158" s="192"/>
      <c r="O1158" s="196"/>
      <c r="P1158" s="196"/>
      <c r="Q1158" s="200"/>
    </row>
    <row r="1159" spans="1:17">
      <c r="A1159" s="196"/>
      <c r="B1159" s="196"/>
      <c r="C1159" s="196"/>
      <c r="D1159" s="19"/>
      <c r="E1159" s="198"/>
      <c r="F1159" s="196"/>
      <c r="G1159" s="196"/>
      <c r="H1159" s="199"/>
      <c r="I1159" s="196"/>
      <c r="J1159" s="198"/>
      <c r="K1159" s="196"/>
      <c r="L1159" s="196"/>
      <c r="M1159" s="197"/>
      <c r="N1159" s="192"/>
      <c r="O1159" s="196"/>
      <c r="P1159" s="196"/>
      <c r="Q1159" s="200"/>
    </row>
    <row r="1160" spans="1:17">
      <c r="A1160" s="196"/>
      <c r="B1160" s="196"/>
      <c r="C1160" s="196"/>
      <c r="D1160" s="19"/>
      <c r="E1160" s="198"/>
      <c r="F1160" s="196"/>
      <c r="G1160" s="196"/>
      <c r="H1160" s="199"/>
      <c r="I1160" s="196"/>
      <c r="J1160" s="198"/>
      <c r="K1160" s="196"/>
      <c r="L1160" s="196"/>
      <c r="M1160" s="197"/>
      <c r="N1160" s="192"/>
      <c r="O1160" s="196"/>
      <c r="P1160" s="196"/>
      <c r="Q1160" s="200"/>
    </row>
    <row r="1161" spans="1:17">
      <c r="A1161" s="196"/>
      <c r="B1161" s="196"/>
      <c r="C1161" s="196"/>
      <c r="D1161" s="19"/>
      <c r="E1161" s="198"/>
      <c r="F1161" s="196"/>
      <c r="G1161" s="196"/>
      <c r="H1161" s="199"/>
      <c r="I1161" s="196"/>
      <c r="J1161" s="198"/>
      <c r="K1161" s="196"/>
      <c r="L1161" s="196"/>
      <c r="M1161" s="197"/>
      <c r="N1161" s="192"/>
      <c r="O1161" s="196"/>
      <c r="P1161" s="196"/>
      <c r="Q1161" s="200"/>
    </row>
    <row r="1162" spans="1:17">
      <c r="A1162" s="196"/>
      <c r="B1162" s="196"/>
      <c r="C1162" s="196"/>
      <c r="D1162" s="19"/>
      <c r="E1162" s="198"/>
      <c r="F1162" s="196"/>
      <c r="G1162" s="196"/>
      <c r="H1162" s="199"/>
      <c r="I1162" s="196"/>
      <c r="J1162" s="198"/>
      <c r="K1162" s="196"/>
      <c r="L1162" s="196"/>
      <c r="M1162" s="197"/>
      <c r="N1162" s="192"/>
      <c r="O1162" s="196"/>
      <c r="P1162" s="196"/>
      <c r="Q1162" s="200"/>
    </row>
    <row r="1163" spans="1:17">
      <c r="A1163" s="196"/>
      <c r="B1163" s="196"/>
      <c r="C1163" s="196"/>
      <c r="D1163" s="19"/>
      <c r="E1163" s="198"/>
      <c r="F1163" s="196"/>
      <c r="G1163" s="196"/>
      <c r="H1163" s="199"/>
      <c r="I1163" s="196"/>
      <c r="J1163" s="198"/>
      <c r="K1163" s="196"/>
      <c r="L1163" s="196"/>
      <c r="M1163" s="197"/>
      <c r="N1163" s="192"/>
      <c r="O1163" s="196"/>
      <c r="P1163" s="196"/>
      <c r="Q1163" s="200"/>
    </row>
    <row r="1164" spans="1:17">
      <c r="A1164" s="196"/>
      <c r="B1164" s="196"/>
      <c r="C1164" s="196"/>
      <c r="D1164" s="19"/>
      <c r="E1164" s="198"/>
      <c r="F1164" s="196"/>
      <c r="G1164" s="196"/>
      <c r="H1164" s="199"/>
      <c r="I1164" s="196"/>
      <c r="J1164" s="198"/>
      <c r="K1164" s="196"/>
      <c r="L1164" s="196"/>
      <c r="M1164" s="197"/>
      <c r="N1164" s="192"/>
      <c r="O1164" s="196"/>
      <c r="P1164" s="196"/>
      <c r="Q1164" s="200"/>
    </row>
    <row r="1165" spans="1:17">
      <c r="A1165" s="196"/>
      <c r="B1165" s="196"/>
      <c r="C1165" s="196"/>
      <c r="D1165" s="19"/>
      <c r="E1165" s="198"/>
      <c r="F1165" s="196"/>
      <c r="G1165" s="196"/>
      <c r="H1165" s="199"/>
      <c r="I1165" s="196"/>
      <c r="J1165" s="198"/>
      <c r="K1165" s="196"/>
      <c r="L1165" s="196"/>
      <c r="M1165" s="197"/>
      <c r="N1165" s="192"/>
      <c r="O1165" s="196"/>
      <c r="P1165" s="196"/>
      <c r="Q1165" s="200"/>
    </row>
    <row r="1166" spans="1:17">
      <c r="A1166" s="196"/>
      <c r="B1166" s="196"/>
      <c r="C1166" s="196"/>
      <c r="D1166" s="19"/>
      <c r="E1166" s="198"/>
      <c r="F1166" s="196"/>
      <c r="G1166" s="196"/>
      <c r="H1166" s="199"/>
      <c r="I1166" s="196"/>
      <c r="J1166" s="198"/>
      <c r="K1166" s="196"/>
      <c r="L1166" s="196"/>
      <c r="M1166" s="197"/>
      <c r="N1166" s="192"/>
      <c r="O1166" s="196"/>
      <c r="P1166" s="196"/>
      <c r="Q1166" s="200"/>
    </row>
    <row r="1167" spans="1:17">
      <c r="A1167" s="196"/>
      <c r="B1167" s="196"/>
      <c r="C1167" s="196"/>
      <c r="D1167" s="19"/>
      <c r="E1167" s="198"/>
      <c r="F1167" s="196"/>
      <c r="G1167" s="196"/>
      <c r="H1167" s="199"/>
      <c r="I1167" s="196"/>
      <c r="J1167" s="198"/>
      <c r="K1167" s="196"/>
      <c r="L1167" s="196"/>
      <c r="M1167" s="197"/>
      <c r="N1167" s="192"/>
      <c r="O1167" s="196"/>
      <c r="P1167" s="196"/>
      <c r="Q1167" s="200"/>
    </row>
    <row r="1168" spans="1:17">
      <c r="A1168" s="196"/>
      <c r="B1168" s="196"/>
      <c r="C1168" s="196"/>
      <c r="D1168" s="19"/>
      <c r="E1168" s="198"/>
      <c r="F1168" s="196"/>
      <c r="G1168" s="196"/>
      <c r="H1168" s="199"/>
      <c r="I1168" s="196"/>
      <c r="J1168" s="198"/>
      <c r="K1168" s="196"/>
      <c r="L1168" s="196"/>
      <c r="M1168" s="197"/>
      <c r="N1168" s="192"/>
      <c r="O1168" s="196"/>
      <c r="P1168" s="196"/>
      <c r="Q1168" s="200"/>
    </row>
    <row r="1169" spans="1:17">
      <c r="A1169" s="196"/>
      <c r="B1169" s="196"/>
      <c r="C1169" s="196"/>
      <c r="D1169" s="19"/>
      <c r="E1169" s="198"/>
      <c r="F1169" s="196"/>
      <c r="G1169" s="196"/>
      <c r="H1169" s="199"/>
      <c r="I1169" s="196"/>
      <c r="J1169" s="198"/>
      <c r="K1169" s="196"/>
      <c r="L1169" s="196"/>
      <c r="M1169" s="197"/>
      <c r="N1169" s="192"/>
      <c r="O1169" s="196"/>
      <c r="P1169" s="196"/>
      <c r="Q1169" s="200"/>
    </row>
    <row r="1170" spans="1:17">
      <c r="A1170" s="196"/>
      <c r="B1170" s="196"/>
      <c r="C1170" s="196"/>
      <c r="D1170" s="19"/>
      <c r="E1170" s="198"/>
      <c r="F1170" s="196"/>
      <c r="G1170" s="196"/>
      <c r="H1170" s="199"/>
      <c r="I1170" s="196"/>
      <c r="J1170" s="198"/>
      <c r="K1170" s="196"/>
      <c r="L1170" s="196"/>
      <c r="M1170" s="197"/>
      <c r="N1170" s="192"/>
      <c r="O1170" s="196"/>
      <c r="P1170" s="196"/>
      <c r="Q1170" s="200"/>
    </row>
    <row r="1171" spans="1:17">
      <c r="A1171" s="196"/>
      <c r="B1171" s="196"/>
      <c r="C1171" s="196"/>
      <c r="D1171" s="19"/>
      <c r="E1171" s="198"/>
      <c r="F1171" s="196"/>
      <c r="G1171" s="196"/>
      <c r="H1171" s="199"/>
      <c r="I1171" s="196"/>
      <c r="J1171" s="198"/>
      <c r="K1171" s="196"/>
      <c r="L1171" s="196"/>
      <c r="M1171" s="197"/>
      <c r="N1171" s="192"/>
      <c r="O1171" s="196"/>
      <c r="P1171" s="196"/>
      <c r="Q1171" s="200"/>
    </row>
    <row r="1172" spans="1:17">
      <c r="A1172" s="196"/>
      <c r="B1172" s="196"/>
      <c r="C1172" s="196"/>
      <c r="D1172" s="19"/>
      <c r="E1172" s="198"/>
      <c r="F1172" s="196"/>
      <c r="G1172" s="196"/>
      <c r="H1172" s="199"/>
      <c r="I1172" s="196"/>
      <c r="J1172" s="198"/>
      <c r="K1172" s="196"/>
      <c r="L1172" s="196"/>
      <c r="M1172" s="197"/>
      <c r="N1172" s="192"/>
      <c r="O1172" s="196"/>
      <c r="P1172" s="196"/>
      <c r="Q1172" s="200"/>
    </row>
    <row r="1173" spans="1:17">
      <c r="A1173" s="196"/>
      <c r="B1173" s="196"/>
      <c r="C1173" s="196"/>
      <c r="D1173" s="19"/>
      <c r="E1173" s="198"/>
      <c r="F1173" s="196"/>
      <c r="G1173" s="196"/>
      <c r="H1173" s="199"/>
      <c r="I1173" s="196"/>
      <c r="J1173" s="198"/>
      <c r="K1173" s="196"/>
      <c r="L1173" s="196"/>
      <c r="M1173" s="197"/>
      <c r="N1173" s="192"/>
      <c r="O1173" s="196"/>
      <c r="P1173" s="196"/>
      <c r="Q1173" s="200"/>
    </row>
    <row r="1174" spans="1:17">
      <c r="A1174" s="196"/>
      <c r="B1174" s="196"/>
      <c r="C1174" s="196"/>
      <c r="D1174" s="19"/>
      <c r="E1174" s="198"/>
      <c r="F1174" s="196"/>
      <c r="G1174" s="196"/>
      <c r="H1174" s="199"/>
      <c r="I1174" s="196"/>
      <c r="J1174" s="198"/>
      <c r="K1174" s="196"/>
      <c r="L1174" s="196"/>
      <c r="M1174" s="197"/>
      <c r="N1174" s="192"/>
      <c r="O1174" s="196"/>
      <c r="P1174" s="196"/>
      <c r="Q1174" s="200"/>
    </row>
    <row r="1175" spans="1:17">
      <c r="A1175" s="196"/>
      <c r="B1175" s="196"/>
      <c r="C1175" s="196"/>
      <c r="D1175" s="19"/>
      <c r="E1175" s="198"/>
      <c r="F1175" s="196"/>
      <c r="G1175" s="196"/>
      <c r="H1175" s="199"/>
      <c r="I1175" s="196"/>
      <c r="J1175" s="198"/>
      <c r="K1175" s="196"/>
      <c r="L1175" s="196"/>
      <c r="M1175" s="197"/>
      <c r="N1175" s="192"/>
      <c r="O1175" s="196"/>
      <c r="P1175" s="196"/>
      <c r="Q1175" s="200"/>
    </row>
    <row r="1176" spans="1:17">
      <c r="A1176" s="196"/>
      <c r="B1176" s="196"/>
      <c r="C1176" s="196"/>
      <c r="D1176" s="19"/>
      <c r="E1176" s="198"/>
      <c r="F1176" s="196"/>
      <c r="G1176" s="196"/>
      <c r="H1176" s="199"/>
      <c r="I1176" s="196"/>
      <c r="J1176" s="198"/>
      <c r="K1176" s="196"/>
      <c r="L1176" s="196"/>
      <c r="M1176" s="197"/>
      <c r="N1176" s="192"/>
      <c r="O1176" s="196"/>
      <c r="P1176" s="196"/>
      <c r="Q1176" s="200"/>
    </row>
    <row r="1177" spans="1:17">
      <c r="A1177" s="196"/>
      <c r="B1177" s="196"/>
      <c r="C1177" s="196"/>
      <c r="D1177" s="19"/>
      <c r="E1177" s="198"/>
      <c r="F1177" s="196"/>
      <c r="G1177" s="196"/>
      <c r="H1177" s="199"/>
      <c r="I1177" s="196"/>
      <c r="J1177" s="198"/>
      <c r="K1177" s="196"/>
      <c r="L1177" s="196"/>
      <c r="M1177" s="197"/>
      <c r="N1177" s="192"/>
      <c r="O1177" s="196"/>
      <c r="P1177" s="196"/>
      <c r="Q1177" s="200"/>
    </row>
    <row r="1178" spans="1:17">
      <c r="A1178" s="196"/>
      <c r="B1178" s="196"/>
      <c r="C1178" s="196"/>
      <c r="D1178" s="19"/>
      <c r="E1178" s="198"/>
      <c r="F1178" s="196"/>
      <c r="G1178" s="196"/>
      <c r="H1178" s="199"/>
      <c r="I1178" s="196"/>
      <c r="J1178" s="198"/>
      <c r="K1178" s="196"/>
      <c r="L1178" s="196"/>
      <c r="M1178" s="197"/>
      <c r="N1178" s="192"/>
      <c r="O1178" s="196"/>
      <c r="P1178" s="196"/>
      <c r="Q1178" s="200"/>
    </row>
    <row r="1179" spans="1:17">
      <c r="A1179" s="196"/>
      <c r="B1179" s="196"/>
      <c r="C1179" s="196"/>
      <c r="D1179" s="19"/>
      <c r="E1179" s="198"/>
      <c r="F1179" s="196"/>
      <c r="G1179" s="196"/>
      <c r="H1179" s="199"/>
      <c r="I1179" s="196"/>
      <c r="J1179" s="198"/>
      <c r="K1179" s="196"/>
      <c r="L1179" s="196"/>
      <c r="M1179" s="197"/>
      <c r="N1179" s="192"/>
      <c r="O1179" s="196"/>
      <c r="P1179" s="196"/>
      <c r="Q1179" s="200"/>
    </row>
    <row r="1180" spans="1:17">
      <c r="A1180" s="196"/>
      <c r="B1180" s="196"/>
      <c r="C1180" s="196"/>
      <c r="D1180" s="19"/>
      <c r="E1180" s="198"/>
      <c r="F1180" s="196"/>
      <c r="G1180" s="196"/>
      <c r="H1180" s="199"/>
      <c r="I1180" s="196"/>
      <c r="J1180" s="198"/>
      <c r="K1180" s="196"/>
      <c r="L1180" s="196"/>
      <c r="M1180" s="197"/>
      <c r="N1180" s="192"/>
      <c r="O1180" s="196"/>
      <c r="P1180" s="196"/>
      <c r="Q1180" s="200"/>
    </row>
    <row r="1181" spans="1:17">
      <c r="A1181" s="196"/>
      <c r="B1181" s="196"/>
      <c r="C1181" s="196"/>
      <c r="D1181" s="19"/>
      <c r="E1181" s="198"/>
      <c r="F1181" s="196"/>
      <c r="G1181" s="196"/>
      <c r="H1181" s="199"/>
      <c r="I1181" s="196"/>
      <c r="J1181" s="198"/>
      <c r="K1181" s="196"/>
      <c r="L1181" s="196"/>
      <c r="M1181" s="197"/>
      <c r="N1181" s="192"/>
      <c r="O1181" s="196"/>
      <c r="P1181" s="196"/>
      <c r="Q1181" s="200"/>
    </row>
    <row r="1182" spans="1:17">
      <c r="A1182" s="196"/>
      <c r="B1182" s="196"/>
      <c r="C1182" s="196"/>
      <c r="D1182" s="19"/>
      <c r="E1182" s="198"/>
      <c r="F1182" s="196"/>
      <c r="G1182" s="196"/>
      <c r="H1182" s="199"/>
      <c r="I1182" s="196"/>
      <c r="J1182" s="198"/>
      <c r="K1182" s="196"/>
      <c r="L1182" s="196"/>
      <c r="M1182" s="197"/>
      <c r="N1182" s="192"/>
      <c r="O1182" s="196"/>
      <c r="P1182" s="196"/>
      <c r="Q1182" s="200"/>
    </row>
    <row r="1183" spans="1:17">
      <c r="A1183" s="196"/>
      <c r="B1183" s="196"/>
      <c r="C1183" s="196"/>
      <c r="D1183" s="19"/>
      <c r="E1183" s="198"/>
      <c r="F1183" s="196"/>
      <c r="G1183" s="196"/>
      <c r="H1183" s="199"/>
      <c r="I1183" s="196"/>
      <c r="J1183" s="198"/>
      <c r="K1183" s="196"/>
      <c r="L1183" s="196"/>
      <c r="M1183" s="197"/>
      <c r="N1183" s="192"/>
      <c r="O1183" s="196"/>
      <c r="P1183" s="196"/>
      <c r="Q1183" s="200"/>
    </row>
  </sheetData>
  <autoFilter ref="A1:AL452" xr:uid="{00000000-0009-0000-0000-000001000000}">
    <sortState xmlns:xlrd2="http://schemas.microsoft.com/office/spreadsheetml/2017/richdata2" ref="A418:AL434">
      <sortCondition ref="J1:J433"/>
    </sortState>
  </autoFilter>
  <customSheetViews>
    <customSheetView guid="{B8395210-8313-483B-ACF6-3232181FCA36}" filter="1" showAutoFilter="1">
      <pageMargins left="0.7" right="0.7" top="0.75" bottom="0.75" header="0.3" footer="0.3"/>
      <autoFilter ref="A1:Q1203" xr:uid="{71C46255-7B06-4C63-A05A-C37B84FA273F}"/>
    </customSheetView>
  </customSheetViews>
  <phoneticPr fontId="21" type="noConversion"/>
  <conditionalFormatting sqref="D415:D428 D1:D37 D87:D311 D330 D339:D352 D354:D366 D368:D374 D376:D413 D430:D440 D442:D452 D454:D1048576">
    <cfRule type="duplicateValues" dxfId="119" priority="72"/>
  </conditionalFormatting>
  <conditionalFormatting sqref="D415:D428 D1:D311 D330 D339:D352 D354:D366 D368:D374 D376:D413 D430:D440 D442:D452 D454:D1048576">
    <cfRule type="duplicateValues" dxfId="118" priority="69"/>
  </conditionalFormatting>
  <conditionalFormatting sqref="D367">
    <cfRule type="duplicateValues" dxfId="117" priority="61"/>
    <cfRule type="duplicateValues" dxfId="116" priority="62"/>
  </conditionalFormatting>
  <conditionalFormatting sqref="K1:K352 K354:K1048576">
    <cfRule type="containsText" dxfId="115" priority="70" operator="containsText" text="Hết hiệu lực">
      <formula>NOT(ISERROR(SEARCH("Hết hiệu lực",K1)))</formula>
    </cfRule>
  </conditionalFormatting>
  <conditionalFormatting sqref="M90">
    <cfRule type="duplicateValues" dxfId="114" priority="71"/>
  </conditionalFormatting>
  <conditionalFormatting sqref="M339:M345">
    <cfRule type="duplicateValues" dxfId="113" priority="67"/>
    <cfRule type="duplicateValues" dxfId="112" priority="68"/>
  </conditionalFormatting>
  <conditionalFormatting sqref="M347">
    <cfRule type="duplicateValues" dxfId="111" priority="65"/>
    <cfRule type="duplicateValues" dxfId="110" priority="66"/>
  </conditionalFormatting>
  <conditionalFormatting sqref="M348">
    <cfRule type="duplicateValues" dxfId="109" priority="63"/>
    <cfRule type="duplicateValues" dxfId="108" priority="64"/>
  </conditionalFormatting>
  <conditionalFormatting sqref="M405:M411">
    <cfRule type="duplicateValues" dxfId="107" priority="31"/>
    <cfRule type="duplicateValues" dxfId="106" priority="32"/>
  </conditionalFormatting>
  <conditionalFormatting sqref="M413 M415:M417">
    <cfRule type="duplicateValues" dxfId="105" priority="25"/>
    <cfRule type="duplicateValues" dxfId="104" priority="26"/>
  </conditionalFormatting>
  <conditionalFormatting sqref="M418">
    <cfRule type="duplicateValues" dxfId="103" priority="23"/>
    <cfRule type="duplicateValues" dxfId="102" priority="24"/>
  </conditionalFormatting>
  <conditionalFormatting sqref="M421:M428 M430:M433">
    <cfRule type="duplicateValues" dxfId="101" priority="21"/>
    <cfRule type="duplicateValues" dxfId="100" priority="22"/>
  </conditionalFormatting>
  <conditionalFormatting sqref="M434">
    <cfRule type="duplicateValues" dxfId="99" priority="19"/>
    <cfRule type="duplicateValues" dxfId="98" priority="20"/>
  </conditionalFormatting>
  <conditionalFormatting sqref="M436">
    <cfRule type="duplicateValues" dxfId="97" priority="17"/>
    <cfRule type="duplicateValues" dxfId="96" priority="18"/>
  </conditionalFormatting>
  <conditionalFormatting sqref="M437">
    <cfRule type="duplicateValues" dxfId="95" priority="15"/>
    <cfRule type="duplicateValues" dxfId="94" priority="16"/>
  </conditionalFormatting>
  <conditionalFormatting sqref="M438">
    <cfRule type="duplicateValues" dxfId="93" priority="13"/>
    <cfRule type="duplicateValues" dxfId="92" priority="14"/>
  </conditionalFormatting>
  <conditionalFormatting sqref="M440">
    <cfRule type="duplicateValues" dxfId="91" priority="11"/>
    <cfRule type="duplicateValues" dxfId="90" priority="12"/>
  </conditionalFormatting>
  <conditionalFormatting sqref="M442">
    <cfRule type="duplicateValues" dxfId="89" priority="9"/>
    <cfRule type="duplicateValues" dxfId="88" priority="10"/>
  </conditionalFormatting>
  <conditionalFormatting sqref="M443:M448">
    <cfRule type="duplicateValues" dxfId="87" priority="7"/>
    <cfRule type="duplicateValues" dxfId="86" priority="8"/>
  </conditionalFormatting>
  <conditionalFormatting sqref="M450">
    <cfRule type="duplicateValues" dxfId="85" priority="3"/>
    <cfRule type="duplicateValues" dxfId="84" priority="4"/>
  </conditionalFormatting>
  <conditionalFormatting sqref="M452">
    <cfRule type="duplicateValues" dxfId="83" priority="1"/>
    <cfRule type="duplicateValues" dxfId="82" priority="2"/>
  </conditionalFormatting>
  <conditionalFormatting sqref="M360:M404">
    <cfRule type="duplicateValues" dxfId="1" priority="238"/>
    <cfRule type="duplicateValues" dxfId="0" priority="239"/>
  </conditionalFormatting>
  <dataValidations count="4">
    <dataValidation type="list" allowBlank="1" sqref="I2:I264" xr:uid="{00000000-0002-0000-0100-000000000000}">
      <formula1>"BCH Trung ương Đảng,BHXH,Bộ Công an,Bộ GD&amp;ĐT,Bộ LĐTB&amp;XH,Bộ Nội vụ,Bộ Tài chính,Bộ Tư pháp,Bộ Xây dựng,Chính phủ,Cục Thuế Hà Nội,Quốc hội,Tổng cục Thuế,UBND thành phố Hà Nội,Ủy ban Kiểm tra Trung ương,Văn phòng Chính phủ,Cục Quản lý chất lượng,TLĐ Lao động"&amp;" Việt Nam,Bộ KHCN,Bộ Chính trị,Bộ VHTT&amp;DL"</formula1>
    </dataValidation>
    <dataValidation type="list" allowBlank="1" showErrorMessage="1" sqref="K1:K352 K354:K1048576" xr:uid="{00000000-0002-0000-0100-000001000000}">
      <formula1>"Còn hiệu lực,Hết hiệu lực"</formula1>
    </dataValidation>
    <dataValidation type="list" allowBlank="1" showInputMessage="1" showErrorMessage="1" sqref="C1:C352 C354:C1048576" xr:uid="{00000000-0002-0000-0100-000002000000}">
      <formula1>"TS, ĐT, CTSV, NCKH, HTPT, TCNS, KHTC, HCTH, CSVC, CNTT, TTPC, ĐBCL, TCXB, TT&amp;QTTH, TCCB, XTĐT, GDTC&amp;TT, CVP, ĐU"</formula1>
    </dataValidation>
    <dataValidation type="list" allowBlank="1" sqref="I346:I348 D331:D333 D335 D337:D338 M335 M337:M338 F1:F352 M331:M333 F354:F1048576" xr:uid="{00000000-0002-0000-0100-000003000000}">
      <formula1>"Quyết định, Thông tư, Công văn, Nghị định, Nghị quyết, Chỉ thị, Thông báo, Công điện, Hướng dẫn, Kế hoạch, Luật, Văn bản hợp nhất, Kết luận, Quy định"</formula1>
    </dataValidation>
  </dataValidations>
  <hyperlinks>
    <hyperlink ref="M5" r:id="rId1" xr:uid="{00000000-0004-0000-0100-000000000000}"/>
    <hyperlink ref="M25" r:id="rId2" xr:uid="{00000000-0004-0000-0100-000001000000}"/>
    <hyperlink ref="M27" r:id="rId3" xr:uid="{00000000-0004-0000-0100-000002000000}"/>
    <hyperlink ref="M28" r:id="rId4" xr:uid="{00000000-0004-0000-0100-000003000000}"/>
    <hyperlink ref="M29" r:id="rId5" xr:uid="{00000000-0004-0000-0100-000004000000}"/>
    <hyperlink ref="M30" r:id="rId6" xr:uid="{00000000-0004-0000-0100-000005000000}"/>
    <hyperlink ref="M31" r:id="rId7" xr:uid="{00000000-0004-0000-0100-000006000000}"/>
    <hyperlink ref="M32" r:id="rId8" xr:uid="{00000000-0004-0000-0100-000007000000}"/>
    <hyperlink ref="M33" r:id="rId9" xr:uid="{00000000-0004-0000-0100-000008000000}"/>
    <hyperlink ref="M34" r:id="rId10" xr:uid="{00000000-0004-0000-0100-000009000000}"/>
    <hyperlink ref="M35" r:id="rId11" xr:uid="{00000000-0004-0000-0100-00000A000000}"/>
    <hyperlink ref="M36" r:id="rId12" xr:uid="{00000000-0004-0000-0100-00000B000000}"/>
    <hyperlink ref="M38" r:id="rId13" xr:uid="{00000000-0004-0000-0100-00000C000000}"/>
    <hyperlink ref="M39" r:id="rId14" xr:uid="{00000000-0004-0000-0100-00000D000000}"/>
    <hyperlink ref="M40" r:id="rId15" xr:uid="{00000000-0004-0000-0100-00000E000000}"/>
    <hyperlink ref="M41" r:id="rId16" xr:uid="{00000000-0004-0000-0100-00000F000000}"/>
    <hyperlink ref="M42" r:id="rId17" xr:uid="{00000000-0004-0000-0100-000010000000}"/>
    <hyperlink ref="M43" r:id="rId18" xr:uid="{00000000-0004-0000-0100-000011000000}"/>
    <hyperlink ref="M44" r:id="rId19" xr:uid="{00000000-0004-0000-0100-000012000000}"/>
    <hyperlink ref="M45" r:id="rId20" xr:uid="{00000000-0004-0000-0100-000013000000}"/>
    <hyperlink ref="M46" r:id="rId21" xr:uid="{00000000-0004-0000-0100-000014000000}"/>
    <hyperlink ref="M47" r:id="rId22" xr:uid="{00000000-0004-0000-0100-000015000000}"/>
    <hyperlink ref="M48" r:id="rId23" xr:uid="{00000000-0004-0000-0100-000016000000}"/>
    <hyperlink ref="M49" r:id="rId24" xr:uid="{00000000-0004-0000-0100-000017000000}"/>
    <hyperlink ref="M50" r:id="rId25" xr:uid="{00000000-0004-0000-0100-000018000000}"/>
    <hyperlink ref="M51" r:id="rId26" xr:uid="{00000000-0004-0000-0100-000019000000}"/>
    <hyperlink ref="M52" r:id="rId27" xr:uid="{00000000-0004-0000-0100-00001A000000}"/>
    <hyperlink ref="M53" r:id="rId28" xr:uid="{00000000-0004-0000-0100-00001B000000}"/>
    <hyperlink ref="M54" r:id="rId29" xr:uid="{00000000-0004-0000-0100-00001C000000}"/>
    <hyperlink ref="M55" r:id="rId30" xr:uid="{00000000-0004-0000-0100-00001D000000}"/>
    <hyperlink ref="M56" r:id="rId31" xr:uid="{00000000-0004-0000-0100-00001E000000}"/>
    <hyperlink ref="M57" r:id="rId32" xr:uid="{00000000-0004-0000-0100-00001F000000}"/>
    <hyperlink ref="M58" r:id="rId33" xr:uid="{00000000-0004-0000-0100-000020000000}"/>
    <hyperlink ref="M59" r:id="rId34" xr:uid="{00000000-0004-0000-0100-000021000000}"/>
    <hyperlink ref="M60" r:id="rId35" xr:uid="{00000000-0004-0000-0100-000022000000}"/>
    <hyperlink ref="M61" r:id="rId36" xr:uid="{00000000-0004-0000-0100-000023000000}"/>
    <hyperlink ref="M62" r:id="rId37" xr:uid="{00000000-0004-0000-0100-000024000000}"/>
    <hyperlink ref="M63" r:id="rId38" xr:uid="{00000000-0004-0000-0100-000025000000}"/>
    <hyperlink ref="M64" r:id="rId39" xr:uid="{00000000-0004-0000-0100-000026000000}"/>
    <hyperlink ref="M65" r:id="rId40" xr:uid="{00000000-0004-0000-0100-000027000000}"/>
    <hyperlink ref="M66" r:id="rId41" xr:uid="{00000000-0004-0000-0100-000028000000}"/>
    <hyperlink ref="M67" r:id="rId42" xr:uid="{00000000-0004-0000-0100-000029000000}"/>
    <hyperlink ref="M68" r:id="rId43" xr:uid="{00000000-0004-0000-0100-00002A000000}"/>
    <hyperlink ref="M69" r:id="rId44" xr:uid="{00000000-0004-0000-0100-00002B000000}"/>
    <hyperlink ref="M70" r:id="rId45" xr:uid="{00000000-0004-0000-0100-00002C000000}"/>
    <hyperlink ref="M71" r:id="rId46" xr:uid="{00000000-0004-0000-0100-00002D000000}"/>
    <hyperlink ref="M72" r:id="rId47" xr:uid="{00000000-0004-0000-0100-00002E000000}"/>
    <hyperlink ref="M73" r:id="rId48" xr:uid="{00000000-0004-0000-0100-00002F000000}"/>
    <hyperlink ref="M74" r:id="rId49" xr:uid="{00000000-0004-0000-0100-000030000000}"/>
    <hyperlink ref="M75" r:id="rId50" xr:uid="{00000000-0004-0000-0100-000031000000}"/>
    <hyperlink ref="M76" r:id="rId51" xr:uid="{00000000-0004-0000-0100-000032000000}"/>
    <hyperlink ref="M77" r:id="rId52" xr:uid="{00000000-0004-0000-0100-000033000000}"/>
    <hyperlink ref="M78" r:id="rId53" xr:uid="{00000000-0004-0000-0100-000034000000}"/>
    <hyperlink ref="M79" r:id="rId54" xr:uid="{00000000-0004-0000-0100-000035000000}"/>
    <hyperlink ref="M80" r:id="rId55" xr:uid="{00000000-0004-0000-0100-000036000000}"/>
    <hyperlink ref="M81" r:id="rId56" xr:uid="{00000000-0004-0000-0100-000037000000}"/>
    <hyperlink ref="M82" r:id="rId57" xr:uid="{00000000-0004-0000-0100-000038000000}"/>
    <hyperlink ref="M83" r:id="rId58" xr:uid="{00000000-0004-0000-0100-000039000000}"/>
    <hyperlink ref="M84" r:id="rId59" xr:uid="{00000000-0004-0000-0100-00003A000000}"/>
    <hyperlink ref="M85" r:id="rId60" xr:uid="{00000000-0004-0000-0100-00003B000000}"/>
    <hyperlink ref="M86" r:id="rId61" xr:uid="{00000000-0004-0000-0100-00003C000000}"/>
    <hyperlink ref="M87" r:id="rId62" xr:uid="{00000000-0004-0000-0100-00003D000000}"/>
    <hyperlink ref="M88" r:id="rId63" xr:uid="{00000000-0004-0000-0100-00003E000000}"/>
    <hyperlink ref="M89" r:id="rId64" xr:uid="{00000000-0004-0000-0100-00003F000000}"/>
    <hyperlink ref="M104" r:id="rId65" xr:uid="{00000000-0004-0000-0100-000040000000}"/>
    <hyperlink ref="M105" r:id="rId66" xr:uid="{00000000-0004-0000-0100-000041000000}"/>
    <hyperlink ref="M111" r:id="rId67" xr:uid="{00000000-0004-0000-0100-000042000000}"/>
    <hyperlink ref="N127" r:id="rId68" xr:uid="{00000000-0004-0000-0100-000043000000}"/>
    <hyperlink ref="N128" r:id="rId69" xr:uid="{00000000-0004-0000-0100-000044000000}"/>
    <hyperlink ref="N129" r:id="rId70" xr:uid="{00000000-0004-0000-0100-000045000000}"/>
    <hyperlink ref="N130" r:id="rId71" xr:uid="{00000000-0004-0000-0100-000046000000}"/>
    <hyperlink ref="N131" r:id="rId72" xr:uid="{00000000-0004-0000-0100-000047000000}"/>
    <hyperlink ref="N132" r:id="rId73" xr:uid="{00000000-0004-0000-0100-000048000000}"/>
    <hyperlink ref="N133" r:id="rId74" xr:uid="{00000000-0004-0000-0100-000049000000}"/>
    <hyperlink ref="N134" r:id="rId75" xr:uid="{00000000-0004-0000-0100-00004A000000}"/>
    <hyperlink ref="N135" r:id="rId76" xr:uid="{00000000-0004-0000-0100-00004B000000}"/>
    <hyperlink ref="N136" r:id="rId77" xr:uid="{00000000-0004-0000-0100-00004C000000}"/>
    <hyperlink ref="N137" r:id="rId78" xr:uid="{00000000-0004-0000-0100-00004D000000}"/>
    <hyperlink ref="N138" r:id="rId79" xr:uid="{00000000-0004-0000-0100-00004E000000}"/>
    <hyperlink ref="N146" r:id="rId80" xr:uid="{00000000-0004-0000-0100-00004F000000}"/>
    <hyperlink ref="N147" r:id="rId81" xr:uid="{00000000-0004-0000-0100-000050000000}"/>
    <hyperlink ref="N148" r:id="rId82" xr:uid="{00000000-0004-0000-0100-000051000000}"/>
    <hyperlink ref="N149" r:id="rId83" xr:uid="{00000000-0004-0000-0100-000052000000}"/>
    <hyperlink ref="N150" r:id="rId84" xr:uid="{00000000-0004-0000-0100-000053000000}"/>
    <hyperlink ref="N151" r:id="rId85" xr:uid="{00000000-0004-0000-0100-000054000000}"/>
    <hyperlink ref="N152" r:id="rId86" xr:uid="{00000000-0004-0000-0100-000055000000}"/>
    <hyperlink ref="N153" r:id="rId87" xr:uid="{00000000-0004-0000-0100-000056000000}"/>
    <hyperlink ref="N154" r:id="rId88" xr:uid="{00000000-0004-0000-0100-000057000000}"/>
    <hyperlink ref="N155" r:id="rId89" xr:uid="{00000000-0004-0000-0100-000058000000}"/>
    <hyperlink ref="N156" r:id="rId90" xr:uid="{00000000-0004-0000-0100-000059000000}"/>
    <hyperlink ref="N157" r:id="rId91" xr:uid="{00000000-0004-0000-0100-00005A000000}"/>
    <hyperlink ref="N158" r:id="rId92" xr:uid="{00000000-0004-0000-0100-00005B000000}"/>
    <hyperlink ref="N159" r:id="rId93" xr:uid="{00000000-0004-0000-0100-00005C000000}"/>
    <hyperlink ref="N160" r:id="rId94" xr:uid="{00000000-0004-0000-0100-00005D000000}"/>
    <hyperlink ref="N161" r:id="rId95" xr:uid="{00000000-0004-0000-0100-00005E000000}"/>
    <hyperlink ref="N162" r:id="rId96" xr:uid="{00000000-0004-0000-0100-00005F000000}"/>
    <hyperlink ref="N163" r:id="rId97" xr:uid="{00000000-0004-0000-0100-000060000000}"/>
    <hyperlink ref="N164" r:id="rId98" xr:uid="{00000000-0004-0000-0100-000061000000}"/>
    <hyperlink ref="N165" r:id="rId99" xr:uid="{00000000-0004-0000-0100-000062000000}"/>
    <hyperlink ref="M166" r:id="rId100" xr:uid="{00000000-0004-0000-0100-000063000000}"/>
    <hyperlink ref="N166" r:id="rId101" xr:uid="{00000000-0004-0000-0100-000064000000}"/>
    <hyperlink ref="M167" r:id="rId102" xr:uid="{00000000-0004-0000-0100-000065000000}"/>
    <hyperlink ref="N167" r:id="rId103" xr:uid="{00000000-0004-0000-0100-000066000000}"/>
    <hyperlink ref="M168" r:id="rId104" xr:uid="{00000000-0004-0000-0100-000067000000}"/>
    <hyperlink ref="N168" r:id="rId105" xr:uid="{00000000-0004-0000-0100-000068000000}"/>
    <hyperlink ref="M169" r:id="rId106" xr:uid="{00000000-0004-0000-0100-000069000000}"/>
    <hyperlink ref="N169" r:id="rId107" xr:uid="{00000000-0004-0000-0100-00006A000000}"/>
    <hyperlink ref="M170" r:id="rId108" xr:uid="{00000000-0004-0000-0100-00006B000000}"/>
    <hyperlink ref="N170" r:id="rId109" xr:uid="{00000000-0004-0000-0100-00006C000000}"/>
    <hyperlink ref="M171" r:id="rId110" xr:uid="{00000000-0004-0000-0100-00006D000000}"/>
    <hyperlink ref="N171" r:id="rId111" xr:uid="{00000000-0004-0000-0100-00006E000000}"/>
    <hyperlink ref="M172" r:id="rId112" xr:uid="{00000000-0004-0000-0100-00006F000000}"/>
    <hyperlink ref="N172" r:id="rId113" xr:uid="{00000000-0004-0000-0100-000070000000}"/>
    <hyperlink ref="M174" r:id="rId114" xr:uid="{00000000-0004-0000-0100-000071000000}"/>
    <hyperlink ref="N174" r:id="rId115" xr:uid="{00000000-0004-0000-0100-000072000000}"/>
    <hyperlink ref="M175" r:id="rId116" xr:uid="{00000000-0004-0000-0100-000073000000}"/>
    <hyperlink ref="N175" r:id="rId117" xr:uid="{00000000-0004-0000-0100-000074000000}"/>
    <hyperlink ref="M176" r:id="rId118" xr:uid="{00000000-0004-0000-0100-000075000000}"/>
    <hyperlink ref="N176" r:id="rId119" xr:uid="{00000000-0004-0000-0100-000076000000}"/>
    <hyperlink ref="M177" r:id="rId120" xr:uid="{00000000-0004-0000-0100-000077000000}"/>
    <hyperlink ref="N177" r:id="rId121" xr:uid="{00000000-0004-0000-0100-000078000000}"/>
    <hyperlink ref="M178" r:id="rId122" xr:uid="{00000000-0004-0000-0100-000079000000}"/>
    <hyperlink ref="N178" r:id="rId123" xr:uid="{00000000-0004-0000-0100-00007A000000}"/>
    <hyperlink ref="M179" r:id="rId124" xr:uid="{00000000-0004-0000-0100-00007B000000}"/>
    <hyperlink ref="N179" r:id="rId125" xr:uid="{00000000-0004-0000-0100-00007C000000}"/>
    <hyperlink ref="M180" r:id="rId126" xr:uid="{00000000-0004-0000-0100-00007D000000}"/>
    <hyperlink ref="N180" r:id="rId127" xr:uid="{00000000-0004-0000-0100-00007E000000}"/>
    <hyperlink ref="M181" r:id="rId128" xr:uid="{00000000-0004-0000-0100-00007F000000}"/>
    <hyperlink ref="N181" r:id="rId129" xr:uid="{00000000-0004-0000-0100-000080000000}"/>
    <hyperlink ref="M182" r:id="rId130" xr:uid="{00000000-0004-0000-0100-000081000000}"/>
    <hyperlink ref="N182" r:id="rId131" xr:uid="{00000000-0004-0000-0100-000082000000}"/>
    <hyperlink ref="M183" r:id="rId132" xr:uid="{00000000-0004-0000-0100-000083000000}"/>
    <hyperlink ref="N183" r:id="rId133" xr:uid="{00000000-0004-0000-0100-000084000000}"/>
    <hyperlink ref="M184" r:id="rId134" xr:uid="{00000000-0004-0000-0100-000085000000}"/>
    <hyperlink ref="N184" r:id="rId135" xr:uid="{00000000-0004-0000-0100-000086000000}"/>
    <hyperlink ref="M185" r:id="rId136" xr:uid="{00000000-0004-0000-0100-000087000000}"/>
    <hyperlink ref="N185" r:id="rId137" xr:uid="{00000000-0004-0000-0100-000088000000}"/>
    <hyperlink ref="M186" r:id="rId138" xr:uid="{00000000-0004-0000-0100-000089000000}"/>
    <hyperlink ref="N186" r:id="rId139" xr:uid="{00000000-0004-0000-0100-00008A000000}"/>
    <hyperlink ref="M187" r:id="rId140" xr:uid="{00000000-0004-0000-0100-00008B000000}"/>
    <hyperlink ref="N187" r:id="rId141" xr:uid="{00000000-0004-0000-0100-00008C000000}"/>
    <hyperlink ref="M188" r:id="rId142" xr:uid="{00000000-0004-0000-0100-00008D000000}"/>
    <hyperlink ref="N188" r:id="rId143" xr:uid="{00000000-0004-0000-0100-00008E000000}"/>
    <hyperlink ref="M189" r:id="rId144" xr:uid="{00000000-0004-0000-0100-00008F000000}"/>
    <hyperlink ref="N189" r:id="rId145" xr:uid="{00000000-0004-0000-0100-000090000000}"/>
    <hyperlink ref="M190" r:id="rId146" xr:uid="{00000000-0004-0000-0100-000091000000}"/>
    <hyperlink ref="N190" r:id="rId147" xr:uid="{00000000-0004-0000-0100-000092000000}"/>
    <hyperlink ref="M191" r:id="rId148" xr:uid="{00000000-0004-0000-0100-000093000000}"/>
    <hyperlink ref="N191" r:id="rId149" xr:uid="{00000000-0004-0000-0100-000094000000}"/>
    <hyperlink ref="M192" r:id="rId150" xr:uid="{00000000-0004-0000-0100-000095000000}"/>
    <hyperlink ref="N192" r:id="rId151" xr:uid="{00000000-0004-0000-0100-000096000000}"/>
    <hyperlink ref="M193" r:id="rId152" xr:uid="{00000000-0004-0000-0100-000097000000}"/>
    <hyperlink ref="N193" r:id="rId153" xr:uid="{00000000-0004-0000-0100-000098000000}"/>
    <hyperlink ref="M194" r:id="rId154" xr:uid="{00000000-0004-0000-0100-000099000000}"/>
    <hyperlink ref="N194" r:id="rId155" xr:uid="{00000000-0004-0000-0100-00009A000000}"/>
    <hyperlink ref="M195" r:id="rId156" xr:uid="{00000000-0004-0000-0100-00009B000000}"/>
    <hyperlink ref="N195" r:id="rId157" xr:uid="{00000000-0004-0000-0100-00009C000000}"/>
    <hyperlink ref="M196" r:id="rId158" xr:uid="{00000000-0004-0000-0100-00009D000000}"/>
    <hyperlink ref="N196" r:id="rId159" xr:uid="{00000000-0004-0000-0100-00009E000000}"/>
    <hyperlink ref="M197" r:id="rId160" xr:uid="{00000000-0004-0000-0100-00009F000000}"/>
    <hyperlink ref="N197" r:id="rId161" xr:uid="{00000000-0004-0000-0100-0000A0000000}"/>
    <hyperlink ref="M198" r:id="rId162" xr:uid="{00000000-0004-0000-0100-0000A1000000}"/>
    <hyperlink ref="N198" r:id="rId163" xr:uid="{00000000-0004-0000-0100-0000A2000000}"/>
    <hyperlink ref="M199" r:id="rId164" xr:uid="{00000000-0004-0000-0100-0000A3000000}"/>
    <hyperlink ref="N199" r:id="rId165" xr:uid="{00000000-0004-0000-0100-0000A4000000}"/>
    <hyperlink ref="M200" r:id="rId166" xr:uid="{00000000-0004-0000-0100-0000A5000000}"/>
    <hyperlink ref="N200" r:id="rId167" xr:uid="{00000000-0004-0000-0100-0000A6000000}"/>
    <hyperlink ref="M201" r:id="rId168" xr:uid="{00000000-0004-0000-0100-0000A7000000}"/>
    <hyperlink ref="N201" r:id="rId169" xr:uid="{00000000-0004-0000-0100-0000A8000000}"/>
    <hyperlink ref="M202" r:id="rId170" xr:uid="{00000000-0004-0000-0100-0000A9000000}"/>
    <hyperlink ref="N202" r:id="rId171" xr:uid="{00000000-0004-0000-0100-0000AA000000}"/>
    <hyperlink ref="M203" r:id="rId172" xr:uid="{00000000-0004-0000-0100-0000AB000000}"/>
    <hyperlink ref="M204" r:id="rId173" xr:uid="{00000000-0004-0000-0100-0000AC000000}"/>
    <hyperlink ref="M205" r:id="rId174" xr:uid="{00000000-0004-0000-0100-0000AD000000}"/>
    <hyperlink ref="N205" r:id="rId175" xr:uid="{00000000-0004-0000-0100-0000AE000000}"/>
    <hyperlink ref="N206" r:id="rId176" xr:uid="{00000000-0004-0000-0100-0000AF000000}"/>
    <hyperlink ref="M207" r:id="rId177" xr:uid="{00000000-0004-0000-0100-0000B0000000}"/>
    <hyperlink ref="N207" r:id="rId178" xr:uid="{00000000-0004-0000-0100-0000B1000000}"/>
    <hyperlink ref="M208" r:id="rId179" xr:uid="{00000000-0004-0000-0100-0000B2000000}"/>
    <hyperlink ref="N208" r:id="rId180" xr:uid="{00000000-0004-0000-0100-0000B3000000}"/>
    <hyperlink ref="M209" r:id="rId181" xr:uid="{00000000-0004-0000-0100-0000B4000000}"/>
    <hyperlink ref="N209" r:id="rId182" xr:uid="{00000000-0004-0000-0100-0000B5000000}"/>
    <hyperlink ref="M210" r:id="rId183" xr:uid="{00000000-0004-0000-0100-0000B6000000}"/>
    <hyperlink ref="N210" r:id="rId184" xr:uid="{00000000-0004-0000-0100-0000B7000000}"/>
    <hyperlink ref="M211" r:id="rId185" xr:uid="{00000000-0004-0000-0100-0000B8000000}"/>
    <hyperlink ref="N211" r:id="rId186" xr:uid="{00000000-0004-0000-0100-0000B9000000}"/>
    <hyperlink ref="N212" r:id="rId187" xr:uid="{00000000-0004-0000-0100-0000BA000000}"/>
    <hyperlink ref="M213" r:id="rId188" xr:uid="{00000000-0004-0000-0100-0000BB000000}"/>
    <hyperlink ref="N213" r:id="rId189" xr:uid="{00000000-0004-0000-0100-0000BC000000}"/>
    <hyperlink ref="M214" r:id="rId190" xr:uid="{00000000-0004-0000-0100-0000BD000000}"/>
    <hyperlink ref="N214" r:id="rId191" xr:uid="{00000000-0004-0000-0100-0000BE000000}"/>
    <hyperlink ref="M215" r:id="rId192" xr:uid="{00000000-0004-0000-0100-0000BF000000}"/>
    <hyperlink ref="N215" r:id="rId193" xr:uid="{00000000-0004-0000-0100-0000C0000000}"/>
    <hyperlink ref="M216" r:id="rId194" xr:uid="{00000000-0004-0000-0100-0000C1000000}"/>
    <hyperlink ref="N216" r:id="rId195" xr:uid="{00000000-0004-0000-0100-0000C2000000}"/>
    <hyperlink ref="M217" r:id="rId196" xr:uid="{00000000-0004-0000-0100-0000C3000000}"/>
    <hyperlink ref="N217" r:id="rId197" xr:uid="{00000000-0004-0000-0100-0000C4000000}"/>
    <hyperlink ref="M218" r:id="rId198" xr:uid="{00000000-0004-0000-0100-0000C5000000}"/>
    <hyperlink ref="N218" r:id="rId199" xr:uid="{00000000-0004-0000-0100-0000C6000000}"/>
    <hyperlink ref="M219" r:id="rId200" xr:uid="{00000000-0004-0000-0100-0000C7000000}"/>
    <hyperlink ref="N219" r:id="rId201" xr:uid="{00000000-0004-0000-0100-0000C8000000}"/>
    <hyperlink ref="M220" r:id="rId202" xr:uid="{00000000-0004-0000-0100-0000C9000000}"/>
    <hyperlink ref="N220" r:id="rId203" xr:uid="{00000000-0004-0000-0100-0000CA000000}"/>
    <hyperlink ref="M221" r:id="rId204" xr:uid="{00000000-0004-0000-0100-0000CB000000}"/>
    <hyperlink ref="N221" r:id="rId205" xr:uid="{00000000-0004-0000-0100-0000CC000000}"/>
    <hyperlink ref="M222" r:id="rId206" xr:uid="{00000000-0004-0000-0100-0000CD000000}"/>
    <hyperlink ref="N222" r:id="rId207" xr:uid="{00000000-0004-0000-0100-0000CE000000}"/>
    <hyperlink ref="M223" r:id="rId208" xr:uid="{00000000-0004-0000-0100-0000CF000000}"/>
    <hyperlink ref="N223" r:id="rId209" xr:uid="{00000000-0004-0000-0100-0000D0000000}"/>
    <hyperlink ref="M224" r:id="rId210" xr:uid="{00000000-0004-0000-0100-0000D1000000}"/>
    <hyperlink ref="N224" r:id="rId211" xr:uid="{00000000-0004-0000-0100-0000D2000000}"/>
    <hyperlink ref="M225" r:id="rId212" xr:uid="{00000000-0004-0000-0100-0000D3000000}"/>
    <hyperlink ref="N225" r:id="rId213" xr:uid="{00000000-0004-0000-0100-0000D4000000}"/>
    <hyperlink ref="M226" r:id="rId214" xr:uid="{00000000-0004-0000-0100-0000D5000000}"/>
    <hyperlink ref="N226" r:id="rId215" xr:uid="{00000000-0004-0000-0100-0000D6000000}"/>
    <hyperlink ref="M227" r:id="rId216" xr:uid="{00000000-0004-0000-0100-0000D7000000}"/>
    <hyperlink ref="N227" r:id="rId217" xr:uid="{00000000-0004-0000-0100-0000D8000000}"/>
    <hyperlink ref="M228" r:id="rId218" xr:uid="{00000000-0004-0000-0100-0000D9000000}"/>
    <hyperlink ref="N228" r:id="rId219" xr:uid="{00000000-0004-0000-0100-0000DA000000}"/>
    <hyperlink ref="M229" r:id="rId220" xr:uid="{00000000-0004-0000-0100-0000DB000000}"/>
    <hyperlink ref="N229" r:id="rId221" xr:uid="{00000000-0004-0000-0100-0000DC000000}"/>
    <hyperlink ref="M230" r:id="rId222" xr:uid="{00000000-0004-0000-0100-0000DD000000}"/>
    <hyperlink ref="N230" r:id="rId223" xr:uid="{00000000-0004-0000-0100-0000DE000000}"/>
    <hyperlink ref="M231" r:id="rId224" xr:uid="{00000000-0004-0000-0100-0000DF000000}"/>
    <hyperlink ref="N231" r:id="rId225" xr:uid="{00000000-0004-0000-0100-0000E0000000}"/>
    <hyperlink ref="M232" r:id="rId226" xr:uid="{00000000-0004-0000-0100-0000E1000000}"/>
    <hyperlink ref="N232" r:id="rId227" xr:uid="{00000000-0004-0000-0100-0000E2000000}"/>
    <hyperlink ref="M233" r:id="rId228" xr:uid="{00000000-0004-0000-0100-0000E3000000}"/>
    <hyperlink ref="N233" r:id="rId229" xr:uid="{00000000-0004-0000-0100-0000E4000000}"/>
    <hyperlink ref="N234" r:id="rId230" xr:uid="{00000000-0004-0000-0100-0000E5000000}"/>
    <hyperlink ref="M235" r:id="rId231" xr:uid="{00000000-0004-0000-0100-0000E6000000}"/>
    <hyperlink ref="N235" r:id="rId232" xr:uid="{00000000-0004-0000-0100-0000E7000000}"/>
    <hyperlink ref="M236" r:id="rId233" xr:uid="{00000000-0004-0000-0100-0000E8000000}"/>
    <hyperlink ref="N236" r:id="rId234" xr:uid="{00000000-0004-0000-0100-0000E9000000}"/>
    <hyperlink ref="M237" r:id="rId235" xr:uid="{00000000-0004-0000-0100-0000EA000000}"/>
    <hyperlink ref="N237" r:id="rId236" xr:uid="{00000000-0004-0000-0100-0000EB000000}"/>
    <hyperlink ref="M238" r:id="rId237" xr:uid="{00000000-0004-0000-0100-0000EC000000}"/>
    <hyperlink ref="N238" r:id="rId238" xr:uid="{00000000-0004-0000-0100-0000ED000000}"/>
    <hyperlink ref="M239" r:id="rId239" xr:uid="{00000000-0004-0000-0100-0000EE000000}"/>
    <hyperlink ref="N239" r:id="rId240" xr:uid="{00000000-0004-0000-0100-0000EF000000}"/>
    <hyperlink ref="M240" r:id="rId241" xr:uid="{00000000-0004-0000-0100-0000F0000000}"/>
    <hyperlink ref="N240" r:id="rId242" xr:uid="{00000000-0004-0000-0100-0000F1000000}"/>
    <hyperlink ref="M241" r:id="rId243" xr:uid="{00000000-0004-0000-0100-0000F2000000}"/>
    <hyperlink ref="N241" r:id="rId244" xr:uid="{00000000-0004-0000-0100-0000F3000000}"/>
    <hyperlink ref="N242" r:id="rId245" xr:uid="{00000000-0004-0000-0100-0000F4000000}"/>
    <hyperlink ref="M243" r:id="rId246" xr:uid="{00000000-0004-0000-0100-0000F5000000}"/>
    <hyperlink ref="N243" r:id="rId247" xr:uid="{00000000-0004-0000-0100-0000F6000000}"/>
    <hyperlink ref="M244" r:id="rId248" xr:uid="{00000000-0004-0000-0100-0000F7000000}"/>
    <hyperlink ref="N244" r:id="rId249" xr:uid="{00000000-0004-0000-0100-0000F8000000}"/>
    <hyperlink ref="M245" r:id="rId250" xr:uid="{00000000-0004-0000-0100-0000F9000000}"/>
    <hyperlink ref="N245" r:id="rId251" xr:uid="{00000000-0004-0000-0100-0000FA000000}"/>
    <hyperlink ref="M246" r:id="rId252" xr:uid="{00000000-0004-0000-0100-0000FB000000}"/>
    <hyperlink ref="N246" r:id="rId253" xr:uid="{00000000-0004-0000-0100-0000FC000000}"/>
    <hyperlink ref="M247" r:id="rId254" xr:uid="{00000000-0004-0000-0100-0000FD000000}"/>
    <hyperlink ref="N247" r:id="rId255" xr:uid="{00000000-0004-0000-0100-0000FE000000}"/>
    <hyperlink ref="M248" r:id="rId256" xr:uid="{00000000-0004-0000-0100-0000FF000000}"/>
    <hyperlink ref="N248" r:id="rId257" xr:uid="{00000000-0004-0000-0100-000000010000}"/>
    <hyperlink ref="M249" r:id="rId258" xr:uid="{00000000-0004-0000-0100-000001010000}"/>
    <hyperlink ref="N249" r:id="rId259" xr:uid="{00000000-0004-0000-0100-000002010000}"/>
    <hyperlink ref="M250" r:id="rId260" xr:uid="{00000000-0004-0000-0100-000003010000}"/>
    <hyperlink ref="N250" r:id="rId261" xr:uid="{00000000-0004-0000-0100-000004010000}"/>
    <hyperlink ref="M251" r:id="rId262" xr:uid="{00000000-0004-0000-0100-000005010000}"/>
    <hyperlink ref="N251" r:id="rId263" xr:uid="{00000000-0004-0000-0100-000006010000}"/>
    <hyperlink ref="M252" r:id="rId264" xr:uid="{00000000-0004-0000-0100-000007010000}"/>
    <hyperlink ref="N252" r:id="rId265" xr:uid="{00000000-0004-0000-0100-000008010000}"/>
    <hyperlink ref="M253" r:id="rId266" xr:uid="{00000000-0004-0000-0100-000009010000}"/>
    <hyperlink ref="N253" r:id="rId267" xr:uid="{00000000-0004-0000-0100-00000A010000}"/>
    <hyperlink ref="M254" r:id="rId268" xr:uid="{00000000-0004-0000-0100-00000B010000}"/>
    <hyperlink ref="N254" r:id="rId269" xr:uid="{00000000-0004-0000-0100-00000C010000}"/>
    <hyperlink ref="M255" r:id="rId270" xr:uid="{00000000-0004-0000-0100-00000D010000}"/>
    <hyperlink ref="N255" r:id="rId271" xr:uid="{00000000-0004-0000-0100-00000E010000}"/>
    <hyperlink ref="M256" r:id="rId272" xr:uid="{00000000-0004-0000-0100-00000F010000}"/>
    <hyperlink ref="N256" r:id="rId273" xr:uid="{00000000-0004-0000-0100-000010010000}"/>
    <hyperlink ref="N203" r:id="rId274" xr:uid="{00000000-0004-0000-0100-000011010000}"/>
    <hyperlink ref="N204" r:id="rId275" xr:uid="{00000000-0004-0000-0100-000012010000}"/>
    <hyperlink ref="M257" r:id="rId276" xr:uid="{00000000-0004-0000-0100-000013010000}"/>
    <hyperlink ref="M258" r:id="rId277" xr:uid="{00000000-0004-0000-0100-000014010000}"/>
    <hyperlink ref="M259" r:id="rId278" xr:uid="{00000000-0004-0000-0100-000015010000}"/>
    <hyperlink ref="M260" r:id="rId279" xr:uid="{00000000-0004-0000-0100-000016010000}"/>
    <hyperlink ref="M261" r:id="rId280" xr:uid="{00000000-0004-0000-0100-000017010000}"/>
    <hyperlink ref="M263" r:id="rId281" xr:uid="{00000000-0004-0000-0100-000018010000}"/>
    <hyperlink ref="M264" r:id="rId282" xr:uid="{00000000-0004-0000-0100-000019010000}"/>
    <hyperlink ref="M265" r:id="rId283" xr:uid="{00000000-0004-0000-0100-00001A010000}"/>
    <hyperlink ref="M266" r:id="rId284" xr:uid="{00000000-0004-0000-0100-00001B010000}"/>
    <hyperlink ref="M267" r:id="rId285" xr:uid="{00000000-0004-0000-0100-00001C010000}"/>
    <hyperlink ref="M268" r:id="rId286" xr:uid="{00000000-0004-0000-0100-00001D010000}"/>
    <hyperlink ref="N257" r:id="rId287" xr:uid="{00000000-0004-0000-0100-00001E010000}"/>
    <hyperlink ref="N258:N269" r:id="rId288" display="Những văn bản quy phạm pháp luật, văn bản của ĐHQGHN liên quan đến hoạt động của Trường (Thông báo tháng 9/2025)" xr:uid="{00000000-0004-0000-0100-00001F010000}"/>
    <hyperlink ref="M262" r:id="rId289" xr:uid="{00000000-0004-0000-0100-000020010000}"/>
    <hyperlink ref="M270" r:id="rId290" xr:uid="{00000000-0004-0000-0100-000021010000}"/>
    <hyperlink ref="M271" r:id="rId291" xr:uid="{00000000-0004-0000-0100-000022010000}"/>
    <hyperlink ref="M272" r:id="rId292" xr:uid="{00000000-0004-0000-0100-000023010000}"/>
    <hyperlink ref="M273" r:id="rId293" xr:uid="{00000000-0004-0000-0100-000024010000}"/>
    <hyperlink ref="M274" r:id="rId294" xr:uid="{00000000-0004-0000-0100-000025010000}"/>
    <hyperlink ref="M275" r:id="rId295" xr:uid="{00000000-0004-0000-0100-000026010000}"/>
    <hyperlink ref="M276" r:id="rId296" xr:uid="{00000000-0004-0000-0100-000027010000}"/>
    <hyperlink ref="M277" r:id="rId297" xr:uid="{00000000-0004-0000-0100-000028010000}"/>
    <hyperlink ref="M278" r:id="rId298" display="https://drive.google.com/file/d/11SJ87qK1LuEi_NyKNGqKqR23DefPGNI_/view?usp=drive_link" xr:uid="{00000000-0004-0000-0100-000029010000}"/>
    <hyperlink ref="M279" r:id="rId299" display="https://drive.google.com/file/d/1sf5KC8O-R6KUfgUrIGZumYZFruWOvP-P/view?usp=drive_link" xr:uid="{00000000-0004-0000-0100-00002A010000}"/>
    <hyperlink ref="M280" r:id="rId300" xr:uid="{00000000-0004-0000-0100-00002B010000}"/>
    <hyperlink ref="N270" r:id="rId301" xr:uid="{00000000-0004-0000-0100-00002C010000}"/>
    <hyperlink ref="N271:N280" r:id="rId302" display="Những văn bản quy phạm pháp luật, văn bản của ĐHQGHN liên quan đến hoạt động của Trường (Thông báo tháng 10/2025)" xr:uid="{00000000-0004-0000-0100-00002D010000}"/>
    <hyperlink ref="M269" r:id="rId303" xr:uid="{00000000-0004-0000-0100-00002E010000}"/>
    <hyperlink ref="M242" r:id="rId304" xr:uid="{00000000-0004-0000-0100-00002F010000}"/>
    <hyperlink ref="M234" r:id="rId305" xr:uid="{00000000-0004-0000-0100-000030010000}"/>
    <hyperlink ref="M96" r:id="rId306" xr:uid="{00000000-0004-0000-0100-000031010000}"/>
    <hyperlink ref="M212" r:id="rId307" xr:uid="{00000000-0004-0000-0100-000032010000}"/>
    <hyperlink ref="M206" r:id="rId308" xr:uid="{00000000-0004-0000-0100-000033010000}"/>
    <hyperlink ref="M282" r:id="rId309" xr:uid="{00000000-0004-0000-0100-000034010000}"/>
    <hyperlink ref="M281" r:id="rId310" xr:uid="{00000000-0004-0000-0100-000035010000}"/>
    <hyperlink ref="M283" r:id="rId311" xr:uid="{00000000-0004-0000-0100-000036010000}"/>
    <hyperlink ref="M284" r:id="rId312" xr:uid="{00000000-0004-0000-0100-000037010000}"/>
    <hyperlink ref="M285" r:id="rId313" xr:uid="{00000000-0004-0000-0100-000038010000}"/>
    <hyperlink ref="M286" r:id="rId314" xr:uid="{00000000-0004-0000-0100-000039010000}"/>
    <hyperlink ref="M287" r:id="rId315" xr:uid="{00000000-0004-0000-0100-00003A010000}"/>
    <hyperlink ref="M288" r:id="rId316" xr:uid="{00000000-0004-0000-0100-00003B010000}"/>
    <hyperlink ref="M289" r:id="rId317" xr:uid="{00000000-0004-0000-0100-00003C010000}"/>
    <hyperlink ref="M290" r:id="rId318" xr:uid="{00000000-0004-0000-0100-00003D010000}"/>
    <hyperlink ref="M291" r:id="rId319" xr:uid="{00000000-0004-0000-0100-00003E010000}"/>
    <hyperlink ref="M292" r:id="rId320" xr:uid="{00000000-0004-0000-0100-00003F010000}"/>
    <hyperlink ref="M293" r:id="rId321" xr:uid="{00000000-0004-0000-0100-000040010000}"/>
    <hyperlink ref="M294" r:id="rId322" xr:uid="{00000000-0004-0000-0100-000041010000}"/>
    <hyperlink ref="M295" r:id="rId323" xr:uid="{00000000-0004-0000-0100-000042010000}"/>
    <hyperlink ref="M173" r:id="rId324" xr:uid="{00000000-0004-0000-0100-000043010000}"/>
    <hyperlink ref="M165" r:id="rId325" xr:uid="{00000000-0004-0000-0100-000044010000}"/>
    <hyperlink ref="M164" r:id="rId326" xr:uid="{00000000-0004-0000-0100-000045010000}"/>
    <hyperlink ref="M163" r:id="rId327" xr:uid="{00000000-0004-0000-0100-000046010000}"/>
    <hyperlink ref="M162" r:id="rId328" xr:uid="{00000000-0004-0000-0100-000047010000}"/>
    <hyperlink ref="M161" r:id="rId329" xr:uid="{00000000-0004-0000-0100-000048010000}"/>
    <hyperlink ref="M160" r:id="rId330" xr:uid="{00000000-0004-0000-0100-000049010000}"/>
    <hyperlink ref="M159" r:id="rId331" xr:uid="{00000000-0004-0000-0100-00004A010000}"/>
    <hyperlink ref="M158" r:id="rId332" xr:uid="{00000000-0004-0000-0100-00004B010000}"/>
    <hyperlink ref="M157" r:id="rId333" xr:uid="{00000000-0004-0000-0100-00004C010000}"/>
    <hyperlink ref="M156" r:id="rId334" xr:uid="{00000000-0004-0000-0100-00004D010000}"/>
    <hyperlink ref="M155" r:id="rId335" xr:uid="{00000000-0004-0000-0100-00004E010000}"/>
    <hyperlink ref="M154" r:id="rId336" xr:uid="{00000000-0004-0000-0100-00004F010000}"/>
    <hyperlink ref="M153" r:id="rId337" xr:uid="{00000000-0004-0000-0100-000050010000}"/>
    <hyperlink ref="M152" r:id="rId338" xr:uid="{00000000-0004-0000-0100-000051010000}"/>
    <hyperlink ref="M151" r:id="rId339" xr:uid="{00000000-0004-0000-0100-000052010000}"/>
    <hyperlink ref="M150" r:id="rId340" xr:uid="{00000000-0004-0000-0100-000053010000}"/>
    <hyperlink ref="M149" r:id="rId341" xr:uid="{00000000-0004-0000-0100-000054010000}"/>
    <hyperlink ref="M148" r:id="rId342" xr:uid="{00000000-0004-0000-0100-000055010000}"/>
    <hyperlink ref="M147" r:id="rId343" xr:uid="{00000000-0004-0000-0100-000056010000}"/>
    <hyperlink ref="M146" r:id="rId344" xr:uid="{00000000-0004-0000-0100-000057010000}"/>
    <hyperlink ref="M145" r:id="rId345" xr:uid="{00000000-0004-0000-0100-000058010000}"/>
    <hyperlink ref="M144" r:id="rId346" xr:uid="{00000000-0004-0000-0100-000059010000}"/>
    <hyperlink ref="M143" r:id="rId347" xr:uid="{00000000-0004-0000-0100-00005A010000}"/>
    <hyperlink ref="M142" r:id="rId348" xr:uid="{00000000-0004-0000-0100-00005B010000}"/>
    <hyperlink ref="M141" r:id="rId349" xr:uid="{00000000-0004-0000-0100-00005C010000}"/>
    <hyperlink ref="M140" r:id="rId350" xr:uid="{00000000-0004-0000-0100-00005D010000}"/>
    <hyperlink ref="M139" r:id="rId351" xr:uid="{00000000-0004-0000-0100-00005E010000}"/>
    <hyperlink ref="M138" r:id="rId352" xr:uid="{00000000-0004-0000-0100-00005F010000}"/>
    <hyperlink ref="M137" r:id="rId353" xr:uid="{00000000-0004-0000-0100-000060010000}"/>
    <hyperlink ref="M136" r:id="rId354" xr:uid="{00000000-0004-0000-0100-000061010000}"/>
    <hyperlink ref="M135" r:id="rId355" xr:uid="{00000000-0004-0000-0100-000062010000}"/>
    <hyperlink ref="M134" r:id="rId356" xr:uid="{00000000-0004-0000-0100-000063010000}"/>
    <hyperlink ref="M133" r:id="rId357" xr:uid="{00000000-0004-0000-0100-000064010000}"/>
    <hyperlink ref="M132" r:id="rId358" xr:uid="{00000000-0004-0000-0100-000065010000}"/>
    <hyperlink ref="M131" r:id="rId359" xr:uid="{00000000-0004-0000-0100-000066010000}"/>
    <hyperlink ref="M130" r:id="rId360" xr:uid="{00000000-0004-0000-0100-000067010000}"/>
    <hyperlink ref="M129" r:id="rId361" xr:uid="{00000000-0004-0000-0100-000068010000}"/>
    <hyperlink ref="M128" r:id="rId362" xr:uid="{00000000-0004-0000-0100-000069010000}"/>
    <hyperlink ref="M127" r:id="rId363" xr:uid="{00000000-0004-0000-0100-00006A010000}"/>
    <hyperlink ref="M126" r:id="rId364" xr:uid="{00000000-0004-0000-0100-00006B010000}"/>
    <hyperlink ref="M125" r:id="rId365" xr:uid="{00000000-0004-0000-0100-00006C010000}"/>
    <hyperlink ref="M124" r:id="rId366" xr:uid="{00000000-0004-0000-0100-00006D010000}"/>
    <hyperlink ref="M123" r:id="rId367" xr:uid="{00000000-0004-0000-0100-00006E010000}"/>
    <hyperlink ref="M122" r:id="rId368" xr:uid="{00000000-0004-0000-0100-00006F010000}"/>
    <hyperlink ref="M121" r:id="rId369" xr:uid="{00000000-0004-0000-0100-000070010000}"/>
    <hyperlink ref="M120" r:id="rId370" xr:uid="{00000000-0004-0000-0100-000071010000}"/>
    <hyperlink ref="M119" r:id="rId371" xr:uid="{00000000-0004-0000-0100-000072010000}"/>
    <hyperlink ref="M118" r:id="rId372" xr:uid="{00000000-0004-0000-0100-000073010000}"/>
    <hyperlink ref="M117" r:id="rId373" xr:uid="{00000000-0004-0000-0100-000074010000}"/>
    <hyperlink ref="M116" r:id="rId374" xr:uid="{00000000-0004-0000-0100-000075010000}"/>
    <hyperlink ref="M115" r:id="rId375" xr:uid="{00000000-0004-0000-0100-000076010000}"/>
    <hyperlink ref="M114" r:id="rId376" xr:uid="{00000000-0004-0000-0100-000077010000}"/>
    <hyperlink ref="M113" r:id="rId377" xr:uid="{00000000-0004-0000-0100-000078010000}"/>
    <hyperlink ref="M112" r:id="rId378" xr:uid="{00000000-0004-0000-0100-000079010000}"/>
    <hyperlink ref="M110" r:id="rId379" xr:uid="{00000000-0004-0000-0100-00007A010000}"/>
    <hyperlink ref="M109" r:id="rId380" xr:uid="{00000000-0004-0000-0100-00007B010000}"/>
    <hyperlink ref="M108" r:id="rId381" xr:uid="{00000000-0004-0000-0100-00007C010000}"/>
    <hyperlink ref="M107" r:id="rId382" xr:uid="{00000000-0004-0000-0100-00007D010000}"/>
    <hyperlink ref="M106" r:id="rId383" xr:uid="{00000000-0004-0000-0100-00007E010000}"/>
    <hyperlink ref="M103" r:id="rId384" xr:uid="{00000000-0004-0000-0100-00007F010000}"/>
    <hyperlink ref="M102" r:id="rId385" xr:uid="{00000000-0004-0000-0100-000080010000}"/>
    <hyperlink ref="M101" r:id="rId386" xr:uid="{00000000-0004-0000-0100-000081010000}"/>
    <hyperlink ref="M100" r:id="rId387" xr:uid="{00000000-0004-0000-0100-000082010000}"/>
    <hyperlink ref="M99" r:id="rId388" xr:uid="{00000000-0004-0000-0100-000083010000}"/>
    <hyperlink ref="M98" r:id="rId389" xr:uid="{00000000-0004-0000-0100-000084010000}"/>
    <hyperlink ref="M97" r:id="rId390" xr:uid="{00000000-0004-0000-0100-000085010000}"/>
    <hyperlink ref="M95" r:id="rId391" xr:uid="{00000000-0004-0000-0100-000086010000}"/>
    <hyperlink ref="M94" r:id="rId392" xr:uid="{00000000-0004-0000-0100-000087010000}"/>
    <hyperlink ref="M93" r:id="rId393" xr:uid="{00000000-0004-0000-0100-000088010000}"/>
    <hyperlink ref="M92" r:id="rId394" xr:uid="{00000000-0004-0000-0100-000089010000}"/>
    <hyperlink ref="M91" r:id="rId395" xr:uid="{00000000-0004-0000-0100-00008A010000}"/>
    <hyperlink ref="M90" r:id="rId396" xr:uid="{00000000-0004-0000-0100-00008B010000}"/>
    <hyperlink ref="M37" r:id="rId397" xr:uid="{00000000-0004-0000-0100-00008C010000}"/>
    <hyperlink ref="M26" r:id="rId398" xr:uid="{00000000-0004-0000-0100-00008D010000}"/>
    <hyperlink ref="M24" r:id="rId399" xr:uid="{00000000-0004-0000-0100-00008E010000}"/>
    <hyperlink ref="M23" r:id="rId400" xr:uid="{00000000-0004-0000-0100-00008F010000}"/>
    <hyperlink ref="M22" r:id="rId401" xr:uid="{00000000-0004-0000-0100-000090010000}"/>
    <hyperlink ref="M21" r:id="rId402" xr:uid="{00000000-0004-0000-0100-000091010000}"/>
    <hyperlink ref="M20" r:id="rId403" xr:uid="{00000000-0004-0000-0100-000092010000}"/>
    <hyperlink ref="M19" r:id="rId404" xr:uid="{00000000-0004-0000-0100-000093010000}"/>
    <hyperlink ref="M18" r:id="rId405" xr:uid="{00000000-0004-0000-0100-000094010000}"/>
    <hyperlink ref="M17" r:id="rId406" xr:uid="{00000000-0004-0000-0100-000095010000}"/>
    <hyperlink ref="M16" r:id="rId407" xr:uid="{00000000-0004-0000-0100-000096010000}"/>
    <hyperlink ref="M15" r:id="rId408" xr:uid="{00000000-0004-0000-0100-000097010000}"/>
    <hyperlink ref="M14" r:id="rId409" xr:uid="{00000000-0004-0000-0100-000098010000}"/>
    <hyperlink ref="M13" r:id="rId410" xr:uid="{00000000-0004-0000-0100-000099010000}"/>
    <hyperlink ref="M12" r:id="rId411" xr:uid="{00000000-0004-0000-0100-00009A010000}"/>
    <hyperlink ref="M11" r:id="rId412" xr:uid="{00000000-0004-0000-0100-00009B010000}"/>
    <hyperlink ref="M10" r:id="rId413" xr:uid="{00000000-0004-0000-0100-00009C010000}"/>
    <hyperlink ref="M9" r:id="rId414" xr:uid="{00000000-0004-0000-0100-00009D010000}"/>
    <hyperlink ref="M8" r:id="rId415" xr:uid="{00000000-0004-0000-0100-00009E010000}"/>
    <hyperlink ref="M7" r:id="rId416" xr:uid="{00000000-0004-0000-0100-00009F010000}"/>
    <hyperlink ref="M6" r:id="rId417" xr:uid="{00000000-0004-0000-0100-0000A0010000}"/>
    <hyperlink ref="M4" r:id="rId418" xr:uid="{00000000-0004-0000-0100-0000A1010000}"/>
    <hyperlink ref="M3" r:id="rId419" xr:uid="{00000000-0004-0000-0100-0000A2010000}"/>
    <hyperlink ref="M2" r:id="rId420" xr:uid="{00000000-0004-0000-0100-0000A3010000}"/>
    <hyperlink ref="N281" r:id="rId421" xr:uid="{00000000-0004-0000-0100-0000A4010000}"/>
    <hyperlink ref="N282:N295" r:id="rId422" display="Những văn bản quy phạm pháp luật, văn bản của ĐHQGHN liên quan đến hoạt động của Trường (Thông báo tháng 10/2025)" xr:uid="{00000000-0004-0000-0100-0000A5010000}"/>
    <hyperlink ref="N296" r:id="rId423" xr:uid="{00000000-0004-0000-0100-0000A6010000}"/>
    <hyperlink ref="N297:N312" r:id="rId424" display="Những văn bản quy phạm pháp luật, văn bản của ĐHQGHN liên quan đến hoạt động của Trường (Thông báo tháng 11/2025)" xr:uid="{00000000-0004-0000-0100-0000A7010000}"/>
    <hyperlink ref="M296" r:id="rId425" xr:uid="{00000000-0004-0000-0100-0000A8010000}"/>
    <hyperlink ref="M297" r:id="rId426" xr:uid="{00000000-0004-0000-0100-0000A9010000}"/>
    <hyperlink ref="M298" r:id="rId427" xr:uid="{00000000-0004-0000-0100-0000AA010000}"/>
    <hyperlink ref="M299" r:id="rId428" xr:uid="{00000000-0004-0000-0100-0000AB010000}"/>
    <hyperlink ref="M301" r:id="rId429" xr:uid="{00000000-0004-0000-0100-0000AC010000}"/>
    <hyperlink ref="M302" r:id="rId430" xr:uid="{00000000-0004-0000-0100-0000AD010000}"/>
    <hyperlink ref="M303" r:id="rId431" xr:uid="{00000000-0004-0000-0100-0000AE010000}"/>
    <hyperlink ref="M304" r:id="rId432" xr:uid="{00000000-0004-0000-0100-0000AF010000}"/>
    <hyperlink ref="M305" r:id="rId433" xr:uid="{00000000-0004-0000-0100-0000B0010000}"/>
    <hyperlink ref="M306" r:id="rId434" xr:uid="{00000000-0004-0000-0100-0000B1010000}"/>
    <hyperlink ref="M307" r:id="rId435" xr:uid="{00000000-0004-0000-0100-0000B2010000}"/>
    <hyperlink ref="M308" r:id="rId436" xr:uid="{00000000-0004-0000-0100-0000B3010000}"/>
    <hyperlink ref="M309" r:id="rId437" xr:uid="{00000000-0004-0000-0100-0000B4010000}"/>
    <hyperlink ref="M310" r:id="rId438" xr:uid="{00000000-0004-0000-0100-0000B5010000}"/>
    <hyperlink ref="M311" r:id="rId439" xr:uid="{00000000-0004-0000-0100-0000B6010000}"/>
    <hyperlink ref="M312" r:id="rId440" xr:uid="{00000000-0004-0000-0100-0000B7010000}"/>
    <hyperlink ref="M313" r:id="rId441" xr:uid="{00000000-0004-0000-0100-0000B8010000}"/>
    <hyperlink ref="N313" r:id="rId442" xr:uid="{00000000-0004-0000-0100-0000B9010000}"/>
    <hyperlink ref="M314" r:id="rId443" xr:uid="{00000000-0004-0000-0100-0000BA010000}"/>
    <hyperlink ref="N314" r:id="rId444" xr:uid="{00000000-0004-0000-0100-0000BB010000}"/>
    <hyperlink ref="M315" r:id="rId445" xr:uid="{00000000-0004-0000-0100-0000BC010000}"/>
    <hyperlink ref="N315" r:id="rId446" xr:uid="{00000000-0004-0000-0100-0000BD010000}"/>
    <hyperlink ref="M316" r:id="rId447" xr:uid="{00000000-0004-0000-0100-0000BE010000}"/>
    <hyperlink ref="N316" r:id="rId448" xr:uid="{00000000-0004-0000-0100-0000BF010000}"/>
    <hyperlink ref="M317" r:id="rId449" xr:uid="{00000000-0004-0000-0100-0000C0010000}"/>
    <hyperlink ref="N317" r:id="rId450" xr:uid="{00000000-0004-0000-0100-0000C1010000}"/>
    <hyperlink ref="M318" r:id="rId451" xr:uid="{00000000-0004-0000-0100-0000C2010000}"/>
    <hyperlink ref="N318" r:id="rId452" xr:uid="{00000000-0004-0000-0100-0000C3010000}"/>
    <hyperlink ref="M319" r:id="rId453" xr:uid="{00000000-0004-0000-0100-0000C4010000}"/>
    <hyperlink ref="N319" r:id="rId454" xr:uid="{00000000-0004-0000-0100-0000C5010000}"/>
    <hyperlink ref="M320" r:id="rId455" xr:uid="{00000000-0004-0000-0100-0000C6010000}"/>
    <hyperlink ref="N320" r:id="rId456" xr:uid="{00000000-0004-0000-0100-0000C7010000}"/>
    <hyperlink ref="M321" r:id="rId457" xr:uid="{00000000-0004-0000-0100-0000C8010000}"/>
    <hyperlink ref="N321" r:id="rId458" xr:uid="{00000000-0004-0000-0100-0000C9010000}"/>
    <hyperlink ref="M322" r:id="rId459" xr:uid="{00000000-0004-0000-0100-0000CA010000}"/>
    <hyperlink ref="N322" r:id="rId460" xr:uid="{00000000-0004-0000-0100-0000CB010000}"/>
    <hyperlink ref="M323" r:id="rId461" xr:uid="{00000000-0004-0000-0100-0000CC010000}"/>
    <hyperlink ref="M324" r:id="rId462" xr:uid="{00000000-0004-0000-0100-0000CD010000}"/>
    <hyperlink ref="M325" r:id="rId463" xr:uid="{00000000-0004-0000-0100-0000CE010000}"/>
    <hyperlink ref="M326" r:id="rId464" xr:uid="{00000000-0004-0000-0100-0000CF010000}"/>
    <hyperlink ref="M327" r:id="rId465" xr:uid="{00000000-0004-0000-0100-0000D0010000}"/>
    <hyperlink ref="M328" r:id="rId466" xr:uid="{00000000-0004-0000-0100-0000D1010000}"/>
    <hyperlink ref="M329" r:id="rId467" xr:uid="{00000000-0004-0000-0100-0000D2010000}"/>
    <hyperlink ref="N323" r:id="rId468" xr:uid="{00000000-0004-0000-0100-0000D3010000}"/>
    <hyperlink ref="N324:N345" r:id="rId469" display="Những văn bản quy phạm pháp luật, văn bản của ĐHQGHN liên quan đến hoạt động của Trường (Thông báo tháng 12/2025)" xr:uid="{00000000-0004-0000-0100-0000D4010000}"/>
    <hyperlink ref="M330" r:id="rId470" xr:uid="{00000000-0004-0000-0100-0000D5010000}"/>
    <hyperlink ref="M334" r:id="rId471" xr:uid="{00000000-0004-0000-0100-0000D6010000}"/>
    <hyperlink ref="M336" r:id="rId472" xr:uid="{00000000-0004-0000-0100-0000D7010000}"/>
    <hyperlink ref="M339" r:id="rId473" xr:uid="{00000000-0004-0000-0100-0000D8010000}"/>
    <hyperlink ref="M340" r:id="rId474" xr:uid="{00000000-0004-0000-0100-0000D9010000}"/>
    <hyperlink ref="M341" r:id="rId475" xr:uid="{00000000-0004-0000-0100-0000DA010000}"/>
    <hyperlink ref="M342" r:id="rId476" xr:uid="{00000000-0004-0000-0100-0000DB010000}"/>
    <hyperlink ref="M343" r:id="rId477" xr:uid="{00000000-0004-0000-0100-0000DC010000}"/>
    <hyperlink ref="M344" r:id="rId478" xr:uid="{00000000-0004-0000-0100-0000DD010000}"/>
    <hyperlink ref="M345" r:id="rId479" xr:uid="{00000000-0004-0000-0100-0000DE010000}"/>
    <hyperlink ref="N346" r:id="rId480" xr:uid="{00000000-0004-0000-0100-0000DF010000}"/>
    <hyperlink ref="N347:N352" r:id="rId481" display="Những văn bản quy phạm pháp luật, văn bản của ĐHQGHN liên quan đến hoạt động của Trường (Thông báo tháng 01/2026)" xr:uid="{00000000-0004-0000-0100-0000E0010000}"/>
    <hyperlink ref="N353" r:id="rId482" xr:uid="{00000000-0004-0000-0100-0000E1010000}"/>
    <hyperlink ref="N354:N359" r:id="rId483" display="Những văn bản quy phạm pháp luật, văn bản của ĐHQGHN liên quan đến hoạt động của Trường (Thông báo tháng 02/2026)" xr:uid="{00000000-0004-0000-0100-0000E2010000}"/>
    <hyperlink ref="M346" r:id="rId484" xr:uid="{00000000-0004-0000-0100-0000E3010000}"/>
    <hyperlink ref="M347" r:id="rId485" xr:uid="{00000000-0004-0000-0100-0000E4010000}"/>
    <hyperlink ref="M348" r:id="rId486" xr:uid="{00000000-0004-0000-0100-0000E5010000}"/>
    <hyperlink ref="M349" r:id="rId487" xr:uid="{00000000-0004-0000-0100-0000E6010000}"/>
    <hyperlink ref="M350" r:id="rId488" xr:uid="{00000000-0004-0000-0100-0000E7010000}"/>
    <hyperlink ref="M351" r:id="rId489" xr:uid="{00000000-0004-0000-0100-0000E8010000}"/>
    <hyperlink ref="M352" r:id="rId490" xr:uid="{00000000-0004-0000-0100-0000E9010000}"/>
    <hyperlink ref="M353" r:id="rId491" xr:uid="{00000000-0004-0000-0100-0000EA010000}"/>
    <hyperlink ref="M354" r:id="rId492" xr:uid="{00000000-0004-0000-0100-0000EB010000}"/>
    <hyperlink ref="N362" r:id="rId493" display="https://ueb.edu.vn/Tin-Tuc/UEB/nhung-van-ban-quy-pham-phap-luat-van-ban-cua-dhqghn-lien-quan-den-hoat-dong-cua-truong-cap-nhat-nua-sau-thang-02-2026/46074" xr:uid="{00000000-0004-0000-0100-0000EC010000}"/>
    <hyperlink ref="N363:N366" r:id="rId494" display="https://ueb.edu.vn/Tin-Tuc/UEB/nhung-van-ban-quy-pham-phap-luat-van-ban-cua-dhqghn-lien-quan-den-hoat-dong-cua-truong-cap-nhat-nua-sau-thang-02-2026/46074" xr:uid="{00000000-0004-0000-0100-0000ED010000}"/>
    <hyperlink ref="N360:N361" r:id="rId495" display="https://ueb.edu.vn/Tin-Tuc/UEB/nhung-van-ban-quy-pham-phap-luat-van-ban-cua-dhqghn-lien-quan-den-hoat-dong-cua-truong-cap-nhat-nua-sau-thang-02-2026/46074" xr:uid="{00000000-0004-0000-0100-0000EE010000}"/>
    <hyperlink ref="N367" r:id="rId496" xr:uid="{00000000-0004-0000-0100-0000EF010000}"/>
    <hyperlink ref="N368:N372" r:id="rId497" display="Những văn bản quy phạm pháp luật, văn bản của ĐHQGHN liên quan đến hoạt động của Trường (cập nhật nửa đầu tháng 03/2026)" xr:uid="{00000000-0004-0000-0100-0000F0010000}"/>
    <hyperlink ref="N373" r:id="rId498" xr:uid="{00000000-0004-0000-0100-0000F1010000}"/>
    <hyperlink ref="N374:N383" r:id="rId499" display="Những văn bản quy phạm pháp luật, văn bản của ĐHQGHN liên quan đến hoạt động của Trường (cập nhật nửa đầu tháng 04/2026)" xr:uid="{00000000-0004-0000-0100-0000F2010000}"/>
    <hyperlink ref="N384" r:id="rId500" xr:uid="{00000000-0004-0000-0100-0000F3010000}"/>
    <hyperlink ref="N385:N387" r:id="rId501" display="Những văn bản quy phạm pháp luật, văn bản của ĐHQGHN liên quan đến hoạt động của Trường (cập nhật nửa đầu tháng 04/2026)" xr:uid="{00000000-0004-0000-0100-0000F4010000}"/>
    <hyperlink ref="N388:N389" r:id="rId502" display="Những văn bản quy phạm pháp luật, văn bản của ĐHQGHN liên quan đến hoạt động của Trường (cập nhật nửa đầu tháng 04/2026)" xr:uid="{00000000-0004-0000-0100-0000F5010000}"/>
    <hyperlink ref="N390:N391" r:id="rId503" display="Những văn bản quy phạm pháp luật, văn bản của ĐHQGHN liên quan đến hoạt động của Trường (cập nhật nửa đầu tháng 04/2026)" xr:uid="{00000000-0004-0000-0100-0000F6010000}"/>
    <hyperlink ref="N392:N395" r:id="rId504" display="Những văn bản quy phạm pháp luật, văn bản của ĐHQGHN liên quan đến hoạt động của Trường (cập nhật nửa đầu tháng 05/2026)" xr:uid="{00000000-0004-0000-0100-0000F8010000}"/>
    <hyperlink ref="N396" r:id="rId505" xr:uid="{00000000-0004-0000-0100-0000F9010000}"/>
    <hyperlink ref="N397" r:id="rId506" xr:uid="{00000000-0004-0000-0100-0000FA010000}"/>
    <hyperlink ref="N398:N404" r:id="rId507" display="Những văn bản quy phạm pháp luật, văn bản của ĐHQGHN liên quan đến hoạt động của Trường (cập nhật nửa đầu tháng 05/2026)" xr:uid="{00000000-0004-0000-0100-0000FB010000}"/>
    <hyperlink ref="H441" r:id="rId508" display="https://thuvienphapluat.vn/van-ban/Bo-may-hanh-chinh/Nghi-quyet-66-24-2026-NQ-CP-xu-ly-vuong-mac-trong-lap-du-toan-chi-su-nghiep-hoat-dong-khoa-hoc-716642.aspx" xr:uid="{00000000-0004-0000-0100-000004020000}"/>
    <hyperlink ref="N443" r:id="rId509" xr:uid="{FDF1DCDD-D74A-465C-BCDB-2A38A8AA2F4B}"/>
    <hyperlink ref="N444:N451" r:id="rId510" display="Những văn bản quy phạm pháp luật, văn bản của ĐHQGHN liên quan đến hoạt động của Trường (Thông báo tháng 08/2026)" xr:uid="{53BB6368-2199-4AA9-A408-F691EDE4C39A}"/>
    <hyperlink ref="N452" r:id="rId511" xr:uid="{EBD81A21-E8FC-4BB8-A295-663E6CF60420}"/>
    <hyperlink ref="N417" r:id="rId512" display="Những văn bản quy phạm pháp luật, văn bản của ĐHQGHN liên quan đến hoạt động của Trường (cập nhật nửa đầu tháng 05/2026)" xr:uid="{48C12A60-0468-4FB0-AB06-152308A5DD9B}"/>
    <hyperlink ref="N416" r:id="rId513" display="Những văn bản quy phạm pháp luật, văn bản của ĐHQGHN liên quan đến hoạt động của Trường (cập nhật nửa đầu tháng 05/2026)" xr:uid="{701F87E9-D35F-481C-AFC6-B39DCC305D8B}"/>
    <hyperlink ref="N413:N415" r:id="rId514" display="Những văn bản quy phạm pháp luật, văn bản của ĐHQGHN liên quan đến hoạt động của Trường (cập nhật nửa đầu tháng 05/2026)" xr:uid="{8508DCDF-A27A-4FE2-9117-B555E9E7ABAC}"/>
    <hyperlink ref="N405" r:id="rId515" xr:uid="{503829BC-49EC-488E-9777-E2672F98DECB}"/>
    <hyperlink ref="N406:N407" r:id="rId516" display="Những văn bản quy phạm pháp luật, văn bản của ĐHQGHN liên quan đến hoạt động của Trường (cập nhật nửa đầu tháng 06/2026)" xr:uid="{54CDD7D6-15C5-43D2-8DF3-5C59CED1B5C5}"/>
    <hyperlink ref="N408:N409" r:id="rId517" display="Những văn bản quy phạm pháp luật, văn bản của ĐHQGHN liên quan đến hoạt động của Trường (cập nhật nửa đầu tháng 06/2026)" xr:uid="{8E745D9E-F308-4351-A13F-4E814AED4022}"/>
    <hyperlink ref="N411" r:id="rId518" display="Những văn bản quy phạm pháp luật, văn bản của ĐHQGHN liên quan đến hoạt động của Trường (cập nhật nửa đầu tháng 05/2026)" xr:uid="{1D6F8CD1-C368-4DF8-9D52-33A1FE134284}"/>
    <hyperlink ref="N418" r:id="rId519" xr:uid="{FE4EEC1D-34C8-4532-88FC-9D70C4AD847F}"/>
    <hyperlink ref="N419" r:id="rId520" xr:uid="{420078EA-AE2C-4C4F-8DCC-2185D0E97101}"/>
    <hyperlink ref="N420" r:id="rId521" xr:uid="{E9ABEE6E-1A29-4118-9E9B-9E886FA40758}"/>
    <hyperlink ref="N421" r:id="rId522" xr:uid="{EE20226A-8C68-4BD5-B894-E83D386AB793}"/>
    <hyperlink ref="N422" r:id="rId523" xr:uid="{CADD761D-38CD-4FD1-B984-117F4EB775E2}"/>
    <hyperlink ref="N425" r:id="rId524" xr:uid="{AA5772DE-56D9-489E-9EC6-FA46E6953D80}"/>
    <hyperlink ref="N426" r:id="rId525" xr:uid="{CAB153A3-855E-4B50-85D9-D15F3C161FB3}"/>
    <hyperlink ref="N427" r:id="rId526" xr:uid="{EBF3CB7E-9960-4332-BC90-124E328718AF}"/>
    <hyperlink ref="N428" r:id="rId527" xr:uid="{6FE42A4D-7036-4273-9114-93061F0818BF}"/>
    <hyperlink ref="N429" r:id="rId528" xr:uid="{D19E296F-B848-4F57-A6CE-294D5E0AEED9}"/>
    <hyperlink ref="N432" r:id="rId529" xr:uid="{474DF5DB-1939-4DC3-BAF8-138073493330}"/>
    <hyperlink ref="N430" r:id="rId530" xr:uid="{DB0945FD-621D-4981-86A3-BA3916C3932A}"/>
    <hyperlink ref="N433" r:id="rId531" xr:uid="{A1C7DF2C-E0F6-47AA-ADC2-76380335DE2F}"/>
    <hyperlink ref="N431" r:id="rId532" xr:uid="{9AEB7FCD-C293-4902-9987-6719FA1146A4}"/>
    <hyperlink ref="N434" r:id="rId533" xr:uid="{B0514D97-224C-4D3D-8917-171CC24D58DD}"/>
    <hyperlink ref="N435" r:id="rId534" xr:uid="{1933D668-9BC9-4EF1-AF58-E04DEAB08886}"/>
    <hyperlink ref="N436:N442" r:id="rId535" display="Những văn bản quy phạm pháp luật, văn bản của ĐHQGHN liên quan đến hoạt động của Trường (nửa sau tháng 7)" xr:uid="{B3C6310F-F0D6-46A1-936A-F5C2F47D3B68}"/>
    <hyperlink ref="M418" r:id="rId536" xr:uid="{93BACECA-D668-4DE2-8116-AF5BFDB08704}"/>
    <hyperlink ref="M419" r:id="rId537" xr:uid="{5CAFD42D-52D3-4A21-B4DC-6A1FC0DDF42D}"/>
    <hyperlink ref="M420" r:id="rId538" xr:uid="{E6E30A08-630C-445B-A4C0-283C96544468}"/>
    <hyperlink ref="M421" r:id="rId539" xr:uid="{B13826E7-B1B6-4A21-8E1B-AE8B41CBCE47}"/>
    <hyperlink ref="M422" r:id="rId540" xr:uid="{ABD5B829-E425-4A13-8679-1C23769F798A}"/>
    <hyperlink ref="M425" r:id="rId541" xr:uid="{807AE8AA-5837-4BC4-9F1E-4CF5F32449C2}"/>
    <hyperlink ref="M426" r:id="rId542" xr:uid="{A2CA3530-639C-41C8-9924-61D98EE155E0}"/>
    <hyperlink ref="M427" r:id="rId543" xr:uid="{C89323D7-6227-493E-80B7-BF3AA7CAA951}"/>
    <hyperlink ref="M428" r:id="rId544" xr:uid="{EB2248AD-B9FF-4B55-99CC-C8FABAD1DB6F}"/>
    <hyperlink ref="M429" r:id="rId545" xr:uid="{EFC9FAD8-D6B8-46B1-ABE7-574E68ADD169}"/>
    <hyperlink ref="M430" r:id="rId546" xr:uid="{3A3A37C4-EDFA-4F7B-A158-7DB0A1738667}"/>
    <hyperlink ref="M431" r:id="rId547" xr:uid="{4003D69D-A143-4BE3-A9AF-824A10C27B73}"/>
    <hyperlink ref="M432" r:id="rId548" xr:uid="{79388D53-474F-4D9E-A093-774BD8EB62EB}"/>
    <hyperlink ref="M433" r:id="rId549" xr:uid="{DC86A8FE-5A38-464D-BE63-BFE0765A66AC}"/>
    <hyperlink ref="M434" r:id="rId550" xr:uid="{066E7B58-6DB8-4EE5-A75E-1A3E6516BA1A}"/>
    <hyperlink ref="M435" r:id="rId551" xr:uid="{EDF147CE-E01A-4646-86EA-4E31D2C2E433}"/>
    <hyperlink ref="M436" r:id="rId552" xr:uid="{BF1F8522-FB1A-42B4-ACB7-08385D790B37}"/>
    <hyperlink ref="M437" r:id="rId553" xr:uid="{434EF17C-B774-44F3-9829-6461CC1D9327}"/>
    <hyperlink ref="M438" r:id="rId554" xr:uid="{95BD6D36-54A2-4F95-ABF9-5179A37A599E}"/>
    <hyperlink ref="M439" r:id="rId555" xr:uid="{724B85D8-EE6B-42AA-9800-54F8B57BD1F4}"/>
    <hyperlink ref="M440" r:id="rId556" xr:uid="{23674E3E-A4C5-4CFD-A272-31108CE1E0AF}"/>
    <hyperlink ref="M441" r:id="rId557" xr:uid="{36B415AC-83B2-4F49-B20E-07727812FB66}"/>
    <hyperlink ref="M442" r:id="rId558" xr:uid="{9EF91D1E-FB22-42A6-9FC1-C5E8FBB0355E}"/>
    <hyperlink ref="M443" r:id="rId559" xr:uid="{308D0F4A-3E20-4606-92D8-F96F7B7A4510}"/>
    <hyperlink ref="M444" r:id="rId560" xr:uid="{8E215AE7-0092-4BF8-B5B0-B4F6E8AAEA98}"/>
    <hyperlink ref="M445" r:id="rId561" xr:uid="{D002B5EE-90DE-43E2-9078-AD2481CCE8C0}"/>
    <hyperlink ref="M446" r:id="rId562" xr:uid="{01BA3B39-44F3-40C7-BD5F-596B0E8A73AD}"/>
    <hyperlink ref="M447" r:id="rId563" xr:uid="{19EA8FC7-06C4-40EF-B308-D2864A978685}"/>
    <hyperlink ref="M448" r:id="rId564" xr:uid="{04BA04F4-FE68-4FAD-962E-E31740DA18B8}"/>
    <hyperlink ref="M449" r:id="rId565" xr:uid="{8EA308E7-7809-4847-A1C1-585426AAABB8}"/>
    <hyperlink ref="M450" r:id="rId566" xr:uid="{41E21BCD-53AF-4984-AFDB-30FA15B68012}"/>
    <hyperlink ref="M451" r:id="rId567" xr:uid="{C040DED6-4614-4D35-AAF2-7C0700EE8666}"/>
    <hyperlink ref="M452" r:id="rId568" xr:uid="{5B3E3116-1622-4AFC-B15E-CF284FC85522}"/>
    <hyperlink ref="M417" r:id="rId569" xr:uid="{7DAA7090-C272-49CE-A552-2761E2F9260D}"/>
    <hyperlink ref="M416" r:id="rId570" xr:uid="{99E9BD4B-D7EA-4423-AF41-42F13337D41C}"/>
    <hyperlink ref="M415" r:id="rId571" xr:uid="{C1540555-7B97-4D0D-8B85-4574864C9763}"/>
    <hyperlink ref="M414" r:id="rId572" xr:uid="{5E3CEF19-9502-4EA3-8035-3B53472AB787}"/>
    <hyperlink ref="M413" r:id="rId573" xr:uid="{C4CE4977-C42D-446F-9A36-1B2D28AFE2F4}"/>
    <hyperlink ref="M412" r:id="rId574" xr:uid="{94DE1D98-E79F-405F-B73B-162B317154C3}"/>
    <hyperlink ref="M411" r:id="rId575" xr:uid="{369379A8-50D3-4550-BCB6-61DDF83023B6}"/>
    <hyperlink ref="M355" r:id="rId576" xr:uid="{278BFB3B-3C75-490E-B0BD-A13913B9D22A}"/>
    <hyperlink ref="M356" r:id="rId577" xr:uid="{933E3856-50DB-448B-8D53-C9CD4256165E}"/>
    <hyperlink ref="M357" r:id="rId578" xr:uid="{3CAA106C-91E4-4771-ABC5-C7A416795D3B}"/>
    <hyperlink ref="M358" r:id="rId579" xr:uid="{8D24AC59-3396-4C48-8426-D694FCFF0DC0}"/>
    <hyperlink ref="M359" r:id="rId580" xr:uid="{0664C998-B4DA-43F1-AE7A-65D92F3C17B0}"/>
    <hyperlink ref="M360" r:id="rId581" xr:uid="{0B0A744C-556B-4BC7-9727-5EAE05A05327}"/>
    <hyperlink ref="M361" r:id="rId582" xr:uid="{0C3466DB-2B19-40A0-A2E5-E461285CF1DF}"/>
    <hyperlink ref="M362" r:id="rId583" xr:uid="{0689E35D-8AFD-40DC-B17E-8597DA5ECF3F}"/>
    <hyperlink ref="M363" r:id="rId584" xr:uid="{5DFEF069-AF63-45C2-A68D-EB3AC4961F18}"/>
    <hyperlink ref="M364" r:id="rId585" xr:uid="{7B675639-D457-4EFB-BD1B-5A89549CD6B0}"/>
    <hyperlink ref="M365" r:id="rId586" xr:uid="{A99FB2A1-9EE2-42E5-A855-EC0E63BFBF41}"/>
    <hyperlink ref="M366" r:id="rId587" xr:uid="{D0C5922C-A0E5-4C2C-9344-7170E5D9A7D8}"/>
    <hyperlink ref="M367" r:id="rId588" xr:uid="{EA61AD46-F144-425A-A354-BDE8AD722FD7}"/>
    <hyperlink ref="M368" r:id="rId589" xr:uid="{E067264E-853F-4F21-9446-20C1F42F502D}"/>
    <hyperlink ref="M369" r:id="rId590" xr:uid="{DC174E00-E916-4A58-8A49-CE496CFA587C}"/>
    <hyperlink ref="M370" r:id="rId591" xr:uid="{B51A7C2E-5BAF-4C12-8BD7-085B7845D791}"/>
    <hyperlink ref="M371" r:id="rId592" xr:uid="{2ED88C7D-C2B0-4DA0-87A5-29CB4F14F6B6}"/>
    <hyperlink ref="M372" r:id="rId593" xr:uid="{4A11ED03-37F3-4696-BF57-03D4005AD12C}"/>
    <hyperlink ref="M373" r:id="rId594" xr:uid="{C86EC708-9591-4992-BAFD-224C8826484C}"/>
    <hyperlink ref="M374" r:id="rId595" xr:uid="{DB9576A7-099E-40BE-9F85-F96C927E3324}"/>
    <hyperlink ref="M375" r:id="rId596" xr:uid="{31D91B4F-B6CF-4E62-97E3-0CCBEC0F73F3}"/>
    <hyperlink ref="M376" r:id="rId597" xr:uid="{EA451EED-A941-4A4B-B89B-1B3463685025}"/>
    <hyperlink ref="M377" r:id="rId598" xr:uid="{5076624A-E594-48CC-9890-CAF06439AE8F}"/>
    <hyperlink ref="M378" r:id="rId599" xr:uid="{54380001-9F42-473E-B302-D143DADF840C}"/>
    <hyperlink ref="M379" r:id="rId600" xr:uid="{FFCA3838-F76C-447D-ADE1-A06B87D7CA9B}"/>
    <hyperlink ref="M380" r:id="rId601" xr:uid="{9B2F67A4-C3F7-4282-A69E-8A5CA69AEB51}"/>
    <hyperlink ref="M381" r:id="rId602" xr:uid="{6256A1C2-BB9D-4BE2-BBA6-62B5FB09B852}"/>
    <hyperlink ref="M382" r:id="rId603" xr:uid="{94EB5E81-105F-41EC-B88E-91078E8E3AC0}"/>
    <hyperlink ref="M383" r:id="rId604" xr:uid="{24F88567-4C39-46F5-B5A6-CC39866065C3}"/>
    <hyperlink ref="M384" r:id="rId605" xr:uid="{AEDA4B94-C14E-48A5-B09E-7D747189E628}"/>
    <hyperlink ref="M385" r:id="rId606" xr:uid="{C7B3A24C-8582-48CA-AA05-68BDE17F1863}"/>
    <hyperlink ref="M386" r:id="rId607" xr:uid="{E05314DB-05CD-4459-A31C-1113FE3DA861}"/>
    <hyperlink ref="M387" r:id="rId608" xr:uid="{60552E6E-A63F-401F-9FF8-8162D5070C5A}"/>
    <hyperlink ref="M388" r:id="rId609" xr:uid="{E9E09538-0532-4589-8BFC-7E1B2AD1F32C}"/>
    <hyperlink ref="M389" r:id="rId610" xr:uid="{FC78BF4C-CC9F-46F8-9689-AECC40756C65}"/>
    <hyperlink ref="M390" r:id="rId611" xr:uid="{7DB93D3D-F966-457F-BF5C-33BB102FD1DF}"/>
    <hyperlink ref="M391" r:id="rId612" xr:uid="{F3B0C7FB-0BB0-4F5D-A825-900F0BE960EB}"/>
    <hyperlink ref="M392" r:id="rId613" xr:uid="{F072284F-3629-4E0D-BA32-FD1B7F562C86}"/>
    <hyperlink ref="M393" r:id="rId614" xr:uid="{BB023B4C-C4DD-4716-BFEF-138ECD96C75B}"/>
    <hyperlink ref="M394" r:id="rId615" xr:uid="{42CA5CA0-E2DC-47C6-8381-D9E182C20631}"/>
    <hyperlink ref="M395" r:id="rId616" xr:uid="{419490D5-9869-47AA-8C06-394F92AE6617}"/>
    <hyperlink ref="M396" r:id="rId617" xr:uid="{52FD632C-5306-4FBF-ACB8-188E506E5263}"/>
    <hyperlink ref="M397" r:id="rId618" xr:uid="{CCE5C57C-4741-4899-9A0F-B0DB45AA107F}"/>
    <hyperlink ref="M398" r:id="rId619" xr:uid="{71FCFD79-1BC2-4A48-8601-E817FAB35721}"/>
    <hyperlink ref="M399" r:id="rId620" xr:uid="{8F492730-9F37-493F-A2F0-46BC0288EA55}"/>
    <hyperlink ref="M400" r:id="rId621" xr:uid="{C7F5D632-BDE4-42F3-BCE5-35D409B8C88D}"/>
    <hyperlink ref="M401" r:id="rId622" xr:uid="{D3654443-4E52-4F61-9B60-B8395EC21598}"/>
    <hyperlink ref="M402" r:id="rId623" xr:uid="{7EF8D9DA-D111-47F7-A699-11FF2D7BD2AE}"/>
    <hyperlink ref="M403" r:id="rId624" xr:uid="{F869D063-FEE6-4EB6-A729-AFC61823E457}"/>
    <hyperlink ref="M404" r:id="rId625" xr:uid="{FA5A9FA7-CCB6-4637-BDDB-E5AC710FCAAC}"/>
    <hyperlink ref="M405" r:id="rId626" xr:uid="{AF0E9634-84F3-42FC-A275-D9EEDD2DD621}"/>
    <hyperlink ref="M406" r:id="rId627" xr:uid="{7C0C19ED-34EE-4F64-9599-E0D370FCFF60}"/>
    <hyperlink ref="M407" r:id="rId628" xr:uid="{B7980690-6F86-4AE1-A660-A2FB5D0206E5}"/>
    <hyperlink ref="M408" r:id="rId629" xr:uid="{A6363920-C2F1-4502-A8FC-FEF1D28A4BB3}"/>
    <hyperlink ref="M453" r:id="rId630" xr:uid="{D53E4BF6-6624-4F87-B3E0-9A80A0555C3B}"/>
    <hyperlink ref="M409" r:id="rId631" xr:uid="{06A6ADC5-1CC6-4BE2-95A8-E87A572F601E}"/>
    <hyperlink ref="M410" r:id="rId632" xr:uid="{5FA81E2C-543F-4A29-9EB5-62814FC62FCB}"/>
  </hyperlinks>
  <pageMargins left="0.7" right="0.7" top="0.75" bottom="0.75" header="0.3" footer="0.3"/>
  <pageSetup paperSize="9" orientation="portrait" r:id="rId6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16"/>
  <sheetViews>
    <sheetView tabSelected="1" zoomScale="110" zoomScaleNormal="110" workbookViewId="0">
      <pane xSplit="2" ySplit="1" topLeftCell="C105" activePane="bottomRight" state="frozen"/>
      <selection pane="topRight"/>
      <selection pane="bottomLeft"/>
      <selection pane="bottomRight" activeCell="I114" sqref="I114"/>
    </sheetView>
  </sheetViews>
  <sheetFormatPr defaultColWidth="12.5703125" defaultRowHeight="15.75" customHeight="1"/>
  <cols>
    <col min="1" max="1" width="8.85546875" style="4" customWidth="1"/>
    <col min="2" max="2" width="9.140625" style="3" customWidth="1"/>
    <col min="3" max="3" width="8.7109375" style="3" customWidth="1"/>
    <col min="4" max="4" width="20.140625" style="3" customWidth="1"/>
    <col min="5" max="5" width="11.42578125" style="18" customWidth="1"/>
    <col min="6" max="6" width="14.85546875" style="3" hidden="1" customWidth="1"/>
    <col min="7" max="7" width="12" style="18" customWidth="1"/>
    <col min="8" max="8" width="50.140625" style="126" customWidth="1"/>
    <col min="9" max="9" width="18.42578125" style="3" customWidth="1"/>
    <col min="10" max="10" width="14.140625" style="18" customWidth="1"/>
    <col min="11" max="12" width="12.28515625" style="3" customWidth="1"/>
    <col min="13" max="13" width="18.85546875" style="3" customWidth="1"/>
    <col min="14" max="14" width="22.28515625" style="3" customWidth="1"/>
    <col min="15" max="15" width="13.5703125" style="3" customWidth="1"/>
    <col min="16" max="16" width="12.42578125" style="3" customWidth="1"/>
    <col min="17" max="16384" width="12.5703125" style="3"/>
  </cols>
  <sheetData>
    <row r="1" spans="1:16" ht="39" customHeight="1">
      <c r="A1" s="39" t="s">
        <v>142</v>
      </c>
      <c r="B1" s="39" t="s">
        <v>143</v>
      </c>
      <c r="C1" s="39" t="s">
        <v>144</v>
      </c>
      <c r="D1" s="39" t="s">
        <v>145</v>
      </c>
      <c r="E1" s="39" t="s">
        <v>146</v>
      </c>
      <c r="F1" s="39" t="s">
        <v>175</v>
      </c>
      <c r="G1" s="39" t="s">
        <v>147</v>
      </c>
      <c r="H1" s="39" t="s">
        <v>516</v>
      </c>
      <c r="I1" s="39" t="s">
        <v>189</v>
      </c>
      <c r="J1" s="39" t="s">
        <v>190</v>
      </c>
      <c r="K1" s="39" t="s">
        <v>148</v>
      </c>
      <c r="L1" s="39" t="s">
        <v>6</v>
      </c>
      <c r="M1" s="39" t="s">
        <v>149</v>
      </c>
      <c r="N1" s="86" t="s">
        <v>517</v>
      </c>
      <c r="O1" s="86" t="s">
        <v>176</v>
      </c>
      <c r="P1" s="86" t="s">
        <v>193</v>
      </c>
    </row>
    <row r="2" spans="1:16" ht="44.25" customHeight="1">
      <c r="A2" s="87">
        <v>1</v>
      </c>
      <c r="B2" s="87">
        <f t="shared" ref="B2:B14" si="0">YEAR(E2)</f>
        <v>2025</v>
      </c>
      <c r="C2" s="87" t="s">
        <v>155</v>
      </c>
      <c r="D2" s="87" t="s">
        <v>348</v>
      </c>
      <c r="E2" s="90">
        <v>45705</v>
      </c>
      <c r="F2" s="87" t="s">
        <v>198</v>
      </c>
      <c r="G2" s="87" t="s">
        <v>198</v>
      </c>
      <c r="H2" s="94" t="s">
        <v>999</v>
      </c>
      <c r="I2" s="87" t="s">
        <v>252</v>
      </c>
      <c r="J2" s="90">
        <v>45751</v>
      </c>
      <c r="K2" s="87" t="s">
        <v>160</v>
      </c>
      <c r="L2" s="87"/>
      <c r="M2" s="95" t="s">
        <v>348</v>
      </c>
      <c r="N2" s="88" t="s">
        <v>518</v>
      </c>
      <c r="O2" s="87">
        <v>2</v>
      </c>
      <c r="P2" s="87">
        <v>2025</v>
      </c>
    </row>
    <row r="3" spans="1:16" ht="41.25" customHeight="1">
      <c r="A3" s="87">
        <v>2</v>
      </c>
      <c r="B3" s="87">
        <f t="shared" si="0"/>
        <v>2025</v>
      </c>
      <c r="C3" s="87" t="s">
        <v>154</v>
      </c>
      <c r="D3" s="87" t="s">
        <v>349</v>
      </c>
      <c r="E3" s="90">
        <v>45714</v>
      </c>
      <c r="F3" s="87" t="s">
        <v>215</v>
      </c>
      <c r="G3" s="87" t="s">
        <v>215</v>
      </c>
      <c r="H3" s="94" t="s">
        <v>882</v>
      </c>
      <c r="I3" s="87" t="s">
        <v>196</v>
      </c>
      <c r="J3" s="90">
        <v>45717</v>
      </c>
      <c r="K3" s="87" t="s">
        <v>160</v>
      </c>
      <c r="L3" s="87"/>
      <c r="M3" s="95" t="s">
        <v>349</v>
      </c>
      <c r="N3" s="88" t="s">
        <v>519</v>
      </c>
      <c r="O3" s="87">
        <v>2</v>
      </c>
      <c r="P3" s="87">
        <v>2025</v>
      </c>
    </row>
    <row r="4" spans="1:16" ht="78.75" customHeight="1">
      <c r="A4" s="87">
        <v>3</v>
      </c>
      <c r="B4" s="87">
        <f t="shared" si="0"/>
        <v>2025</v>
      </c>
      <c r="C4" s="87" t="s">
        <v>155</v>
      </c>
      <c r="D4" s="87" t="s">
        <v>351</v>
      </c>
      <c r="E4" s="90">
        <v>45735</v>
      </c>
      <c r="F4" s="87" t="s">
        <v>198</v>
      </c>
      <c r="G4" s="87" t="s">
        <v>198</v>
      </c>
      <c r="H4" s="94" t="s">
        <v>1000</v>
      </c>
      <c r="I4" s="87" t="s">
        <v>252</v>
      </c>
      <c r="J4" s="90">
        <v>45782</v>
      </c>
      <c r="K4" s="87" t="s">
        <v>160</v>
      </c>
      <c r="L4" s="87"/>
      <c r="M4" s="95" t="s">
        <v>351</v>
      </c>
      <c r="N4" s="88" t="s">
        <v>520</v>
      </c>
      <c r="O4" s="87">
        <v>3</v>
      </c>
      <c r="P4" s="87">
        <v>2025</v>
      </c>
    </row>
    <row r="5" spans="1:16" ht="48" customHeight="1">
      <c r="A5" s="87">
        <v>4</v>
      </c>
      <c r="B5" s="87">
        <f t="shared" si="0"/>
        <v>2025</v>
      </c>
      <c r="C5" s="87" t="s">
        <v>154</v>
      </c>
      <c r="D5" s="89" t="s">
        <v>360</v>
      </c>
      <c r="E5" s="90">
        <v>45733</v>
      </c>
      <c r="F5" s="87" t="s">
        <v>198</v>
      </c>
      <c r="G5" s="87" t="s">
        <v>198</v>
      </c>
      <c r="H5" s="94" t="s">
        <v>644</v>
      </c>
      <c r="I5" s="87" t="s">
        <v>361</v>
      </c>
      <c r="J5" s="90">
        <v>45778</v>
      </c>
      <c r="K5" s="87" t="s">
        <v>160</v>
      </c>
      <c r="L5" s="87"/>
      <c r="M5" s="96" t="s">
        <v>360</v>
      </c>
      <c r="N5" s="88" t="s">
        <v>362</v>
      </c>
      <c r="O5" s="87">
        <v>5</v>
      </c>
      <c r="P5" s="87">
        <v>2025</v>
      </c>
    </row>
    <row r="6" spans="1:16" ht="65.25" customHeight="1">
      <c r="A6" s="87">
        <v>5</v>
      </c>
      <c r="B6" s="87">
        <f t="shared" si="0"/>
        <v>2025</v>
      </c>
      <c r="C6" s="87" t="s">
        <v>154</v>
      </c>
      <c r="D6" s="89" t="s">
        <v>363</v>
      </c>
      <c r="E6" s="90">
        <v>45735</v>
      </c>
      <c r="F6" s="87" t="s">
        <v>198</v>
      </c>
      <c r="G6" s="87" t="s">
        <v>152</v>
      </c>
      <c r="H6" s="94" t="s">
        <v>889</v>
      </c>
      <c r="I6" s="87" t="s">
        <v>364</v>
      </c>
      <c r="J6" s="90">
        <v>45781</v>
      </c>
      <c r="K6" s="87" t="s">
        <v>160</v>
      </c>
      <c r="L6" s="87"/>
      <c r="M6" s="96" t="s">
        <v>363</v>
      </c>
      <c r="N6" s="88" t="s">
        <v>521</v>
      </c>
      <c r="O6" s="87">
        <v>3</v>
      </c>
      <c r="P6" s="87">
        <v>2025</v>
      </c>
    </row>
    <row r="7" spans="1:16" ht="60.75" customHeight="1">
      <c r="A7" s="87">
        <v>6</v>
      </c>
      <c r="B7" s="87">
        <f t="shared" si="0"/>
        <v>2025</v>
      </c>
      <c r="C7" s="87" t="s">
        <v>155</v>
      </c>
      <c r="D7" s="89" t="s">
        <v>380</v>
      </c>
      <c r="E7" s="90">
        <v>45765</v>
      </c>
      <c r="F7" s="87" t="s">
        <v>198</v>
      </c>
      <c r="G7" s="87" t="s">
        <v>152</v>
      </c>
      <c r="H7" s="94" t="s">
        <v>894</v>
      </c>
      <c r="I7" s="87" t="s">
        <v>252</v>
      </c>
      <c r="J7" s="90">
        <v>45810</v>
      </c>
      <c r="K7" s="87" t="s">
        <v>160</v>
      </c>
      <c r="L7" s="87"/>
      <c r="M7" s="96" t="s">
        <v>380</v>
      </c>
      <c r="N7" s="88" t="s">
        <v>522</v>
      </c>
      <c r="O7" s="87">
        <v>4</v>
      </c>
      <c r="P7" s="87">
        <v>2025</v>
      </c>
    </row>
    <row r="8" spans="1:16" ht="27" customHeight="1">
      <c r="A8" s="87">
        <v>7</v>
      </c>
      <c r="B8" s="87">
        <f t="shared" si="0"/>
        <v>2024</v>
      </c>
      <c r="C8" s="87" t="s">
        <v>154</v>
      </c>
      <c r="D8" s="89" t="s">
        <v>382</v>
      </c>
      <c r="E8" s="90">
        <v>45472</v>
      </c>
      <c r="F8" s="87" t="s">
        <v>383</v>
      </c>
      <c r="G8" s="87" t="s">
        <v>383</v>
      </c>
      <c r="H8" s="94" t="s">
        <v>896</v>
      </c>
      <c r="I8" s="87" t="s">
        <v>384</v>
      </c>
      <c r="J8" s="90">
        <v>45839</v>
      </c>
      <c r="K8" s="87" t="s">
        <v>160</v>
      </c>
      <c r="L8" s="87"/>
      <c r="M8" s="96" t="s">
        <v>382</v>
      </c>
      <c r="N8" s="88" t="s">
        <v>385</v>
      </c>
      <c r="O8" s="87">
        <v>4</v>
      </c>
      <c r="P8" s="87">
        <v>2024</v>
      </c>
    </row>
    <row r="9" spans="1:16" ht="52.5" customHeight="1">
      <c r="A9" s="87">
        <v>8</v>
      </c>
      <c r="B9" s="87">
        <f t="shared" si="0"/>
        <v>2025</v>
      </c>
      <c r="C9" s="87" t="s">
        <v>150</v>
      </c>
      <c r="D9" s="89" t="s">
        <v>386</v>
      </c>
      <c r="E9" s="90">
        <v>45789</v>
      </c>
      <c r="F9" s="87" t="s">
        <v>198</v>
      </c>
      <c r="G9" s="87" t="s">
        <v>198</v>
      </c>
      <c r="H9" s="94" t="s">
        <v>897</v>
      </c>
      <c r="I9" s="87" t="s">
        <v>252</v>
      </c>
      <c r="J9" s="90">
        <v>45839</v>
      </c>
      <c r="K9" s="87" t="s">
        <v>160</v>
      </c>
      <c r="L9" s="87"/>
      <c r="M9" s="96" t="s">
        <v>386</v>
      </c>
      <c r="N9" s="88" t="s">
        <v>387</v>
      </c>
      <c r="O9" s="87">
        <v>5</v>
      </c>
      <c r="P9" s="87">
        <v>2025</v>
      </c>
    </row>
    <row r="10" spans="1:16" ht="86.25" customHeight="1">
      <c r="A10" s="87">
        <v>9</v>
      </c>
      <c r="B10" s="87">
        <f t="shared" si="0"/>
        <v>2020</v>
      </c>
      <c r="C10" s="87" t="s">
        <v>154</v>
      </c>
      <c r="D10" s="89" t="s">
        <v>389</v>
      </c>
      <c r="E10" s="90">
        <v>44167</v>
      </c>
      <c r="F10" s="87" t="s">
        <v>198</v>
      </c>
      <c r="G10" s="87" t="s">
        <v>198</v>
      </c>
      <c r="H10" s="94" t="s">
        <v>797</v>
      </c>
      <c r="I10" s="87" t="s">
        <v>361</v>
      </c>
      <c r="J10" s="90">
        <v>44216</v>
      </c>
      <c r="K10" s="87" t="s">
        <v>153</v>
      </c>
      <c r="L10" s="87"/>
      <c r="M10" s="96" t="s">
        <v>389</v>
      </c>
      <c r="N10" s="88" t="s">
        <v>362</v>
      </c>
      <c r="O10" s="87">
        <v>5</v>
      </c>
      <c r="P10" s="87">
        <v>2025</v>
      </c>
    </row>
    <row r="11" spans="1:16" ht="51" customHeight="1">
      <c r="A11" s="87">
        <v>10</v>
      </c>
      <c r="B11" s="87">
        <f t="shared" si="0"/>
        <v>2016</v>
      </c>
      <c r="C11" s="87" t="s">
        <v>155</v>
      </c>
      <c r="D11" s="89" t="s">
        <v>390</v>
      </c>
      <c r="E11" s="90">
        <v>42734</v>
      </c>
      <c r="F11" s="87" t="s">
        <v>198</v>
      </c>
      <c r="G11" s="87" t="s">
        <v>198</v>
      </c>
      <c r="H11" s="94" t="s">
        <v>898</v>
      </c>
      <c r="I11" s="87" t="s">
        <v>252</v>
      </c>
      <c r="J11" s="90">
        <v>42781</v>
      </c>
      <c r="K11" s="87" t="s">
        <v>153</v>
      </c>
      <c r="L11" s="87"/>
      <c r="M11" s="96" t="s">
        <v>390</v>
      </c>
      <c r="N11" s="88" t="s">
        <v>387</v>
      </c>
      <c r="O11" s="87">
        <v>5</v>
      </c>
      <c r="P11" s="87">
        <v>2016</v>
      </c>
    </row>
    <row r="12" spans="1:16" ht="27" customHeight="1">
      <c r="A12" s="87">
        <v>11</v>
      </c>
      <c r="B12" s="87">
        <f t="shared" si="0"/>
        <v>2018</v>
      </c>
      <c r="C12" s="87" t="s">
        <v>165</v>
      </c>
      <c r="D12" s="89" t="s">
        <v>399</v>
      </c>
      <c r="E12" s="90">
        <v>43364</v>
      </c>
      <c r="F12" s="87" t="s">
        <v>215</v>
      </c>
      <c r="G12" s="87" t="s">
        <v>152</v>
      </c>
      <c r="H12" s="94" t="s">
        <v>904</v>
      </c>
      <c r="I12" s="87" t="s">
        <v>196</v>
      </c>
      <c r="J12" s="90">
        <v>43419</v>
      </c>
      <c r="K12" s="87" t="s">
        <v>153</v>
      </c>
      <c r="L12" s="87"/>
      <c r="M12" s="96" t="s">
        <v>399</v>
      </c>
      <c r="N12" s="88" t="s">
        <v>400</v>
      </c>
      <c r="O12" s="87">
        <v>6</v>
      </c>
      <c r="P12" s="87">
        <v>2025</v>
      </c>
    </row>
    <row r="13" spans="1:16" ht="46.5" customHeight="1">
      <c r="A13" s="87">
        <v>12</v>
      </c>
      <c r="B13" s="87">
        <f t="shared" si="0"/>
        <v>2025</v>
      </c>
      <c r="C13" s="87" t="s">
        <v>165</v>
      </c>
      <c r="D13" s="89" t="s">
        <v>394</v>
      </c>
      <c r="E13" s="90">
        <v>45820</v>
      </c>
      <c r="F13" s="87" t="s">
        <v>215</v>
      </c>
      <c r="G13" s="87" t="s">
        <v>152</v>
      </c>
      <c r="H13" s="94" t="s">
        <v>1001</v>
      </c>
      <c r="I13" s="87" t="s">
        <v>196</v>
      </c>
      <c r="J13" s="90">
        <v>45840</v>
      </c>
      <c r="K13" s="87" t="s">
        <v>160</v>
      </c>
      <c r="L13" s="87"/>
      <c r="M13" s="96" t="s">
        <v>394</v>
      </c>
      <c r="N13" s="88" t="s">
        <v>400</v>
      </c>
      <c r="O13" s="87">
        <v>6</v>
      </c>
      <c r="P13" s="87">
        <v>2025</v>
      </c>
    </row>
    <row r="14" spans="1:16" ht="55.5" customHeight="1">
      <c r="A14" s="87">
        <v>13</v>
      </c>
      <c r="B14" s="87">
        <f t="shared" si="0"/>
        <v>2025</v>
      </c>
      <c r="C14" s="87" t="s">
        <v>150</v>
      </c>
      <c r="D14" s="89" t="s">
        <v>604</v>
      </c>
      <c r="E14" s="90">
        <v>45823</v>
      </c>
      <c r="F14" s="87" t="s">
        <v>215</v>
      </c>
      <c r="G14" s="87" t="s">
        <v>152</v>
      </c>
      <c r="H14" s="94" t="s">
        <v>935</v>
      </c>
      <c r="I14" s="87" t="s">
        <v>196</v>
      </c>
      <c r="J14" s="90">
        <v>45839</v>
      </c>
      <c r="K14" s="87" t="s">
        <v>160</v>
      </c>
      <c r="L14" s="87"/>
      <c r="M14" s="96" t="s">
        <v>435</v>
      </c>
      <c r="N14" s="88" t="s">
        <v>436</v>
      </c>
      <c r="O14" s="87">
        <v>7</v>
      </c>
      <c r="P14" s="87">
        <v>2025</v>
      </c>
    </row>
    <row r="15" spans="1:16" ht="31.5" customHeight="1">
      <c r="A15" s="87">
        <v>14</v>
      </c>
      <c r="B15" s="87">
        <v>2023</v>
      </c>
      <c r="C15" s="87" t="s">
        <v>150</v>
      </c>
      <c r="D15" s="87" t="s">
        <v>306</v>
      </c>
      <c r="E15" s="90">
        <v>45195</v>
      </c>
      <c r="F15" s="87" t="s">
        <v>215</v>
      </c>
      <c r="G15" s="87" t="s">
        <v>215</v>
      </c>
      <c r="H15" s="94" t="s">
        <v>867</v>
      </c>
      <c r="I15" s="87" t="s">
        <v>196</v>
      </c>
      <c r="J15" s="90">
        <v>45210</v>
      </c>
      <c r="K15" s="87" t="s">
        <v>160</v>
      </c>
      <c r="L15" s="87"/>
      <c r="M15" s="95" t="s">
        <v>306</v>
      </c>
      <c r="N15" s="88" t="s">
        <v>436</v>
      </c>
      <c r="O15" s="87">
        <v>7</v>
      </c>
      <c r="P15" s="87">
        <v>2025</v>
      </c>
    </row>
    <row r="16" spans="1:16" ht="45.75" customHeight="1">
      <c r="A16" s="87">
        <v>15</v>
      </c>
      <c r="B16" s="87">
        <f t="shared" ref="B16:B26" si="1">YEAR(E16)</f>
        <v>2025</v>
      </c>
      <c r="C16" s="87" t="s">
        <v>150</v>
      </c>
      <c r="D16" s="89" t="s">
        <v>603</v>
      </c>
      <c r="E16" s="90">
        <v>45824</v>
      </c>
      <c r="F16" s="87" t="s">
        <v>215</v>
      </c>
      <c r="G16" s="87" t="s">
        <v>152</v>
      </c>
      <c r="H16" s="94" t="s">
        <v>1002</v>
      </c>
      <c r="I16" s="87" t="s">
        <v>196</v>
      </c>
      <c r="J16" s="90">
        <v>45839</v>
      </c>
      <c r="K16" s="87" t="s">
        <v>160</v>
      </c>
      <c r="L16" s="87"/>
      <c r="M16" s="96" t="s">
        <v>437</v>
      </c>
      <c r="N16" s="88" t="s">
        <v>438</v>
      </c>
      <c r="O16" s="87">
        <v>7</v>
      </c>
      <c r="P16" s="87">
        <v>2025</v>
      </c>
    </row>
    <row r="17" spans="1:16" ht="60.75" customHeight="1">
      <c r="A17" s="87">
        <v>16</v>
      </c>
      <c r="B17" s="87">
        <f t="shared" si="1"/>
        <v>2017</v>
      </c>
      <c r="C17" s="87" t="s">
        <v>150</v>
      </c>
      <c r="D17" s="89" t="s">
        <v>439</v>
      </c>
      <c r="E17" s="90">
        <v>43096</v>
      </c>
      <c r="F17" s="87" t="s">
        <v>215</v>
      </c>
      <c r="G17" s="87" t="s">
        <v>152</v>
      </c>
      <c r="H17" s="94" t="s">
        <v>937</v>
      </c>
      <c r="I17" s="87" t="s">
        <v>196</v>
      </c>
      <c r="J17" s="90">
        <v>43101</v>
      </c>
      <c r="K17" s="87" t="s">
        <v>153</v>
      </c>
      <c r="L17" s="87"/>
      <c r="M17" s="96" t="s">
        <v>439</v>
      </c>
      <c r="N17" s="88" t="s">
        <v>438</v>
      </c>
      <c r="O17" s="87">
        <v>7</v>
      </c>
      <c r="P17" s="87">
        <v>2025</v>
      </c>
    </row>
    <row r="18" spans="1:16" ht="46.5" customHeight="1">
      <c r="A18" s="87">
        <v>17</v>
      </c>
      <c r="B18" s="87">
        <f t="shared" si="1"/>
        <v>2025</v>
      </c>
      <c r="C18" s="87" t="s">
        <v>150</v>
      </c>
      <c r="D18" s="89" t="s">
        <v>440</v>
      </c>
      <c r="E18" s="90">
        <v>45822</v>
      </c>
      <c r="F18" s="87" t="s">
        <v>151</v>
      </c>
      <c r="G18" s="87" t="s">
        <v>152</v>
      </c>
      <c r="H18" s="94" t="s">
        <v>1003</v>
      </c>
      <c r="I18" s="87" t="s">
        <v>196</v>
      </c>
      <c r="J18" s="90">
        <v>45839</v>
      </c>
      <c r="K18" s="87" t="s">
        <v>160</v>
      </c>
      <c r="L18" s="87"/>
      <c r="M18" s="96" t="s">
        <v>440</v>
      </c>
      <c r="N18" s="88" t="s">
        <v>438</v>
      </c>
      <c r="O18" s="87">
        <v>7</v>
      </c>
      <c r="P18" s="87">
        <v>2025</v>
      </c>
    </row>
    <row r="19" spans="1:16" ht="44.25" customHeight="1">
      <c r="A19" s="87">
        <v>18</v>
      </c>
      <c r="B19" s="87">
        <f t="shared" si="1"/>
        <v>2017</v>
      </c>
      <c r="C19" s="87" t="s">
        <v>150</v>
      </c>
      <c r="D19" s="89" t="s">
        <v>602</v>
      </c>
      <c r="E19" s="90">
        <v>43100</v>
      </c>
      <c r="F19" s="87" t="s">
        <v>151</v>
      </c>
      <c r="G19" s="87" t="s">
        <v>152</v>
      </c>
      <c r="H19" s="94" t="s">
        <v>1004</v>
      </c>
      <c r="I19" s="87" t="s">
        <v>196</v>
      </c>
      <c r="J19" s="90">
        <v>43101</v>
      </c>
      <c r="K19" s="87" t="s">
        <v>153</v>
      </c>
      <c r="L19" s="87"/>
      <c r="M19" s="96" t="s">
        <v>441</v>
      </c>
      <c r="N19" s="88" t="s">
        <v>438</v>
      </c>
      <c r="O19" s="87">
        <v>7</v>
      </c>
      <c r="P19" s="87">
        <v>2025</v>
      </c>
    </row>
    <row r="20" spans="1:16" ht="27" customHeight="1">
      <c r="A20" s="87">
        <v>19</v>
      </c>
      <c r="B20" s="87">
        <f t="shared" si="1"/>
        <v>2025</v>
      </c>
      <c r="C20" s="87" t="s">
        <v>154</v>
      </c>
      <c r="D20" s="89" t="s">
        <v>442</v>
      </c>
      <c r="E20" s="90">
        <v>45838</v>
      </c>
      <c r="F20" s="87" t="s">
        <v>215</v>
      </c>
      <c r="G20" s="87" t="s">
        <v>152</v>
      </c>
      <c r="H20" s="94" t="s">
        <v>940</v>
      </c>
      <c r="I20" s="87" t="s">
        <v>196</v>
      </c>
      <c r="J20" s="90">
        <v>45839</v>
      </c>
      <c r="K20" s="87" t="s">
        <v>160</v>
      </c>
      <c r="L20" s="87"/>
      <c r="M20" s="96" t="s">
        <v>442</v>
      </c>
      <c r="N20" s="88" t="s">
        <v>438</v>
      </c>
      <c r="O20" s="87">
        <v>7</v>
      </c>
      <c r="P20" s="87">
        <v>2025</v>
      </c>
    </row>
    <row r="21" spans="1:16" ht="45.75" customHeight="1">
      <c r="A21" s="87">
        <v>20</v>
      </c>
      <c r="B21" s="87">
        <f t="shared" si="1"/>
        <v>2023</v>
      </c>
      <c r="C21" s="87" t="s">
        <v>154</v>
      </c>
      <c r="D21" s="89" t="s">
        <v>601</v>
      </c>
      <c r="E21" s="90">
        <v>45212</v>
      </c>
      <c r="F21" s="87" t="s">
        <v>443</v>
      </c>
      <c r="G21" s="87" t="s">
        <v>152</v>
      </c>
      <c r="H21" s="94" t="s">
        <v>1005</v>
      </c>
      <c r="I21" s="87" t="s">
        <v>361</v>
      </c>
      <c r="J21" s="90">
        <v>45212</v>
      </c>
      <c r="K21" s="87" t="s">
        <v>160</v>
      </c>
      <c r="L21" s="87"/>
      <c r="M21" s="96" t="s">
        <v>444</v>
      </c>
      <c r="N21" s="88" t="s">
        <v>438</v>
      </c>
      <c r="O21" s="87">
        <v>7</v>
      </c>
      <c r="P21" s="87">
        <v>2025</v>
      </c>
    </row>
    <row r="22" spans="1:16" ht="27" customHeight="1">
      <c r="A22" s="87">
        <v>21</v>
      </c>
      <c r="B22" s="87">
        <f t="shared" si="1"/>
        <v>2025</v>
      </c>
      <c r="C22" s="87" t="s">
        <v>154</v>
      </c>
      <c r="D22" s="89" t="s">
        <v>598</v>
      </c>
      <c r="E22" s="90">
        <v>45824</v>
      </c>
      <c r="F22" s="87" t="s">
        <v>383</v>
      </c>
      <c r="G22" s="87" t="s">
        <v>383</v>
      </c>
      <c r="H22" s="94" t="s">
        <v>948</v>
      </c>
      <c r="I22" s="87" t="s">
        <v>384</v>
      </c>
      <c r="J22" s="90">
        <v>46023</v>
      </c>
      <c r="K22" s="87" t="s">
        <v>160</v>
      </c>
      <c r="L22" s="87"/>
      <c r="M22" s="96" t="s">
        <v>452</v>
      </c>
      <c r="N22" s="88" t="s">
        <v>524</v>
      </c>
      <c r="O22" s="87">
        <v>7</v>
      </c>
      <c r="P22" s="87">
        <v>2025</v>
      </c>
    </row>
    <row r="23" spans="1:16" ht="36.75" customHeight="1">
      <c r="A23" s="87">
        <v>22</v>
      </c>
      <c r="B23" s="87">
        <f t="shared" si="1"/>
        <v>2013</v>
      </c>
      <c r="C23" s="87" t="s">
        <v>154</v>
      </c>
      <c r="D23" s="89" t="s">
        <v>592</v>
      </c>
      <c r="E23" s="90">
        <v>41594</v>
      </c>
      <c r="F23" s="87" t="s">
        <v>383</v>
      </c>
      <c r="G23" s="87" t="s">
        <v>383</v>
      </c>
      <c r="H23" s="94" t="s">
        <v>949</v>
      </c>
      <c r="I23" s="87" t="s">
        <v>384</v>
      </c>
      <c r="J23" s="90">
        <v>42005</v>
      </c>
      <c r="K23" s="97" t="s">
        <v>153</v>
      </c>
      <c r="L23" s="87" t="s">
        <v>689</v>
      </c>
      <c r="M23" s="96" t="s">
        <v>453</v>
      </c>
      <c r="N23" s="88" t="s">
        <v>524</v>
      </c>
      <c r="O23" s="87">
        <v>7</v>
      </c>
      <c r="P23" s="87">
        <v>2025</v>
      </c>
    </row>
    <row r="24" spans="1:16" ht="42.75" customHeight="1">
      <c r="A24" s="87">
        <v>23</v>
      </c>
      <c r="B24" s="87">
        <f t="shared" si="1"/>
        <v>2025</v>
      </c>
      <c r="C24" s="87" t="s">
        <v>150</v>
      </c>
      <c r="D24" s="87" t="s">
        <v>591</v>
      </c>
      <c r="E24" s="90">
        <v>45873</v>
      </c>
      <c r="F24" s="87" t="s">
        <v>215</v>
      </c>
      <c r="G24" s="87" t="s">
        <v>158</v>
      </c>
      <c r="H24" s="94" t="s">
        <v>951</v>
      </c>
      <c r="I24" s="87" t="s">
        <v>196</v>
      </c>
      <c r="J24" s="90">
        <v>45873</v>
      </c>
      <c r="K24" s="87" t="s">
        <v>160</v>
      </c>
      <c r="L24" s="87"/>
      <c r="M24" s="96" t="s">
        <v>455</v>
      </c>
      <c r="N24" s="88" t="s">
        <v>525</v>
      </c>
      <c r="O24" s="87">
        <v>8</v>
      </c>
      <c r="P24" s="87">
        <v>2025</v>
      </c>
    </row>
    <row r="25" spans="1:16" ht="45.75" customHeight="1">
      <c r="A25" s="87">
        <v>24</v>
      </c>
      <c r="B25" s="87">
        <f t="shared" si="1"/>
        <v>2024</v>
      </c>
      <c r="C25" s="87" t="s">
        <v>150</v>
      </c>
      <c r="D25" s="89" t="s">
        <v>321</v>
      </c>
      <c r="E25" s="90">
        <v>45349</v>
      </c>
      <c r="F25" s="87" t="s">
        <v>215</v>
      </c>
      <c r="G25" s="87" t="s">
        <v>158</v>
      </c>
      <c r="H25" s="94" t="s">
        <v>952</v>
      </c>
      <c r="I25" s="87" t="s">
        <v>196</v>
      </c>
      <c r="J25" s="90">
        <v>45349</v>
      </c>
      <c r="K25" s="87" t="s">
        <v>153</v>
      </c>
      <c r="L25" s="87"/>
      <c r="M25" s="96" t="s">
        <v>457</v>
      </c>
      <c r="N25" s="88" t="s">
        <v>525</v>
      </c>
      <c r="O25" s="87">
        <v>8</v>
      </c>
      <c r="P25" s="87">
        <v>2025</v>
      </c>
    </row>
    <row r="26" spans="1:16" ht="30" customHeight="1">
      <c r="A26" s="87">
        <v>25</v>
      </c>
      <c r="B26" s="87">
        <f t="shared" si="1"/>
        <v>2025</v>
      </c>
      <c r="C26" s="87" t="s">
        <v>154</v>
      </c>
      <c r="D26" s="89" t="s">
        <v>464</v>
      </c>
      <c r="E26" s="90">
        <v>45876</v>
      </c>
      <c r="F26" s="87" t="s">
        <v>215</v>
      </c>
      <c r="G26" s="87" t="s">
        <v>215</v>
      </c>
      <c r="H26" s="94" t="s">
        <v>954</v>
      </c>
      <c r="I26" s="87" t="s">
        <v>196</v>
      </c>
      <c r="J26" s="90">
        <v>45876</v>
      </c>
      <c r="K26" s="87" t="s">
        <v>160</v>
      </c>
      <c r="L26" s="87"/>
      <c r="M26" s="96" t="s">
        <v>464</v>
      </c>
      <c r="N26" s="88" t="s">
        <v>525</v>
      </c>
      <c r="O26" s="87">
        <v>8</v>
      </c>
      <c r="P26" s="87">
        <v>2025</v>
      </c>
    </row>
    <row r="27" spans="1:16" ht="56.25" customHeight="1">
      <c r="A27" s="87">
        <v>26</v>
      </c>
      <c r="B27" s="87">
        <v>2025</v>
      </c>
      <c r="C27" s="87" t="s">
        <v>154</v>
      </c>
      <c r="D27" s="89" t="s">
        <v>526</v>
      </c>
      <c r="E27" s="90">
        <v>45282</v>
      </c>
      <c r="F27" s="87"/>
      <c r="G27" s="87" t="s">
        <v>443</v>
      </c>
      <c r="H27" s="94" t="s">
        <v>1006</v>
      </c>
      <c r="I27" s="87" t="s">
        <v>199</v>
      </c>
      <c r="J27" s="90">
        <v>45282</v>
      </c>
      <c r="K27" s="87" t="s">
        <v>160</v>
      </c>
      <c r="L27" s="87"/>
      <c r="M27" s="93" t="s">
        <v>526</v>
      </c>
      <c r="N27" s="88" t="s">
        <v>525</v>
      </c>
      <c r="O27" s="87">
        <v>8</v>
      </c>
      <c r="P27" s="87">
        <v>2025</v>
      </c>
    </row>
    <row r="28" spans="1:16" ht="27" customHeight="1">
      <c r="A28" s="87">
        <v>27</v>
      </c>
      <c r="B28" s="87">
        <f t="shared" ref="B28" si="2">YEAR(E28)</f>
        <v>2025</v>
      </c>
      <c r="C28" s="87" t="s">
        <v>155</v>
      </c>
      <c r="D28" s="89" t="s">
        <v>465</v>
      </c>
      <c r="E28" s="90">
        <v>45877</v>
      </c>
      <c r="F28" s="87" t="s">
        <v>215</v>
      </c>
      <c r="G28" s="87" t="s">
        <v>215</v>
      </c>
      <c r="H28" s="94" t="s">
        <v>955</v>
      </c>
      <c r="I28" s="87" t="s">
        <v>196</v>
      </c>
      <c r="J28" s="90">
        <v>45871</v>
      </c>
      <c r="K28" s="87" t="s">
        <v>160</v>
      </c>
      <c r="L28" s="87"/>
      <c r="M28" s="96" t="s">
        <v>465</v>
      </c>
      <c r="N28" s="88" t="s">
        <v>185</v>
      </c>
      <c r="O28" s="87">
        <v>9</v>
      </c>
      <c r="P28" s="87">
        <v>2025</v>
      </c>
    </row>
    <row r="29" spans="1:16" ht="43.5" customHeight="1">
      <c r="A29" s="87">
        <v>28</v>
      </c>
      <c r="B29" s="87">
        <v>2025</v>
      </c>
      <c r="C29" s="87" t="s">
        <v>155</v>
      </c>
      <c r="D29" s="89" t="s">
        <v>494</v>
      </c>
      <c r="E29" s="90">
        <v>45903</v>
      </c>
      <c r="F29" s="87" t="s">
        <v>215</v>
      </c>
      <c r="G29" s="87" t="s">
        <v>215</v>
      </c>
      <c r="H29" s="94" t="s">
        <v>965</v>
      </c>
      <c r="I29" s="87" t="s">
        <v>196</v>
      </c>
      <c r="J29" s="90">
        <v>45903</v>
      </c>
      <c r="K29" s="87" t="s">
        <v>160</v>
      </c>
      <c r="L29" s="91"/>
      <c r="M29" s="96" t="s">
        <v>494</v>
      </c>
      <c r="N29" s="88" t="s">
        <v>185</v>
      </c>
      <c r="O29" s="87">
        <v>9</v>
      </c>
      <c r="P29" s="87">
        <v>2025</v>
      </c>
    </row>
    <row r="30" spans="1:16" ht="32.25" customHeight="1">
      <c r="A30" s="87">
        <v>29</v>
      </c>
      <c r="B30" s="87">
        <v>2025</v>
      </c>
      <c r="C30" s="87" t="s">
        <v>154</v>
      </c>
      <c r="D30" s="89" t="s">
        <v>495</v>
      </c>
      <c r="E30" s="90">
        <v>45898</v>
      </c>
      <c r="F30" s="87" t="s">
        <v>152</v>
      </c>
      <c r="G30" s="87" t="s">
        <v>152</v>
      </c>
      <c r="H30" s="123" t="s">
        <v>1007</v>
      </c>
      <c r="I30" s="87" t="s">
        <v>233</v>
      </c>
      <c r="J30" s="90">
        <v>45898</v>
      </c>
      <c r="K30" s="87" t="s">
        <v>160</v>
      </c>
      <c r="L30" s="91"/>
      <c r="M30" s="96" t="s">
        <v>495</v>
      </c>
      <c r="N30" s="88" t="s">
        <v>185</v>
      </c>
      <c r="O30" s="87">
        <v>9</v>
      </c>
      <c r="P30" s="87">
        <v>2025</v>
      </c>
    </row>
    <row r="31" spans="1:16" ht="60" customHeight="1">
      <c r="A31" s="87">
        <v>30</v>
      </c>
      <c r="B31" s="87">
        <v>2025</v>
      </c>
      <c r="C31" s="87" t="s">
        <v>150</v>
      </c>
      <c r="D31" s="89" t="s">
        <v>491</v>
      </c>
      <c r="E31" s="90">
        <v>45898</v>
      </c>
      <c r="F31" s="87" t="s">
        <v>215</v>
      </c>
      <c r="G31" s="87" t="s">
        <v>215</v>
      </c>
      <c r="H31" s="94" t="s">
        <v>964</v>
      </c>
      <c r="I31" s="87" t="s">
        <v>196</v>
      </c>
      <c r="J31" s="90">
        <v>45898</v>
      </c>
      <c r="K31" s="87" t="s">
        <v>160</v>
      </c>
      <c r="L31" s="91"/>
      <c r="M31" s="96" t="s">
        <v>491</v>
      </c>
      <c r="N31" s="88" t="s">
        <v>185</v>
      </c>
      <c r="O31" s="87">
        <v>9</v>
      </c>
      <c r="P31" s="87">
        <v>2025</v>
      </c>
    </row>
    <row r="32" spans="1:16" ht="43.5" customHeight="1">
      <c r="A32" s="87">
        <v>31</v>
      </c>
      <c r="B32" s="87">
        <v>2025</v>
      </c>
      <c r="C32" s="87" t="s">
        <v>155</v>
      </c>
      <c r="D32" s="89" t="s">
        <v>498</v>
      </c>
      <c r="E32" s="90">
        <v>45908</v>
      </c>
      <c r="F32" s="87" t="s">
        <v>198</v>
      </c>
      <c r="G32" s="87" t="s">
        <v>198</v>
      </c>
      <c r="H32" s="123" t="s">
        <v>967</v>
      </c>
      <c r="I32" s="87" t="s">
        <v>252</v>
      </c>
      <c r="J32" s="90">
        <v>45942</v>
      </c>
      <c r="K32" s="87" t="s">
        <v>160</v>
      </c>
      <c r="L32" s="91"/>
      <c r="M32" s="96" t="s">
        <v>498</v>
      </c>
      <c r="N32" s="88" t="s">
        <v>185</v>
      </c>
      <c r="O32" s="87">
        <v>9</v>
      </c>
      <c r="P32" s="87">
        <v>2025</v>
      </c>
    </row>
    <row r="33" spans="1:16" ht="64.5" customHeight="1">
      <c r="A33" s="87">
        <v>32</v>
      </c>
      <c r="B33" s="87">
        <v>2025</v>
      </c>
      <c r="C33" s="99" t="s">
        <v>154</v>
      </c>
      <c r="D33" s="100" t="s">
        <v>504</v>
      </c>
      <c r="E33" s="101">
        <v>45917</v>
      </c>
      <c r="F33" s="87" t="s">
        <v>151</v>
      </c>
      <c r="G33" s="87" t="s">
        <v>151</v>
      </c>
      <c r="H33" s="123" t="s">
        <v>581</v>
      </c>
      <c r="I33" s="87" t="s">
        <v>252</v>
      </c>
      <c r="J33" s="101">
        <v>45917</v>
      </c>
      <c r="K33" s="87" t="s">
        <v>160</v>
      </c>
      <c r="L33" s="99"/>
      <c r="M33" s="102" t="s">
        <v>504</v>
      </c>
      <c r="N33" s="103" t="s">
        <v>186</v>
      </c>
      <c r="O33" s="87">
        <v>9</v>
      </c>
      <c r="P33" s="87">
        <v>2025</v>
      </c>
    </row>
    <row r="34" spans="1:16" ht="64.5" customHeight="1">
      <c r="A34" s="87">
        <v>33</v>
      </c>
      <c r="B34" s="87">
        <v>2025</v>
      </c>
      <c r="C34" s="99" t="s">
        <v>161</v>
      </c>
      <c r="D34" s="100" t="s">
        <v>593</v>
      </c>
      <c r="E34" s="101">
        <v>45911</v>
      </c>
      <c r="F34" s="99" t="s">
        <v>151</v>
      </c>
      <c r="G34" s="99" t="s">
        <v>151</v>
      </c>
      <c r="H34" s="123" t="s">
        <v>580</v>
      </c>
      <c r="I34" s="99" t="s">
        <v>196</v>
      </c>
      <c r="J34" s="101">
        <v>45839</v>
      </c>
      <c r="K34" s="87" t="s">
        <v>160</v>
      </c>
      <c r="L34" s="99"/>
      <c r="M34" s="102" t="s">
        <v>505</v>
      </c>
      <c r="N34" s="103" t="s">
        <v>186</v>
      </c>
      <c r="O34" s="87">
        <v>9</v>
      </c>
      <c r="P34" s="87">
        <v>2025</v>
      </c>
    </row>
    <row r="35" spans="1:16" ht="47.25" customHeight="1">
      <c r="A35" s="87">
        <v>34</v>
      </c>
      <c r="B35" s="87">
        <v>2025</v>
      </c>
      <c r="C35" s="99" t="s">
        <v>155</v>
      </c>
      <c r="D35" s="100" t="s">
        <v>506</v>
      </c>
      <c r="E35" s="101">
        <v>45915</v>
      </c>
      <c r="F35" s="99" t="s">
        <v>198</v>
      </c>
      <c r="G35" s="87" t="s">
        <v>198</v>
      </c>
      <c r="H35" s="123" t="s">
        <v>971</v>
      </c>
      <c r="I35" s="87" t="s">
        <v>252</v>
      </c>
      <c r="J35" s="101">
        <v>45961</v>
      </c>
      <c r="K35" s="87" t="s">
        <v>160</v>
      </c>
      <c r="L35" s="99"/>
      <c r="M35" s="102" t="s">
        <v>506</v>
      </c>
      <c r="N35" s="103" t="s">
        <v>186</v>
      </c>
      <c r="O35" s="87">
        <v>9</v>
      </c>
      <c r="P35" s="87">
        <v>2025</v>
      </c>
    </row>
    <row r="36" spans="1:16" ht="41.25" customHeight="1">
      <c r="A36" s="87">
        <v>35</v>
      </c>
      <c r="B36" s="87">
        <v>2025</v>
      </c>
      <c r="C36" s="99" t="s">
        <v>161</v>
      </c>
      <c r="D36" s="100" t="s">
        <v>574</v>
      </c>
      <c r="E36" s="101">
        <v>45923</v>
      </c>
      <c r="F36" s="99" t="s">
        <v>198</v>
      </c>
      <c r="G36" s="87" t="s">
        <v>198</v>
      </c>
      <c r="H36" s="123" t="s">
        <v>972</v>
      </c>
      <c r="I36" s="87" t="s">
        <v>252</v>
      </c>
      <c r="J36" s="101">
        <v>45923</v>
      </c>
      <c r="K36" s="87" t="s">
        <v>160</v>
      </c>
      <c r="L36" s="99"/>
      <c r="M36" s="102" t="s">
        <v>507</v>
      </c>
      <c r="N36" s="103" t="s">
        <v>186</v>
      </c>
      <c r="O36" s="87">
        <v>9</v>
      </c>
      <c r="P36" s="87">
        <v>2025</v>
      </c>
    </row>
    <row r="37" spans="1:16" ht="28.5" customHeight="1">
      <c r="A37" s="87">
        <v>36</v>
      </c>
      <c r="B37" s="87">
        <f t="shared" ref="B37" si="3">YEAR(E37)</f>
        <v>2025</v>
      </c>
      <c r="C37" s="87" t="s">
        <v>165</v>
      </c>
      <c r="D37" s="89" t="s">
        <v>447</v>
      </c>
      <c r="E37" s="90">
        <v>45849</v>
      </c>
      <c r="F37" s="87" t="s">
        <v>215</v>
      </c>
      <c r="G37" s="87" t="s">
        <v>215</v>
      </c>
      <c r="H37" s="94" t="s">
        <v>944</v>
      </c>
      <c r="I37" s="87" t="s">
        <v>196</v>
      </c>
      <c r="J37" s="90">
        <v>45901</v>
      </c>
      <c r="K37" s="87" t="s">
        <v>160</v>
      </c>
      <c r="L37" s="87"/>
      <c r="M37" s="96" t="s">
        <v>447</v>
      </c>
      <c r="N37" s="103" t="s">
        <v>186</v>
      </c>
      <c r="O37" s="87">
        <v>9</v>
      </c>
      <c r="P37" s="87">
        <v>2025</v>
      </c>
    </row>
    <row r="38" spans="1:16" ht="53.25" customHeight="1">
      <c r="A38" s="87">
        <v>37</v>
      </c>
      <c r="B38" s="87">
        <v>2025</v>
      </c>
      <c r="C38" s="99" t="s">
        <v>161</v>
      </c>
      <c r="D38" s="100" t="s">
        <v>593</v>
      </c>
      <c r="E38" s="101">
        <v>45911</v>
      </c>
      <c r="F38" s="99" t="s">
        <v>151</v>
      </c>
      <c r="G38" s="87" t="s">
        <v>151</v>
      </c>
      <c r="H38" s="123" t="s">
        <v>580</v>
      </c>
      <c r="I38" s="99" t="s">
        <v>196</v>
      </c>
      <c r="J38" s="101">
        <v>45839</v>
      </c>
      <c r="K38" s="87" t="s">
        <v>160</v>
      </c>
      <c r="L38" s="99"/>
      <c r="M38" s="102" t="s">
        <v>505</v>
      </c>
      <c r="N38" s="103" t="s">
        <v>186</v>
      </c>
      <c r="O38" s="87">
        <v>9</v>
      </c>
      <c r="P38" s="87">
        <v>2025</v>
      </c>
    </row>
    <row r="39" spans="1:16" ht="43.5" customHeight="1">
      <c r="A39" s="87">
        <v>38</v>
      </c>
      <c r="B39" s="87">
        <v>2025</v>
      </c>
      <c r="C39" s="99" t="s">
        <v>155</v>
      </c>
      <c r="D39" s="100" t="s">
        <v>506</v>
      </c>
      <c r="E39" s="101">
        <v>45915</v>
      </c>
      <c r="F39" s="99" t="s">
        <v>198</v>
      </c>
      <c r="G39" s="87" t="s">
        <v>198</v>
      </c>
      <c r="H39" s="123" t="s">
        <v>971</v>
      </c>
      <c r="I39" s="87" t="s">
        <v>252</v>
      </c>
      <c r="J39" s="101">
        <v>45961</v>
      </c>
      <c r="K39" s="87" t="s">
        <v>160</v>
      </c>
      <c r="L39" s="99"/>
      <c r="M39" s="102" t="s">
        <v>506</v>
      </c>
      <c r="N39" s="103" t="s">
        <v>186</v>
      </c>
      <c r="O39" s="87">
        <v>9</v>
      </c>
      <c r="P39" s="87">
        <v>2025</v>
      </c>
    </row>
    <row r="40" spans="1:16" ht="56.25" customHeight="1">
      <c r="A40" s="87">
        <v>39</v>
      </c>
      <c r="B40" s="104">
        <v>2025</v>
      </c>
      <c r="C40" s="104" t="s">
        <v>155</v>
      </c>
      <c r="D40" s="104" t="s">
        <v>562</v>
      </c>
      <c r="E40" s="105">
        <v>45933</v>
      </c>
      <c r="F40" s="104" t="s">
        <v>151</v>
      </c>
      <c r="G40" s="87" t="s">
        <v>151</v>
      </c>
      <c r="H40" s="124" t="s">
        <v>576</v>
      </c>
      <c r="I40" s="104" t="s">
        <v>252</v>
      </c>
      <c r="J40" s="105">
        <v>45925</v>
      </c>
      <c r="K40" s="104" t="s">
        <v>160</v>
      </c>
      <c r="L40" s="98"/>
      <c r="M40" s="106" t="s">
        <v>562</v>
      </c>
      <c r="N40" s="107" t="s">
        <v>571</v>
      </c>
      <c r="O40" s="87">
        <v>10</v>
      </c>
      <c r="P40" s="87">
        <v>2025</v>
      </c>
    </row>
    <row r="41" spans="1:16" ht="44.25" customHeight="1">
      <c r="A41" s="87">
        <v>40</v>
      </c>
      <c r="B41" s="87">
        <v>2025</v>
      </c>
      <c r="C41" s="87" t="s">
        <v>155</v>
      </c>
      <c r="D41" s="89" t="s">
        <v>570</v>
      </c>
      <c r="E41" s="90">
        <v>44371</v>
      </c>
      <c r="F41" s="87"/>
      <c r="G41" s="87" t="s">
        <v>151</v>
      </c>
      <c r="H41" s="94" t="s">
        <v>690</v>
      </c>
      <c r="I41" s="87" t="s">
        <v>252</v>
      </c>
      <c r="J41" s="90">
        <v>44371</v>
      </c>
      <c r="K41" s="87" t="s">
        <v>153</v>
      </c>
      <c r="L41" s="87"/>
      <c r="M41" s="92" t="s">
        <v>570</v>
      </c>
      <c r="N41" s="108" t="s">
        <v>571</v>
      </c>
      <c r="O41" s="87">
        <v>10</v>
      </c>
      <c r="P41" s="87">
        <v>2025</v>
      </c>
    </row>
    <row r="42" spans="1:16" ht="63.75">
      <c r="A42" s="87">
        <v>41</v>
      </c>
      <c r="B42" s="109">
        <v>2025</v>
      </c>
      <c r="C42" s="109" t="s">
        <v>353</v>
      </c>
      <c r="D42" s="110" t="s">
        <v>609</v>
      </c>
      <c r="E42" s="111">
        <v>45938</v>
      </c>
      <c r="F42" s="109" t="s">
        <v>152</v>
      </c>
      <c r="G42" s="87" t="s">
        <v>152</v>
      </c>
      <c r="H42" s="125" t="s">
        <v>691</v>
      </c>
      <c r="I42" s="112" t="s">
        <v>233</v>
      </c>
      <c r="J42" s="111">
        <v>45938</v>
      </c>
      <c r="K42" s="109" t="s">
        <v>160</v>
      </c>
      <c r="L42" s="109"/>
      <c r="M42" s="113" t="s">
        <v>610</v>
      </c>
      <c r="N42" s="114" t="s">
        <v>675</v>
      </c>
      <c r="O42" s="87">
        <v>10</v>
      </c>
      <c r="P42" s="87">
        <v>2025</v>
      </c>
    </row>
    <row r="43" spans="1:16" ht="63.75">
      <c r="A43" s="87">
        <v>42</v>
      </c>
      <c r="B43" s="99">
        <v>2025</v>
      </c>
      <c r="C43" s="99" t="s">
        <v>154</v>
      </c>
      <c r="D43" s="100" t="s">
        <v>614</v>
      </c>
      <c r="E43" s="111">
        <v>45947</v>
      </c>
      <c r="F43" s="99" t="s">
        <v>172</v>
      </c>
      <c r="G43" s="87" t="s">
        <v>172</v>
      </c>
      <c r="H43" s="123" t="s">
        <v>616</v>
      </c>
      <c r="I43" s="99" t="s">
        <v>617</v>
      </c>
      <c r="J43" s="101">
        <v>45947</v>
      </c>
      <c r="K43" s="99" t="s">
        <v>160</v>
      </c>
      <c r="L43" s="99"/>
      <c r="M43" s="102" t="s">
        <v>614</v>
      </c>
      <c r="N43" s="114" t="s">
        <v>675</v>
      </c>
      <c r="O43" s="87">
        <v>10</v>
      </c>
      <c r="P43" s="87">
        <v>2025</v>
      </c>
    </row>
    <row r="44" spans="1:16" ht="81" customHeight="1">
      <c r="A44" s="87">
        <v>43</v>
      </c>
      <c r="B44" s="99">
        <v>2025</v>
      </c>
      <c r="C44" s="99" t="s">
        <v>156</v>
      </c>
      <c r="D44" s="100" t="s">
        <v>636</v>
      </c>
      <c r="E44" s="101">
        <v>45944</v>
      </c>
      <c r="F44" s="99" t="s">
        <v>215</v>
      </c>
      <c r="G44" s="87" t="s">
        <v>215</v>
      </c>
      <c r="H44" s="123" t="s">
        <v>633</v>
      </c>
      <c r="I44" s="99" t="s">
        <v>196</v>
      </c>
      <c r="J44" s="101">
        <v>45944</v>
      </c>
      <c r="K44" s="99" t="s">
        <v>160</v>
      </c>
      <c r="L44" s="99"/>
      <c r="M44" s="102" t="s">
        <v>636</v>
      </c>
      <c r="N44" s="114" t="s">
        <v>675</v>
      </c>
      <c r="O44" s="87">
        <v>10</v>
      </c>
      <c r="P44" s="87">
        <v>2025</v>
      </c>
    </row>
    <row r="45" spans="1:16" ht="76.5">
      <c r="A45" s="87">
        <v>44</v>
      </c>
      <c r="B45" s="99">
        <v>2025</v>
      </c>
      <c r="C45" s="99" t="s">
        <v>154</v>
      </c>
      <c r="D45" s="100" t="s">
        <v>700</v>
      </c>
      <c r="E45" s="101">
        <v>45971</v>
      </c>
      <c r="F45" s="99" t="s">
        <v>710</v>
      </c>
      <c r="G45" s="99" t="s">
        <v>215</v>
      </c>
      <c r="H45" s="123" t="s">
        <v>984</v>
      </c>
      <c r="I45" s="99" t="s">
        <v>617</v>
      </c>
      <c r="J45" s="101">
        <v>45971</v>
      </c>
      <c r="K45" s="99" t="s">
        <v>160</v>
      </c>
      <c r="L45" s="99"/>
      <c r="M45" s="100" t="s">
        <v>700</v>
      </c>
      <c r="N45" s="117" t="s">
        <v>715</v>
      </c>
      <c r="O45" s="99">
        <v>11</v>
      </c>
      <c r="P45" s="99">
        <v>2025</v>
      </c>
    </row>
    <row r="46" spans="1:16" ht="76.5">
      <c r="A46" s="87">
        <v>45</v>
      </c>
      <c r="B46" s="99">
        <v>2025</v>
      </c>
      <c r="C46" s="99" t="s">
        <v>154</v>
      </c>
      <c r="D46" s="89" t="s">
        <v>716</v>
      </c>
      <c r="E46" s="90">
        <v>45473</v>
      </c>
      <c r="F46" s="87"/>
      <c r="G46" s="99" t="s">
        <v>215</v>
      </c>
      <c r="H46" s="94" t="s">
        <v>1008</v>
      </c>
      <c r="I46" s="99" t="s">
        <v>617</v>
      </c>
      <c r="J46" s="90">
        <v>45474</v>
      </c>
      <c r="K46" s="87" t="s">
        <v>153</v>
      </c>
      <c r="L46" s="87"/>
      <c r="M46" s="89" t="s">
        <v>716</v>
      </c>
      <c r="N46" s="117" t="s">
        <v>715</v>
      </c>
      <c r="O46" s="99">
        <v>11</v>
      </c>
      <c r="P46" s="99">
        <v>2025</v>
      </c>
    </row>
    <row r="47" spans="1:16" ht="76.5">
      <c r="A47" s="87">
        <v>46</v>
      </c>
      <c r="B47" s="99">
        <v>2025</v>
      </c>
      <c r="C47" s="99" t="s">
        <v>154</v>
      </c>
      <c r="D47" s="100" t="s">
        <v>705</v>
      </c>
      <c r="E47" s="101">
        <v>45961</v>
      </c>
      <c r="F47" s="99" t="s">
        <v>710</v>
      </c>
      <c r="G47" s="99" t="s">
        <v>215</v>
      </c>
      <c r="H47" s="123" t="s">
        <v>1009</v>
      </c>
      <c r="I47" s="99" t="s">
        <v>617</v>
      </c>
      <c r="J47" s="101">
        <v>45961</v>
      </c>
      <c r="K47" s="99" t="s">
        <v>160</v>
      </c>
      <c r="L47" s="99"/>
      <c r="M47" s="100" t="s">
        <v>705</v>
      </c>
      <c r="N47" s="117" t="s">
        <v>715</v>
      </c>
      <c r="O47" s="99">
        <v>11</v>
      </c>
      <c r="P47" s="99">
        <v>2025</v>
      </c>
    </row>
    <row r="48" spans="1:16" ht="76.5">
      <c r="A48" s="87">
        <v>47</v>
      </c>
      <c r="B48" s="99">
        <v>2025</v>
      </c>
      <c r="C48" s="99" t="s">
        <v>154</v>
      </c>
      <c r="D48" s="89" t="s">
        <v>282</v>
      </c>
      <c r="E48" s="90">
        <v>44111</v>
      </c>
      <c r="F48" s="87"/>
      <c r="G48" s="87" t="s">
        <v>215</v>
      </c>
      <c r="H48" s="94" t="s">
        <v>1010</v>
      </c>
      <c r="I48" s="87" t="s">
        <v>196</v>
      </c>
      <c r="J48" s="90">
        <v>44166</v>
      </c>
      <c r="K48" s="87" t="s">
        <v>160</v>
      </c>
      <c r="L48" s="87"/>
      <c r="M48" s="116" t="s">
        <v>282</v>
      </c>
      <c r="N48" s="117" t="s">
        <v>715</v>
      </c>
      <c r="O48" s="99">
        <v>11</v>
      </c>
      <c r="P48" s="99">
        <v>2025</v>
      </c>
    </row>
    <row r="49" spans="1:16" ht="76.5">
      <c r="A49" s="87">
        <v>48</v>
      </c>
      <c r="B49" s="99">
        <v>2025</v>
      </c>
      <c r="C49" s="130" t="s">
        <v>165</v>
      </c>
      <c r="D49" s="100" t="s">
        <v>739</v>
      </c>
      <c r="E49" s="101">
        <v>45977</v>
      </c>
      <c r="F49" s="130" t="s">
        <v>215</v>
      </c>
      <c r="G49" s="130" t="s">
        <v>215</v>
      </c>
      <c r="H49" s="123" t="s">
        <v>1011</v>
      </c>
      <c r="I49" s="130" t="s">
        <v>196</v>
      </c>
      <c r="J49" s="101">
        <v>46023</v>
      </c>
      <c r="K49" s="99" t="s">
        <v>160</v>
      </c>
      <c r="L49" s="130"/>
      <c r="M49" s="131" t="s">
        <v>739</v>
      </c>
      <c r="N49" s="136" t="s">
        <v>715</v>
      </c>
      <c r="O49" s="99">
        <v>11</v>
      </c>
      <c r="P49" s="99">
        <v>2025</v>
      </c>
    </row>
    <row r="50" spans="1:16" ht="76.5">
      <c r="A50" s="87">
        <v>49</v>
      </c>
      <c r="B50" s="99">
        <v>2025</v>
      </c>
      <c r="C50" s="130" t="s">
        <v>165</v>
      </c>
      <c r="D50" s="100" t="s">
        <v>742</v>
      </c>
      <c r="E50" s="101">
        <v>45980</v>
      </c>
      <c r="F50" s="130" t="s">
        <v>215</v>
      </c>
      <c r="G50" s="130" t="s">
        <v>215</v>
      </c>
      <c r="H50" s="123" t="s">
        <v>997</v>
      </c>
      <c r="I50" s="130" t="s">
        <v>196</v>
      </c>
      <c r="J50" s="101">
        <v>45981</v>
      </c>
      <c r="K50" s="99" t="s">
        <v>160</v>
      </c>
      <c r="L50" s="130"/>
      <c r="M50" s="131" t="s">
        <v>742</v>
      </c>
      <c r="N50" s="136" t="s">
        <v>715</v>
      </c>
      <c r="O50" s="99">
        <v>11</v>
      </c>
      <c r="P50" s="99">
        <v>2025</v>
      </c>
    </row>
    <row r="51" spans="1:16" ht="76.5">
      <c r="A51" s="87">
        <v>50</v>
      </c>
      <c r="B51" s="99">
        <v>2025</v>
      </c>
      <c r="C51" s="99" t="s">
        <v>156</v>
      </c>
      <c r="D51" s="100" t="s">
        <v>636</v>
      </c>
      <c r="E51" s="101">
        <v>45944</v>
      </c>
      <c r="F51" s="99" t="s">
        <v>215</v>
      </c>
      <c r="G51" s="99" t="s">
        <v>215</v>
      </c>
      <c r="H51" s="123" t="s">
        <v>633</v>
      </c>
      <c r="I51" s="99" t="s">
        <v>196</v>
      </c>
      <c r="J51" s="101">
        <v>45944</v>
      </c>
      <c r="K51" s="99" t="s">
        <v>160</v>
      </c>
      <c r="L51" s="99"/>
      <c r="M51" s="131" t="s">
        <v>636</v>
      </c>
      <c r="N51" s="136" t="s">
        <v>715</v>
      </c>
      <c r="O51" s="99">
        <v>11</v>
      </c>
      <c r="P51" s="99">
        <v>2025</v>
      </c>
    </row>
    <row r="52" spans="1:16" ht="76.5">
      <c r="A52" s="87">
        <v>51</v>
      </c>
      <c r="B52" s="99">
        <v>2025</v>
      </c>
      <c r="C52" s="130" t="s">
        <v>154</v>
      </c>
      <c r="D52" s="100" t="s">
        <v>746</v>
      </c>
      <c r="E52" s="101">
        <v>45978</v>
      </c>
      <c r="F52" s="130" t="s">
        <v>151</v>
      </c>
      <c r="G52" s="130" t="s">
        <v>151</v>
      </c>
      <c r="H52" s="123" t="s">
        <v>745</v>
      </c>
      <c r="I52" s="130" t="s">
        <v>196</v>
      </c>
      <c r="J52" s="101">
        <v>45978</v>
      </c>
      <c r="K52" s="99" t="s">
        <v>160</v>
      </c>
      <c r="L52" s="130"/>
      <c r="M52" s="131" t="s">
        <v>746</v>
      </c>
      <c r="N52" s="136" t="s">
        <v>715</v>
      </c>
      <c r="O52" s="99">
        <v>11</v>
      </c>
      <c r="P52" s="99">
        <v>2025</v>
      </c>
    </row>
    <row r="53" spans="1:16" ht="76.5">
      <c r="A53" s="87">
        <v>52</v>
      </c>
      <c r="B53" s="99">
        <v>2025</v>
      </c>
      <c r="C53" s="130" t="s">
        <v>154</v>
      </c>
      <c r="D53" s="106" t="s">
        <v>1050</v>
      </c>
      <c r="E53" s="101">
        <v>46001</v>
      </c>
      <c r="F53" s="130"/>
      <c r="G53" s="130" t="s">
        <v>383</v>
      </c>
      <c r="H53" s="123" t="s">
        <v>1120</v>
      </c>
      <c r="I53" s="130" t="s">
        <v>384</v>
      </c>
      <c r="J53" s="101">
        <v>46204</v>
      </c>
      <c r="K53" s="99" t="s">
        <v>160</v>
      </c>
      <c r="L53" s="130"/>
      <c r="M53" s="106" t="s">
        <v>1050</v>
      </c>
      <c r="N53" s="106" t="s">
        <v>1047</v>
      </c>
      <c r="O53" s="99">
        <v>12</v>
      </c>
      <c r="P53" s="99">
        <v>2025</v>
      </c>
    </row>
    <row r="54" spans="1:16" ht="76.5">
      <c r="A54" s="87">
        <v>53</v>
      </c>
      <c r="B54" s="99">
        <v>2025</v>
      </c>
      <c r="C54" s="130" t="s">
        <v>154</v>
      </c>
      <c r="D54" s="100" t="s">
        <v>1132</v>
      </c>
      <c r="E54" s="101">
        <v>43794</v>
      </c>
      <c r="F54" s="130"/>
      <c r="G54" s="130" t="s">
        <v>383</v>
      </c>
      <c r="H54" s="123" t="s">
        <v>1121</v>
      </c>
      <c r="I54" s="130" t="s">
        <v>384</v>
      </c>
      <c r="J54" s="101">
        <v>44013</v>
      </c>
      <c r="K54" s="99" t="s">
        <v>153</v>
      </c>
      <c r="L54" s="130"/>
      <c r="M54" s="131" t="s">
        <v>1132</v>
      </c>
      <c r="N54" s="106" t="s">
        <v>1047</v>
      </c>
      <c r="O54" s="99">
        <v>12</v>
      </c>
      <c r="P54" s="99">
        <v>2025</v>
      </c>
    </row>
    <row r="55" spans="1:16" ht="76.5">
      <c r="A55" s="87">
        <v>54</v>
      </c>
      <c r="B55" s="99">
        <v>2026</v>
      </c>
      <c r="C55" s="130" t="s">
        <v>155</v>
      </c>
      <c r="D55" s="100" t="s">
        <v>1133</v>
      </c>
      <c r="E55" s="101">
        <v>46001</v>
      </c>
      <c r="F55" s="130"/>
      <c r="G55" s="130" t="s">
        <v>383</v>
      </c>
      <c r="H55" s="123" t="s">
        <v>1122</v>
      </c>
      <c r="I55" s="130" t="s">
        <v>384</v>
      </c>
      <c r="J55" s="151">
        <v>46023</v>
      </c>
      <c r="K55" s="130" t="s">
        <v>160</v>
      </c>
      <c r="L55" s="130"/>
      <c r="M55" s="130" t="s">
        <v>1133</v>
      </c>
      <c r="N55" s="106" t="s">
        <v>1047</v>
      </c>
      <c r="O55" s="99">
        <v>12</v>
      </c>
      <c r="P55" s="99">
        <v>2025</v>
      </c>
    </row>
    <row r="56" spans="1:16" ht="76.5">
      <c r="A56" s="87">
        <v>55</v>
      </c>
      <c r="B56" s="99">
        <v>2019</v>
      </c>
      <c r="C56" s="130" t="s">
        <v>155</v>
      </c>
      <c r="D56" s="100" t="s">
        <v>1134</v>
      </c>
      <c r="E56" s="101">
        <v>43630</v>
      </c>
      <c r="F56" s="130"/>
      <c r="G56" s="130" t="s">
        <v>383</v>
      </c>
      <c r="H56" s="123" t="s">
        <v>1123</v>
      </c>
      <c r="I56" s="130" t="s">
        <v>384</v>
      </c>
      <c r="J56" s="101">
        <v>44013</v>
      </c>
      <c r="K56" s="99" t="s">
        <v>153</v>
      </c>
      <c r="L56" s="130"/>
      <c r="M56" s="100" t="s">
        <v>1134</v>
      </c>
      <c r="N56" s="106" t="s">
        <v>1047</v>
      </c>
      <c r="O56" s="99">
        <v>12</v>
      </c>
      <c r="P56" s="99">
        <v>2025</v>
      </c>
    </row>
    <row r="57" spans="1:16" ht="76.5">
      <c r="A57" s="87">
        <v>56</v>
      </c>
      <c r="B57" s="99">
        <v>2018</v>
      </c>
      <c r="C57" s="130" t="s">
        <v>155</v>
      </c>
      <c r="D57" s="100" t="s">
        <v>1135</v>
      </c>
      <c r="E57" s="101">
        <v>43423</v>
      </c>
      <c r="F57" s="130"/>
      <c r="G57" s="130" t="s">
        <v>383</v>
      </c>
      <c r="H57" s="123" t="s">
        <v>1124</v>
      </c>
      <c r="I57" s="130" t="s">
        <v>384</v>
      </c>
      <c r="J57" s="101">
        <v>43647</v>
      </c>
      <c r="K57" s="99" t="s">
        <v>153</v>
      </c>
      <c r="L57" s="130"/>
      <c r="M57" s="100" t="s">
        <v>1135</v>
      </c>
      <c r="N57" s="106" t="s">
        <v>1047</v>
      </c>
      <c r="O57" s="99">
        <v>12</v>
      </c>
      <c r="P57" s="99">
        <v>2025</v>
      </c>
    </row>
    <row r="58" spans="1:16" s="143" customFormat="1" ht="76.5">
      <c r="A58" s="87">
        <v>57</v>
      </c>
      <c r="B58" s="99">
        <v>2025</v>
      </c>
      <c r="C58" s="151" t="s">
        <v>155</v>
      </c>
      <c r="D58" s="151" t="s">
        <v>1136</v>
      </c>
      <c r="E58" s="151">
        <v>45942</v>
      </c>
      <c r="F58" s="151"/>
      <c r="G58" s="130" t="s">
        <v>383</v>
      </c>
      <c r="H58" s="157" t="s">
        <v>1029</v>
      </c>
      <c r="I58" s="130" t="s">
        <v>384</v>
      </c>
      <c r="J58" s="151">
        <v>46001</v>
      </c>
      <c r="K58" s="158" t="s">
        <v>160</v>
      </c>
      <c r="L58" s="130"/>
      <c r="M58" s="151" t="s">
        <v>1136</v>
      </c>
      <c r="N58" s="106" t="s">
        <v>1047</v>
      </c>
      <c r="O58" s="99">
        <v>12</v>
      </c>
      <c r="P58" s="99">
        <v>2025</v>
      </c>
    </row>
    <row r="59" spans="1:16" ht="63.75">
      <c r="A59" s="87">
        <v>58</v>
      </c>
      <c r="B59" s="99">
        <v>2025</v>
      </c>
      <c r="C59" s="130" t="s">
        <v>155</v>
      </c>
      <c r="D59" s="100" t="s">
        <v>1051</v>
      </c>
      <c r="E59" s="101">
        <v>46001</v>
      </c>
      <c r="F59" s="130"/>
      <c r="G59" s="130" t="s">
        <v>383</v>
      </c>
      <c r="H59" s="123" t="s">
        <v>1126</v>
      </c>
      <c r="I59" s="130" t="s">
        <v>384</v>
      </c>
      <c r="J59" s="151">
        <v>46002</v>
      </c>
      <c r="K59" s="99" t="s">
        <v>160</v>
      </c>
      <c r="L59" s="130"/>
      <c r="M59" s="106" t="s">
        <v>1051</v>
      </c>
      <c r="N59" s="106" t="s">
        <v>1131</v>
      </c>
      <c r="O59" s="99">
        <v>12</v>
      </c>
      <c r="P59" s="99">
        <v>2025</v>
      </c>
    </row>
    <row r="60" spans="1:16" ht="63.75">
      <c r="A60" s="87">
        <v>59</v>
      </c>
      <c r="B60" s="99">
        <v>2018</v>
      </c>
      <c r="C60" s="130" t="s">
        <v>154</v>
      </c>
      <c r="D60" s="100" t="s">
        <v>1137</v>
      </c>
      <c r="E60" s="101">
        <v>43419</v>
      </c>
      <c r="F60" s="130"/>
      <c r="G60" s="130" t="s">
        <v>383</v>
      </c>
      <c r="H60" s="123" t="s">
        <v>1125</v>
      </c>
      <c r="I60" s="130" t="s">
        <v>384</v>
      </c>
      <c r="J60" s="101">
        <v>44013</v>
      </c>
      <c r="K60" s="99" t="s">
        <v>153</v>
      </c>
      <c r="L60" s="130"/>
      <c r="M60" s="100" t="s">
        <v>1137</v>
      </c>
      <c r="N60" s="106" t="s">
        <v>1131</v>
      </c>
      <c r="O60" s="99">
        <v>12</v>
      </c>
      <c r="P60" s="99">
        <v>2025</v>
      </c>
    </row>
    <row r="61" spans="1:16" ht="63.75">
      <c r="A61" s="87">
        <v>60</v>
      </c>
      <c r="B61" s="99">
        <v>2025</v>
      </c>
      <c r="C61" s="130" t="s">
        <v>154</v>
      </c>
      <c r="D61" s="100" t="s">
        <v>1071</v>
      </c>
      <c r="E61" s="101">
        <v>46001</v>
      </c>
      <c r="F61" s="130"/>
      <c r="G61" s="130" t="s">
        <v>383</v>
      </c>
      <c r="H61" s="123" t="s">
        <v>1128</v>
      </c>
      <c r="I61" s="130" t="s">
        <v>384</v>
      </c>
      <c r="J61" s="101">
        <v>46023</v>
      </c>
      <c r="K61" s="99" t="s">
        <v>160</v>
      </c>
      <c r="L61" s="130"/>
      <c r="M61" s="130" t="s">
        <v>1071</v>
      </c>
      <c r="N61" s="106" t="s">
        <v>1131</v>
      </c>
      <c r="O61" s="99">
        <v>1</v>
      </c>
      <c r="P61" s="99">
        <v>2026</v>
      </c>
    </row>
    <row r="62" spans="1:16" ht="63.75">
      <c r="A62" s="87">
        <v>61</v>
      </c>
      <c r="B62" s="99">
        <v>2013</v>
      </c>
      <c r="C62" s="130" t="s">
        <v>154</v>
      </c>
      <c r="D62" s="100" t="s">
        <v>1138</v>
      </c>
      <c r="E62" s="101">
        <v>41604</v>
      </c>
      <c r="F62" s="130"/>
      <c r="G62" s="130" t="s">
        <v>383</v>
      </c>
      <c r="H62" s="123" t="s">
        <v>1127</v>
      </c>
      <c r="I62" s="130" t="s">
        <v>384</v>
      </c>
      <c r="J62" s="101">
        <v>41821</v>
      </c>
      <c r="K62" s="99" t="s">
        <v>153</v>
      </c>
      <c r="L62" s="130"/>
      <c r="M62" s="100" t="s">
        <v>1138</v>
      </c>
      <c r="N62" s="106" t="s">
        <v>1131</v>
      </c>
      <c r="O62" s="99">
        <v>1</v>
      </c>
      <c r="P62" s="99">
        <v>2026</v>
      </c>
    </row>
    <row r="63" spans="1:16" ht="63.75">
      <c r="A63" s="87">
        <v>62</v>
      </c>
      <c r="B63" s="99">
        <v>2025</v>
      </c>
      <c r="C63" s="130" t="s">
        <v>154</v>
      </c>
      <c r="D63" s="100" t="s">
        <v>449</v>
      </c>
      <c r="E63" s="101">
        <v>45834</v>
      </c>
      <c r="F63" s="130"/>
      <c r="G63" s="130" t="s">
        <v>383</v>
      </c>
      <c r="H63" s="123" t="s">
        <v>1129</v>
      </c>
      <c r="I63" s="130" t="s">
        <v>384</v>
      </c>
      <c r="J63" s="101">
        <v>45839</v>
      </c>
      <c r="K63" s="99" t="s">
        <v>160</v>
      </c>
      <c r="L63" s="130"/>
      <c r="M63" s="100" t="s">
        <v>449</v>
      </c>
      <c r="N63" s="106" t="s">
        <v>1131</v>
      </c>
      <c r="O63" s="99">
        <v>1</v>
      </c>
      <c r="P63" s="99">
        <v>2026</v>
      </c>
    </row>
    <row r="64" spans="1:16" ht="63.75">
      <c r="A64" s="87">
        <v>63</v>
      </c>
      <c r="B64" s="99">
        <v>2023</v>
      </c>
      <c r="C64" s="130" t="s">
        <v>154</v>
      </c>
      <c r="D64" s="100" t="s">
        <v>1139</v>
      </c>
      <c r="E64" s="101">
        <v>45033</v>
      </c>
      <c r="F64" s="130"/>
      <c r="G64" s="130" t="s">
        <v>215</v>
      </c>
      <c r="H64" s="123" t="s">
        <v>1130</v>
      </c>
      <c r="I64" s="130" t="s">
        <v>196</v>
      </c>
      <c r="J64" s="101">
        <v>45108</v>
      </c>
      <c r="K64" s="99" t="s">
        <v>153</v>
      </c>
      <c r="L64" s="130"/>
      <c r="M64" s="106" t="s">
        <v>449</v>
      </c>
      <c r="N64" s="106" t="s">
        <v>1131</v>
      </c>
      <c r="O64" s="99">
        <v>1</v>
      </c>
      <c r="P64" s="99">
        <v>2026</v>
      </c>
    </row>
    <row r="65" spans="1:16" s="20" customFormat="1" ht="76.5">
      <c r="A65" s="87">
        <v>64</v>
      </c>
      <c r="B65" s="130">
        <v>2026</v>
      </c>
      <c r="C65" s="101" t="s">
        <v>154</v>
      </c>
      <c r="D65" s="101" t="s">
        <v>1096</v>
      </c>
      <c r="E65" s="153">
        <v>46056</v>
      </c>
      <c r="F65" s="148"/>
      <c r="G65" s="148" t="s">
        <v>151</v>
      </c>
      <c r="H65" s="148" t="s">
        <v>1109</v>
      </c>
      <c r="I65" s="148" t="s">
        <v>1092</v>
      </c>
      <c r="J65" s="6">
        <v>46056</v>
      </c>
      <c r="K65" s="148" t="s">
        <v>160</v>
      </c>
      <c r="L65" s="148"/>
      <c r="M65" s="156" t="s">
        <v>1096</v>
      </c>
      <c r="N65" s="148" t="s">
        <v>1119</v>
      </c>
      <c r="O65" s="5">
        <v>2</v>
      </c>
      <c r="P65" s="148">
        <v>2026</v>
      </c>
    </row>
    <row r="66" spans="1:16" s="20" customFormat="1" ht="76.5">
      <c r="A66" s="87">
        <v>65</v>
      </c>
      <c r="B66" s="5">
        <v>2026</v>
      </c>
      <c r="C66" s="101" t="s">
        <v>154</v>
      </c>
      <c r="D66" s="7" t="s">
        <v>1111</v>
      </c>
      <c r="E66" s="155">
        <v>40540</v>
      </c>
      <c r="F66" s="148"/>
      <c r="G66" s="148" t="s">
        <v>151</v>
      </c>
      <c r="H66" s="148" t="s">
        <v>1108</v>
      </c>
      <c r="I66" s="148" t="s">
        <v>1092</v>
      </c>
      <c r="J66" s="6">
        <v>40634</v>
      </c>
      <c r="K66" s="91" t="s">
        <v>153</v>
      </c>
      <c r="L66" s="148"/>
      <c r="M66" s="156" t="s">
        <v>1110</v>
      </c>
      <c r="N66" s="148" t="s">
        <v>1119</v>
      </c>
      <c r="O66" s="5">
        <v>2</v>
      </c>
      <c r="P66" s="148">
        <v>2026</v>
      </c>
    </row>
    <row r="67" spans="1:16" s="20" customFormat="1" ht="76.5">
      <c r="A67" s="87">
        <v>66</v>
      </c>
      <c r="B67" s="5">
        <v>2026</v>
      </c>
      <c r="C67" s="101" t="s">
        <v>154</v>
      </c>
      <c r="D67" s="7" t="s">
        <v>1115</v>
      </c>
      <c r="E67" s="149">
        <v>41571</v>
      </c>
      <c r="F67" s="148"/>
      <c r="G67" s="148" t="s">
        <v>215</v>
      </c>
      <c r="H67" s="148" t="s">
        <v>1113</v>
      </c>
      <c r="I67" s="150" t="s">
        <v>196</v>
      </c>
      <c r="J67" s="6">
        <v>41618</v>
      </c>
      <c r="K67" s="91" t="s">
        <v>153</v>
      </c>
      <c r="L67" s="148"/>
      <c r="M67" s="156" t="s">
        <v>1114</v>
      </c>
      <c r="N67" s="148" t="s">
        <v>1119</v>
      </c>
      <c r="O67" s="5">
        <v>2</v>
      </c>
      <c r="P67" s="148">
        <v>2026</v>
      </c>
    </row>
    <row r="68" spans="1:16" s="20" customFormat="1" ht="76.5">
      <c r="A68" s="87">
        <v>67</v>
      </c>
      <c r="B68" s="130">
        <v>2026</v>
      </c>
      <c r="C68" s="130" t="s">
        <v>161</v>
      </c>
      <c r="D68" s="152" t="s">
        <v>1098</v>
      </c>
      <c r="E68" s="154">
        <v>46055</v>
      </c>
      <c r="F68" s="150" t="s">
        <v>215</v>
      </c>
      <c r="G68" s="148" t="s">
        <v>215</v>
      </c>
      <c r="H68" s="148" t="s">
        <v>1112</v>
      </c>
      <c r="I68" s="150" t="s">
        <v>196</v>
      </c>
      <c r="J68" s="6">
        <v>46107</v>
      </c>
      <c r="K68" s="148" t="s">
        <v>160</v>
      </c>
      <c r="L68" s="148"/>
      <c r="M68" s="156" t="s">
        <v>1098</v>
      </c>
      <c r="N68" s="148" t="s">
        <v>1119</v>
      </c>
      <c r="O68" s="5">
        <v>2</v>
      </c>
      <c r="P68" s="148">
        <v>2026</v>
      </c>
    </row>
    <row r="69" spans="1:16" s="20" customFormat="1" ht="76.5">
      <c r="A69" s="87">
        <v>68</v>
      </c>
      <c r="B69" s="5">
        <v>2026</v>
      </c>
      <c r="C69" s="5" t="s">
        <v>154</v>
      </c>
      <c r="D69" s="7" t="s">
        <v>1118</v>
      </c>
      <c r="E69" s="154">
        <v>39554</v>
      </c>
      <c r="F69" s="148"/>
      <c r="G69" s="148" t="s">
        <v>151</v>
      </c>
      <c r="H69" s="148" t="s">
        <v>1117</v>
      </c>
      <c r="I69" s="150" t="s">
        <v>252</v>
      </c>
      <c r="J69" s="6">
        <v>46052</v>
      </c>
      <c r="K69" s="91" t="s">
        <v>153</v>
      </c>
      <c r="L69" s="148"/>
      <c r="M69" s="156" t="s">
        <v>1118</v>
      </c>
      <c r="N69" s="148" t="s">
        <v>1119</v>
      </c>
      <c r="O69" s="5">
        <v>2</v>
      </c>
      <c r="P69" s="148">
        <v>2026</v>
      </c>
    </row>
    <row r="70" spans="1:16" s="20" customFormat="1" ht="76.5">
      <c r="A70" s="87">
        <v>69</v>
      </c>
      <c r="B70" s="130">
        <v>2026</v>
      </c>
      <c r="C70" s="5" t="s">
        <v>154</v>
      </c>
      <c r="D70" s="7" t="s">
        <v>1104</v>
      </c>
      <c r="E70" s="149">
        <v>46052</v>
      </c>
      <c r="F70" s="148"/>
      <c r="G70" s="148" t="s">
        <v>198</v>
      </c>
      <c r="H70" s="148" t="s">
        <v>1116</v>
      </c>
      <c r="I70" s="157" t="s">
        <v>252</v>
      </c>
      <c r="J70" s="6">
        <v>46052</v>
      </c>
      <c r="K70" s="148" t="s">
        <v>160</v>
      </c>
      <c r="L70" s="148"/>
      <c r="M70" s="156" t="s">
        <v>1104</v>
      </c>
      <c r="N70" s="148" t="s">
        <v>1119</v>
      </c>
      <c r="O70" s="5">
        <v>2</v>
      </c>
      <c r="P70" s="148">
        <v>2026</v>
      </c>
    </row>
    <row r="71" spans="1:16" ht="76.5">
      <c r="A71" s="87">
        <v>70</v>
      </c>
      <c r="B71" s="5">
        <v>2026</v>
      </c>
      <c r="C71" s="5" t="s">
        <v>155</v>
      </c>
      <c r="D71" s="152" t="s">
        <v>1143</v>
      </c>
      <c r="E71" s="151">
        <v>46083</v>
      </c>
      <c r="F71" s="5"/>
      <c r="G71" s="5" t="s">
        <v>215</v>
      </c>
      <c r="H71" s="157" t="s">
        <v>1144</v>
      </c>
      <c r="I71" s="157" t="s">
        <v>196</v>
      </c>
      <c r="J71" s="6">
        <v>46096</v>
      </c>
      <c r="K71" s="130" t="s">
        <v>160</v>
      </c>
      <c r="L71" s="127"/>
      <c r="M71" s="152" t="s">
        <v>1143</v>
      </c>
      <c r="N71" s="148" t="s">
        <v>1154</v>
      </c>
      <c r="O71" s="5">
        <v>3</v>
      </c>
      <c r="P71" s="5">
        <v>2026</v>
      </c>
    </row>
    <row r="72" spans="1:16" ht="76.5">
      <c r="A72" s="87">
        <v>71</v>
      </c>
      <c r="B72" s="5">
        <v>2026</v>
      </c>
      <c r="C72" s="5" t="s">
        <v>155</v>
      </c>
      <c r="D72" s="162" t="s">
        <v>1156</v>
      </c>
      <c r="E72" s="159">
        <v>44029</v>
      </c>
      <c r="F72" s="5"/>
      <c r="G72" s="5" t="s">
        <v>215</v>
      </c>
      <c r="H72" s="163" t="s">
        <v>1155</v>
      </c>
      <c r="I72" s="127" t="s">
        <v>196</v>
      </c>
      <c r="J72" s="160">
        <v>44075</v>
      </c>
      <c r="K72" s="127" t="s">
        <v>153</v>
      </c>
      <c r="L72" s="127"/>
      <c r="M72" s="161" t="s">
        <v>1156</v>
      </c>
      <c r="N72" s="148" t="s">
        <v>1154</v>
      </c>
      <c r="O72" s="5">
        <v>3</v>
      </c>
      <c r="P72" s="5">
        <v>2026</v>
      </c>
    </row>
    <row r="73" spans="1:16" ht="76.5">
      <c r="A73" s="87">
        <v>72</v>
      </c>
      <c r="B73" s="5">
        <v>2026</v>
      </c>
      <c r="C73" s="5" t="s">
        <v>155</v>
      </c>
      <c r="D73" s="7" t="s">
        <v>1146</v>
      </c>
      <c r="E73" s="6">
        <v>46079</v>
      </c>
      <c r="F73" s="5"/>
      <c r="G73" s="5" t="s">
        <v>198</v>
      </c>
      <c r="H73" s="163" t="s">
        <v>1145</v>
      </c>
      <c r="I73" s="157" t="s">
        <v>252</v>
      </c>
      <c r="J73" s="160">
        <v>46126</v>
      </c>
      <c r="K73" s="127" t="s">
        <v>160</v>
      </c>
      <c r="L73" s="127"/>
      <c r="M73" s="7" t="s">
        <v>1146</v>
      </c>
      <c r="N73" s="148" t="s">
        <v>1154</v>
      </c>
      <c r="O73" s="5">
        <v>3</v>
      </c>
      <c r="P73" s="5">
        <v>2026</v>
      </c>
    </row>
    <row r="74" spans="1:16" ht="76.5">
      <c r="A74" s="87">
        <v>73</v>
      </c>
      <c r="B74" s="5">
        <v>2026</v>
      </c>
      <c r="C74" s="5" t="s">
        <v>155</v>
      </c>
      <c r="D74" s="7" t="s">
        <v>1158</v>
      </c>
      <c r="E74" s="6">
        <v>43788</v>
      </c>
      <c r="F74" s="5"/>
      <c r="G74" s="5" t="s">
        <v>198</v>
      </c>
      <c r="H74" s="163" t="s">
        <v>1157</v>
      </c>
      <c r="I74" s="150" t="s">
        <v>252</v>
      </c>
      <c r="J74" s="6">
        <v>43845</v>
      </c>
      <c r="K74" s="163" t="s">
        <v>153</v>
      </c>
      <c r="L74" s="163"/>
      <c r="M74" s="7" t="s">
        <v>1158</v>
      </c>
      <c r="N74" s="148" t="s">
        <v>1154</v>
      </c>
      <c r="O74" s="5">
        <v>3</v>
      </c>
      <c r="P74" s="5">
        <v>2026</v>
      </c>
    </row>
    <row r="75" spans="1:16" ht="76.5">
      <c r="A75" s="87">
        <v>74</v>
      </c>
      <c r="B75" s="5">
        <v>2026</v>
      </c>
      <c r="C75" s="5" t="s">
        <v>155</v>
      </c>
      <c r="D75" s="7" t="s">
        <v>1143</v>
      </c>
      <c r="E75" s="6">
        <v>46083</v>
      </c>
      <c r="F75" s="5"/>
      <c r="G75" s="5" t="s">
        <v>215</v>
      </c>
      <c r="H75" s="163" t="s">
        <v>1144</v>
      </c>
      <c r="I75" s="127" t="s">
        <v>196</v>
      </c>
      <c r="J75" s="6">
        <v>46096</v>
      </c>
      <c r="K75" s="5" t="s">
        <v>160</v>
      </c>
      <c r="L75" s="5"/>
      <c r="M75" s="5" t="s">
        <v>1143</v>
      </c>
      <c r="N75" s="5" t="s">
        <v>1182</v>
      </c>
      <c r="O75" s="5">
        <v>4</v>
      </c>
      <c r="P75" s="5">
        <v>2026</v>
      </c>
    </row>
    <row r="76" spans="1:16" ht="76.5">
      <c r="A76" s="87">
        <v>75</v>
      </c>
      <c r="B76" s="5">
        <v>2026</v>
      </c>
      <c r="C76" s="5" t="s">
        <v>155</v>
      </c>
      <c r="D76" s="7" t="s">
        <v>277</v>
      </c>
      <c r="E76" s="6">
        <v>44026</v>
      </c>
      <c r="F76" s="5"/>
      <c r="G76" s="5" t="s">
        <v>215</v>
      </c>
      <c r="H76" s="163" t="s">
        <v>1183</v>
      </c>
      <c r="I76" s="127" t="s">
        <v>196</v>
      </c>
      <c r="J76" s="6">
        <v>46096</v>
      </c>
      <c r="K76" s="5" t="s">
        <v>1184</v>
      </c>
      <c r="L76" s="5"/>
      <c r="M76" s="7" t="s">
        <v>277</v>
      </c>
      <c r="N76" s="5" t="s">
        <v>1182</v>
      </c>
      <c r="O76" s="5">
        <v>4</v>
      </c>
      <c r="P76" s="5">
        <v>2026</v>
      </c>
    </row>
    <row r="77" spans="1:16" ht="76.5">
      <c r="A77" s="87">
        <v>76</v>
      </c>
      <c r="B77" s="5">
        <v>2026</v>
      </c>
      <c r="C77" s="5" t="s">
        <v>155</v>
      </c>
      <c r="D77" s="7" t="s">
        <v>1181</v>
      </c>
      <c r="E77" s="165">
        <v>46121</v>
      </c>
      <c r="F77" s="11" t="s">
        <v>198</v>
      </c>
      <c r="G77" s="5" t="s">
        <v>198</v>
      </c>
      <c r="H77" s="163" t="s">
        <v>1180</v>
      </c>
      <c r="I77" s="157" t="s">
        <v>252</v>
      </c>
      <c r="J77" s="6">
        <v>46121</v>
      </c>
      <c r="K77" s="5" t="s">
        <v>160</v>
      </c>
      <c r="L77" s="5"/>
      <c r="M77" s="7" t="s">
        <v>1181</v>
      </c>
      <c r="N77" s="5" t="s">
        <v>1182</v>
      </c>
      <c r="O77" s="5">
        <v>5</v>
      </c>
      <c r="P77" s="5">
        <v>2026</v>
      </c>
    </row>
    <row r="78" spans="1:16" ht="76.5">
      <c r="A78" s="87">
        <v>77</v>
      </c>
      <c r="B78" s="5">
        <v>2026</v>
      </c>
      <c r="C78" s="5" t="s">
        <v>1215</v>
      </c>
      <c r="D78" s="7" t="s">
        <v>1214</v>
      </c>
      <c r="E78" s="165">
        <v>46123</v>
      </c>
      <c r="F78" s="11" t="s">
        <v>152</v>
      </c>
      <c r="G78" s="5" t="s">
        <v>152</v>
      </c>
      <c r="H78" s="163" t="s">
        <v>1213</v>
      </c>
      <c r="I78" s="5" t="s">
        <v>233</v>
      </c>
      <c r="J78" s="6">
        <v>46123</v>
      </c>
      <c r="K78" s="5" t="s">
        <v>160</v>
      </c>
      <c r="L78" s="5"/>
      <c r="M78" s="7" t="s">
        <v>1214</v>
      </c>
      <c r="N78" s="171" t="s">
        <v>1202</v>
      </c>
      <c r="O78" s="5">
        <v>5</v>
      </c>
      <c r="P78" s="5">
        <v>2026</v>
      </c>
    </row>
    <row r="79" spans="1:16" ht="76.5">
      <c r="A79" s="87">
        <v>78</v>
      </c>
      <c r="B79" s="5">
        <v>2026</v>
      </c>
      <c r="C79" s="5" t="s">
        <v>1215</v>
      </c>
      <c r="D79" s="7" t="s">
        <v>1217</v>
      </c>
      <c r="E79" s="165">
        <v>46231</v>
      </c>
      <c r="F79" s="5"/>
      <c r="G79" s="5" t="s">
        <v>152</v>
      </c>
      <c r="H79" s="163" t="s">
        <v>1216</v>
      </c>
      <c r="I79" s="5" t="s">
        <v>233</v>
      </c>
      <c r="J79" s="6">
        <v>45807</v>
      </c>
      <c r="K79" s="5" t="s">
        <v>160</v>
      </c>
      <c r="L79" s="5"/>
      <c r="M79" s="7" t="s">
        <v>1217</v>
      </c>
      <c r="N79" s="171" t="s">
        <v>1202</v>
      </c>
      <c r="O79" s="5">
        <v>5</v>
      </c>
      <c r="P79" s="5">
        <v>2026</v>
      </c>
    </row>
    <row r="80" spans="1:16" ht="76.5">
      <c r="A80" s="87">
        <v>79</v>
      </c>
      <c r="B80" s="5">
        <v>2021</v>
      </c>
      <c r="C80" s="5" t="s">
        <v>155</v>
      </c>
      <c r="D80" s="7" t="s">
        <v>1222</v>
      </c>
      <c r="E80" s="6">
        <v>44368</v>
      </c>
      <c r="F80" s="5"/>
      <c r="G80" s="5" t="s">
        <v>215</v>
      </c>
      <c r="H80" s="163" t="s">
        <v>1219</v>
      </c>
      <c r="I80" s="5" t="s">
        <v>196</v>
      </c>
      <c r="J80" s="6">
        <v>44423</v>
      </c>
      <c r="K80" s="5" t="s">
        <v>153</v>
      </c>
      <c r="L80" s="5"/>
      <c r="M80" s="7" t="s">
        <v>1222</v>
      </c>
      <c r="N80" s="171" t="s">
        <v>1202</v>
      </c>
      <c r="O80" s="5">
        <v>5</v>
      </c>
      <c r="P80" s="5">
        <v>2026</v>
      </c>
    </row>
    <row r="81" spans="1:16" ht="76.5">
      <c r="A81" s="87">
        <v>80</v>
      </c>
      <c r="B81" s="5">
        <v>2013</v>
      </c>
      <c r="C81" s="5" t="s">
        <v>1215</v>
      </c>
      <c r="D81" s="7" t="s">
        <v>1225</v>
      </c>
      <c r="E81" s="149">
        <v>42667</v>
      </c>
      <c r="F81" s="5"/>
      <c r="G81" s="5" t="s">
        <v>215</v>
      </c>
      <c r="H81" s="163" t="s">
        <v>1218</v>
      </c>
      <c r="I81" s="5" t="s">
        <v>196</v>
      </c>
      <c r="J81" s="6">
        <v>46204</v>
      </c>
      <c r="K81" s="5" t="s">
        <v>160</v>
      </c>
      <c r="L81" s="5"/>
      <c r="M81" s="7" t="s">
        <v>1225</v>
      </c>
      <c r="N81" s="171" t="s">
        <v>1202</v>
      </c>
      <c r="O81" s="5">
        <v>5</v>
      </c>
      <c r="P81" s="5">
        <v>2026</v>
      </c>
    </row>
    <row r="82" spans="1:16" ht="76.5">
      <c r="A82" s="87">
        <v>81</v>
      </c>
      <c r="B82" s="5">
        <v>2026</v>
      </c>
      <c r="C82" s="5" t="s">
        <v>1215</v>
      </c>
      <c r="D82" s="7" t="s">
        <v>1223</v>
      </c>
      <c r="E82" s="6">
        <v>46095</v>
      </c>
      <c r="F82" s="5"/>
      <c r="G82" s="5" t="s">
        <v>215</v>
      </c>
      <c r="H82" s="163" t="s">
        <v>1221</v>
      </c>
      <c r="I82" s="5" t="s">
        <v>196</v>
      </c>
      <c r="J82" s="6">
        <v>46204</v>
      </c>
      <c r="K82" s="5" t="s">
        <v>160</v>
      </c>
      <c r="L82" s="5"/>
      <c r="M82" s="7" t="s">
        <v>1223</v>
      </c>
      <c r="N82" s="171" t="s">
        <v>1202</v>
      </c>
      <c r="O82" s="5">
        <v>5</v>
      </c>
      <c r="P82" s="5">
        <v>2026</v>
      </c>
    </row>
    <row r="83" spans="1:16" ht="76.5">
      <c r="A83" s="87">
        <v>82</v>
      </c>
      <c r="B83" s="5">
        <v>2014</v>
      </c>
      <c r="C83" s="5" t="s">
        <v>1215</v>
      </c>
      <c r="D83" s="7" t="s">
        <v>1224</v>
      </c>
      <c r="E83" s="6">
        <v>41816</v>
      </c>
      <c r="F83" s="5"/>
      <c r="G83" s="5" t="s">
        <v>215</v>
      </c>
      <c r="H83" s="163" t="s">
        <v>1220</v>
      </c>
      <c r="I83" s="5" t="s">
        <v>196</v>
      </c>
      <c r="J83" s="6">
        <v>41866</v>
      </c>
      <c r="K83" s="5" t="s">
        <v>153</v>
      </c>
      <c r="L83" s="5"/>
      <c r="M83" s="7" t="s">
        <v>1224</v>
      </c>
      <c r="N83" s="171" t="s">
        <v>1202</v>
      </c>
      <c r="O83" s="5">
        <v>5</v>
      </c>
      <c r="P83" s="5">
        <v>2026</v>
      </c>
    </row>
    <row r="84" spans="1:16" ht="27" customHeight="1">
      <c r="A84" s="87">
        <v>83</v>
      </c>
      <c r="B84" s="180">
        <v>2026</v>
      </c>
      <c r="C84" s="180" t="s">
        <v>1215</v>
      </c>
      <c r="D84" s="180" t="s">
        <v>1240</v>
      </c>
      <c r="E84" s="182">
        <v>46135</v>
      </c>
      <c r="F84" s="181"/>
      <c r="G84" s="180" t="s">
        <v>383</v>
      </c>
      <c r="H84" s="181" t="s">
        <v>1252</v>
      </c>
      <c r="I84" s="180" t="s">
        <v>384</v>
      </c>
      <c r="J84" s="6">
        <v>46266</v>
      </c>
      <c r="K84" s="5" t="s">
        <v>160</v>
      </c>
      <c r="L84" s="181"/>
      <c r="M84" s="180" t="s">
        <v>1240</v>
      </c>
      <c r="N84" s="171" t="s">
        <v>1202</v>
      </c>
      <c r="O84" s="180">
        <v>6</v>
      </c>
      <c r="P84" s="180">
        <v>2026</v>
      </c>
    </row>
    <row r="85" spans="1:16" ht="27" customHeight="1">
      <c r="A85" s="87">
        <v>84</v>
      </c>
      <c r="B85" s="180">
        <v>2016</v>
      </c>
      <c r="C85" s="180" t="s">
        <v>1215</v>
      </c>
      <c r="D85" s="180" t="s">
        <v>1255</v>
      </c>
      <c r="E85" s="151">
        <v>46082</v>
      </c>
      <c r="F85" s="181"/>
      <c r="G85" s="180" t="s">
        <v>383</v>
      </c>
      <c r="H85" s="181" t="s">
        <v>1253</v>
      </c>
      <c r="I85" s="180" t="s">
        <v>384</v>
      </c>
      <c r="J85" s="6">
        <v>43282</v>
      </c>
      <c r="K85" s="5" t="s">
        <v>153</v>
      </c>
      <c r="L85" s="181"/>
      <c r="M85" s="180" t="s">
        <v>1255</v>
      </c>
      <c r="N85" s="171" t="s">
        <v>1202</v>
      </c>
      <c r="O85" s="180">
        <v>6</v>
      </c>
      <c r="P85" s="180">
        <v>2026</v>
      </c>
    </row>
    <row r="86" spans="1:16" ht="27" customHeight="1">
      <c r="A86" s="87">
        <v>85</v>
      </c>
      <c r="B86" s="185">
        <v>2026</v>
      </c>
      <c r="C86" s="180" t="s">
        <v>1215</v>
      </c>
      <c r="D86" s="180" t="s">
        <v>1242</v>
      </c>
      <c r="E86" s="151">
        <v>46178</v>
      </c>
      <c r="F86" s="181"/>
      <c r="G86" s="180" t="s">
        <v>215</v>
      </c>
      <c r="H86" s="181" t="s">
        <v>1256</v>
      </c>
      <c r="I86" s="180" t="s">
        <v>196</v>
      </c>
      <c r="J86" s="6">
        <v>46223</v>
      </c>
      <c r="K86" s="5" t="s">
        <v>160</v>
      </c>
      <c r="L86" s="181"/>
      <c r="M86" s="180" t="s">
        <v>1242</v>
      </c>
      <c r="N86" s="171" t="s">
        <v>1202</v>
      </c>
      <c r="O86" s="180">
        <v>6</v>
      </c>
      <c r="P86" s="180">
        <v>2026</v>
      </c>
    </row>
    <row r="87" spans="1:16" ht="27" customHeight="1">
      <c r="A87" s="87">
        <v>86</v>
      </c>
      <c r="B87" s="185">
        <v>2005</v>
      </c>
      <c r="C87" s="180" t="s">
        <v>1215</v>
      </c>
      <c r="D87" s="180" t="s">
        <v>1257</v>
      </c>
      <c r="E87" s="151">
        <v>46085</v>
      </c>
      <c r="F87" s="181"/>
      <c r="G87" s="180" t="s">
        <v>151</v>
      </c>
      <c r="H87" s="181" t="s">
        <v>1254</v>
      </c>
      <c r="I87" s="180" t="s">
        <v>196</v>
      </c>
      <c r="J87" s="6">
        <v>38681</v>
      </c>
      <c r="K87" s="5" t="s">
        <v>153</v>
      </c>
      <c r="L87" s="181"/>
      <c r="M87" s="180" t="s">
        <v>1257</v>
      </c>
      <c r="N87" s="171" t="s">
        <v>1202</v>
      </c>
      <c r="O87" s="180">
        <v>6</v>
      </c>
      <c r="P87" s="180">
        <v>2026</v>
      </c>
    </row>
    <row r="88" spans="1:16" ht="27" customHeight="1">
      <c r="A88" s="87">
        <v>87</v>
      </c>
      <c r="B88" s="185">
        <v>2026</v>
      </c>
      <c r="C88" s="180" t="s">
        <v>156</v>
      </c>
      <c r="D88" s="180" t="s">
        <v>1258</v>
      </c>
      <c r="E88" s="151">
        <v>46182</v>
      </c>
      <c r="F88" s="181"/>
      <c r="G88" s="180" t="s">
        <v>198</v>
      </c>
      <c r="H88" s="181" t="s">
        <v>1259</v>
      </c>
      <c r="I88" s="180" t="s">
        <v>252</v>
      </c>
      <c r="J88" s="6">
        <v>46228</v>
      </c>
      <c r="K88" s="5" t="s">
        <v>160</v>
      </c>
      <c r="L88" s="181"/>
      <c r="M88" s="180" t="s">
        <v>1258</v>
      </c>
      <c r="N88" s="171" t="s">
        <v>1202</v>
      </c>
      <c r="O88" s="180">
        <v>6</v>
      </c>
      <c r="P88" s="180">
        <v>2026</v>
      </c>
    </row>
    <row r="89" spans="1:16" ht="27" customHeight="1">
      <c r="A89" s="87">
        <v>88</v>
      </c>
      <c r="B89" s="185">
        <v>2018</v>
      </c>
      <c r="C89" s="180" t="s">
        <v>156</v>
      </c>
      <c r="D89" s="180" t="s">
        <v>1260</v>
      </c>
      <c r="E89" s="151">
        <v>46178</v>
      </c>
      <c r="F89" s="181"/>
      <c r="G89" s="180" t="s">
        <v>198</v>
      </c>
      <c r="H89" s="181" t="s">
        <v>1261</v>
      </c>
      <c r="I89" s="180" t="s">
        <v>252</v>
      </c>
      <c r="J89" s="6">
        <v>43235</v>
      </c>
      <c r="K89" s="5" t="s">
        <v>153</v>
      </c>
      <c r="L89" s="181"/>
      <c r="M89" s="180" t="s">
        <v>1260</v>
      </c>
      <c r="N89" s="171" t="s">
        <v>1202</v>
      </c>
      <c r="O89" s="180">
        <v>6</v>
      </c>
      <c r="P89" s="180">
        <v>2026</v>
      </c>
    </row>
    <row r="90" spans="1:16" ht="27" customHeight="1">
      <c r="A90" s="87">
        <v>89</v>
      </c>
      <c r="B90" s="5">
        <v>2026</v>
      </c>
      <c r="C90" s="5" t="s">
        <v>154</v>
      </c>
      <c r="D90" s="180" t="s">
        <v>1242</v>
      </c>
      <c r="E90" s="151">
        <v>46068</v>
      </c>
      <c r="F90" s="5"/>
      <c r="G90" s="180" t="s">
        <v>215</v>
      </c>
      <c r="H90" s="127" t="s">
        <v>1262</v>
      </c>
      <c r="I90" s="180" t="s">
        <v>196</v>
      </c>
      <c r="J90" s="6">
        <v>46113</v>
      </c>
      <c r="K90" s="5" t="s">
        <v>160</v>
      </c>
      <c r="L90" s="5"/>
      <c r="M90" s="184" t="s">
        <v>1242</v>
      </c>
      <c r="N90" s="171" t="s">
        <v>1202</v>
      </c>
      <c r="O90" s="180">
        <v>6</v>
      </c>
      <c r="P90" s="180">
        <v>2026</v>
      </c>
    </row>
    <row r="91" spans="1:16" ht="27" customHeight="1">
      <c r="A91" s="87">
        <v>90</v>
      </c>
      <c r="B91" s="5">
        <v>2005</v>
      </c>
      <c r="C91" s="5" t="s">
        <v>154</v>
      </c>
      <c r="D91" s="180" t="s">
        <v>1257</v>
      </c>
      <c r="E91" s="151">
        <v>45961</v>
      </c>
      <c r="F91" s="5"/>
      <c r="G91" s="180" t="s">
        <v>151</v>
      </c>
      <c r="H91" s="127" t="s">
        <v>1254</v>
      </c>
      <c r="I91" s="180" t="s">
        <v>196</v>
      </c>
      <c r="J91" s="6">
        <v>38671</v>
      </c>
      <c r="K91" s="5" t="s">
        <v>153</v>
      </c>
      <c r="L91" s="5"/>
      <c r="M91" s="184" t="s">
        <v>1257</v>
      </c>
      <c r="N91" s="171" t="s">
        <v>1202</v>
      </c>
      <c r="O91" s="180">
        <v>6</v>
      </c>
      <c r="P91" s="180">
        <v>2026</v>
      </c>
    </row>
    <row r="92" spans="1:16" ht="27" customHeight="1">
      <c r="A92" s="87">
        <v>91</v>
      </c>
      <c r="B92" s="5">
        <v>2026</v>
      </c>
      <c r="C92" s="5" t="s">
        <v>156</v>
      </c>
      <c r="D92" s="180" t="s">
        <v>1258</v>
      </c>
      <c r="E92" s="151">
        <v>46101</v>
      </c>
      <c r="F92" s="5"/>
      <c r="G92" s="180" t="s">
        <v>198</v>
      </c>
      <c r="H92" s="183" t="s">
        <v>1264</v>
      </c>
      <c r="I92" s="180" t="s">
        <v>252</v>
      </c>
      <c r="J92" s="6">
        <v>46147</v>
      </c>
      <c r="K92" s="5" t="s">
        <v>160</v>
      </c>
      <c r="L92" s="5"/>
      <c r="M92" s="184" t="s">
        <v>1258</v>
      </c>
      <c r="N92" s="171" t="s">
        <v>1202</v>
      </c>
      <c r="O92" s="180">
        <v>6</v>
      </c>
      <c r="P92" s="180">
        <v>2026</v>
      </c>
    </row>
    <row r="93" spans="1:16" ht="27" customHeight="1">
      <c r="A93" s="87">
        <v>92</v>
      </c>
      <c r="B93" s="5">
        <v>2018</v>
      </c>
      <c r="C93" s="5" t="s">
        <v>156</v>
      </c>
      <c r="D93" s="180" t="s">
        <v>1260</v>
      </c>
      <c r="E93" s="151">
        <v>43189</v>
      </c>
      <c r="F93" s="5"/>
      <c r="G93" s="180" t="s">
        <v>198</v>
      </c>
      <c r="H93" s="127" t="s">
        <v>1263</v>
      </c>
      <c r="I93" s="180" t="s">
        <v>252</v>
      </c>
      <c r="J93" s="6">
        <v>43235</v>
      </c>
      <c r="K93" s="5" t="s">
        <v>153</v>
      </c>
      <c r="L93" s="5"/>
      <c r="M93" s="184" t="s">
        <v>1260</v>
      </c>
      <c r="N93" s="171" t="s">
        <v>1202</v>
      </c>
      <c r="O93" s="180">
        <v>6</v>
      </c>
      <c r="P93" s="180">
        <v>2026</v>
      </c>
    </row>
    <row r="94" spans="1:16" ht="27" customHeight="1">
      <c r="A94" s="87">
        <v>93</v>
      </c>
      <c r="B94" s="5">
        <v>2026</v>
      </c>
      <c r="C94" s="5" t="s">
        <v>161</v>
      </c>
      <c r="D94" s="152" t="s">
        <v>1287</v>
      </c>
      <c r="E94" s="151">
        <v>46204</v>
      </c>
      <c r="F94" s="130" t="s">
        <v>198</v>
      </c>
      <c r="G94" s="5" t="s">
        <v>198</v>
      </c>
      <c r="H94" s="157" t="s">
        <v>1286</v>
      </c>
      <c r="I94" s="130" t="s">
        <v>364</v>
      </c>
      <c r="J94" s="151">
        <v>46204</v>
      </c>
      <c r="K94" s="5" t="s">
        <v>160</v>
      </c>
      <c r="L94" s="5"/>
      <c r="M94" s="152" t="s">
        <v>1287</v>
      </c>
      <c r="N94" s="171" t="s">
        <v>1202</v>
      </c>
      <c r="O94" s="5">
        <v>7</v>
      </c>
      <c r="P94" s="180">
        <v>2026</v>
      </c>
    </row>
    <row r="95" spans="1:16" ht="27" customHeight="1">
      <c r="A95" s="87">
        <v>94</v>
      </c>
      <c r="B95" s="5">
        <v>2021</v>
      </c>
      <c r="C95" s="5" t="s">
        <v>161</v>
      </c>
      <c r="D95" s="180" t="s">
        <v>1289</v>
      </c>
      <c r="E95" s="151">
        <v>44333</v>
      </c>
      <c r="F95" s="5"/>
      <c r="G95" s="5" t="s">
        <v>198</v>
      </c>
      <c r="H95" s="127" t="s">
        <v>1288</v>
      </c>
      <c r="I95" s="5" t="s">
        <v>364</v>
      </c>
      <c r="J95" s="151">
        <v>44379</v>
      </c>
      <c r="K95" s="5" t="s">
        <v>153</v>
      </c>
      <c r="L95" s="5"/>
      <c r="M95" s="180" t="s">
        <v>1289</v>
      </c>
      <c r="N95" s="5" t="s">
        <v>1321</v>
      </c>
      <c r="O95" s="5">
        <v>7</v>
      </c>
      <c r="P95" s="180">
        <v>2026</v>
      </c>
    </row>
    <row r="96" spans="1:16" ht="27" customHeight="1">
      <c r="A96" s="87">
        <v>95</v>
      </c>
      <c r="B96" s="5">
        <v>2026</v>
      </c>
      <c r="C96" s="5" t="s">
        <v>161</v>
      </c>
      <c r="D96" s="152" t="s">
        <v>1308</v>
      </c>
      <c r="E96" s="151">
        <v>46001</v>
      </c>
      <c r="F96" s="130" t="s">
        <v>198</v>
      </c>
      <c r="G96" s="5" t="s">
        <v>383</v>
      </c>
      <c r="H96" s="157" t="s">
        <v>1307</v>
      </c>
      <c r="I96" s="130" t="s">
        <v>384</v>
      </c>
      <c r="J96" s="151">
        <v>46204</v>
      </c>
      <c r="K96" s="5" t="s">
        <v>160</v>
      </c>
      <c r="L96" s="5"/>
      <c r="M96" s="151">
        <v>46204</v>
      </c>
      <c r="N96" s="5" t="s">
        <v>1321</v>
      </c>
      <c r="O96" s="5">
        <v>7</v>
      </c>
      <c r="P96" s="180">
        <v>2026</v>
      </c>
    </row>
    <row r="97" spans="1:16" ht="27" customHeight="1">
      <c r="A97" s="87">
        <v>96</v>
      </c>
      <c r="B97" s="5">
        <v>2019</v>
      </c>
      <c r="C97" s="5" t="s">
        <v>161</v>
      </c>
      <c r="D97" s="7" t="s">
        <v>1309</v>
      </c>
      <c r="E97" s="151">
        <v>43629</v>
      </c>
      <c r="F97" s="5"/>
      <c r="G97" s="5" t="s">
        <v>198</v>
      </c>
      <c r="H97" s="127" t="s">
        <v>1310</v>
      </c>
      <c r="I97" s="5" t="s">
        <v>384</v>
      </c>
      <c r="J97" s="6">
        <v>46204</v>
      </c>
      <c r="K97" s="5" t="s">
        <v>153</v>
      </c>
      <c r="L97" s="5"/>
      <c r="M97" s="7" t="s">
        <v>1309</v>
      </c>
      <c r="N97" s="5" t="s">
        <v>1321</v>
      </c>
      <c r="O97" s="5">
        <v>7</v>
      </c>
      <c r="P97" s="180">
        <v>2026</v>
      </c>
    </row>
    <row r="98" spans="1:16" ht="27" customHeight="1">
      <c r="A98" s="87">
        <v>97</v>
      </c>
      <c r="B98" s="5">
        <v>2026</v>
      </c>
      <c r="C98" s="5" t="s">
        <v>161</v>
      </c>
      <c r="D98" s="152" t="s">
        <v>1291</v>
      </c>
      <c r="E98" s="151">
        <v>46204</v>
      </c>
      <c r="F98" s="130" t="s">
        <v>198</v>
      </c>
      <c r="G98" s="5" t="s">
        <v>198</v>
      </c>
      <c r="H98" s="157" t="s">
        <v>1290</v>
      </c>
      <c r="I98" s="5" t="s">
        <v>364</v>
      </c>
      <c r="J98" s="151">
        <v>46204</v>
      </c>
      <c r="K98" s="5" t="s">
        <v>160</v>
      </c>
      <c r="L98" s="5"/>
      <c r="M98" s="152" t="s">
        <v>1291</v>
      </c>
      <c r="N98" s="5" t="s">
        <v>1321</v>
      </c>
      <c r="O98" s="5">
        <v>7</v>
      </c>
      <c r="P98" s="180">
        <v>2026</v>
      </c>
    </row>
    <row r="99" spans="1:16" ht="27" customHeight="1">
      <c r="A99" s="87">
        <v>98</v>
      </c>
      <c r="B99" s="5">
        <v>2024</v>
      </c>
      <c r="C99" s="5" t="s">
        <v>161</v>
      </c>
      <c r="D99" s="7" t="s">
        <v>1293</v>
      </c>
      <c r="E99" s="151">
        <v>45649</v>
      </c>
      <c r="F99" s="5"/>
      <c r="G99" s="5" t="s">
        <v>198</v>
      </c>
      <c r="H99" s="127" t="s">
        <v>1292</v>
      </c>
      <c r="I99" s="5" t="s">
        <v>364</v>
      </c>
      <c r="J99" s="6" t="s">
        <v>1294</v>
      </c>
      <c r="K99" s="5" t="s">
        <v>153</v>
      </c>
      <c r="L99" s="5"/>
      <c r="M99" s="7" t="s">
        <v>1293</v>
      </c>
      <c r="N99" s="5" t="s">
        <v>1321</v>
      </c>
      <c r="O99" s="5">
        <v>7</v>
      </c>
      <c r="P99" s="180">
        <v>2026</v>
      </c>
    </row>
    <row r="100" spans="1:16" ht="27" customHeight="1">
      <c r="A100" s="87">
        <v>99</v>
      </c>
      <c r="B100" s="5">
        <v>2026</v>
      </c>
      <c r="C100" s="5" t="s">
        <v>154</v>
      </c>
      <c r="D100" s="7" t="s">
        <v>1285</v>
      </c>
      <c r="E100" s="6">
        <v>42572</v>
      </c>
      <c r="F100" s="5"/>
      <c r="G100" s="180" t="s">
        <v>215</v>
      </c>
      <c r="H100" s="183" t="s">
        <v>1284</v>
      </c>
      <c r="I100" s="180" t="s">
        <v>196</v>
      </c>
      <c r="J100" s="6">
        <v>42572</v>
      </c>
      <c r="K100" s="5" t="s">
        <v>160</v>
      </c>
      <c r="L100" s="5"/>
      <c r="M100" s="7" t="s">
        <v>1285</v>
      </c>
      <c r="N100" s="5" t="s">
        <v>1321</v>
      </c>
      <c r="O100" s="5">
        <v>7</v>
      </c>
      <c r="P100" s="180">
        <v>2026</v>
      </c>
    </row>
    <row r="101" spans="1:16" ht="27" customHeight="1">
      <c r="A101" s="87">
        <v>100</v>
      </c>
      <c r="B101" s="5">
        <v>2024</v>
      </c>
      <c r="C101" s="5" t="s">
        <v>161</v>
      </c>
      <c r="D101" s="7" t="s">
        <v>1293</v>
      </c>
      <c r="E101" s="151">
        <v>45649</v>
      </c>
      <c r="F101" s="5"/>
      <c r="G101" s="5" t="s">
        <v>198</v>
      </c>
      <c r="H101" s="127" t="s">
        <v>1292</v>
      </c>
      <c r="I101" s="5" t="s">
        <v>364</v>
      </c>
      <c r="J101" s="6" t="s">
        <v>1294</v>
      </c>
      <c r="K101" s="5" t="s">
        <v>153</v>
      </c>
      <c r="L101" s="5"/>
      <c r="M101" s="7" t="s">
        <v>1293</v>
      </c>
      <c r="N101" s="5" t="s">
        <v>1321</v>
      </c>
      <c r="O101" s="5">
        <v>7</v>
      </c>
      <c r="P101" s="180">
        <v>2026</v>
      </c>
    </row>
    <row r="102" spans="1:16" ht="27" customHeight="1">
      <c r="A102" s="87">
        <v>101</v>
      </c>
      <c r="B102" s="5">
        <v>2026</v>
      </c>
      <c r="C102" s="5" t="s">
        <v>161</v>
      </c>
      <c r="D102" s="152" t="s">
        <v>1291</v>
      </c>
      <c r="E102" s="151">
        <v>46204</v>
      </c>
      <c r="F102" s="130" t="s">
        <v>198</v>
      </c>
      <c r="G102" s="5" t="s">
        <v>198</v>
      </c>
      <c r="H102" s="157" t="s">
        <v>1290</v>
      </c>
      <c r="I102" s="5" t="s">
        <v>364</v>
      </c>
      <c r="J102" s="151">
        <v>46204</v>
      </c>
      <c r="K102" s="5" t="s">
        <v>160</v>
      </c>
      <c r="L102" s="5"/>
      <c r="M102" s="152" t="s">
        <v>1291</v>
      </c>
      <c r="N102" s="5" t="s">
        <v>1321</v>
      </c>
      <c r="O102" s="5">
        <v>7</v>
      </c>
      <c r="P102" s="180">
        <v>2026</v>
      </c>
    </row>
    <row r="103" spans="1:16" s="158" customFormat="1" ht="76.5">
      <c r="A103" s="87">
        <v>102</v>
      </c>
      <c r="B103" s="5">
        <v>2026</v>
      </c>
      <c r="C103" s="5" t="s">
        <v>155</v>
      </c>
      <c r="D103" s="189" t="s">
        <v>1333</v>
      </c>
      <c r="E103" s="151">
        <v>46218</v>
      </c>
      <c r="F103" s="5"/>
      <c r="G103" s="5" t="s">
        <v>198</v>
      </c>
      <c r="H103" s="163" t="s">
        <v>1332</v>
      </c>
      <c r="I103" s="185" t="s">
        <v>252</v>
      </c>
      <c r="J103" s="151">
        <v>46266</v>
      </c>
      <c r="K103" s="5" t="s">
        <v>160</v>
      </c>
      <c r="L103" s="5"/>
      <c r="M103" s="189" t="s">
        <v>1333</v>
      </c>
      <c r="N103" s="5" t="s">
        <v>1321</v>
      </c>
      <c r="O103" s="5">
        <v>7</v>
      </c>
      <c r="P103" s="185">
        <v>2026</v>
      </c>
    </row>
    <row r="104" spans="1:16" ht="76.5">
      <c r="A104" s="87">
        <v>103</v>
      </c>
      <c r="B104" s="5">
        <v>2011</v>
      </c>
      <c r="C104" s="5" t="s">
        <v>155</v>
      </c>
      <c r="D104" s="5" t="s">
        <v>1341</v>
      </c>
      <c r="E104" s="151">
        <v>40826</v>
      </c>
      <c r="F104" s="5"/>
      <c r="G104" s="5" t="s">
        <v>198</v>
      </c>
      <c r="H104" s="163" t="s">
        <v>1344</v>
      </c>
      <c r="I104" s="185" t="s">
        <v>252</v>
      </c>
      <c r="J104" s="151">
        <v>40901</v>
      </c>
      <c r="K104" s="5" t="s">
        <v>153</v>
      </c>
      <c r="L104" s="5"/>
      <c r="M104" s="5" t="s">
        <v>1341</v>
      </c>
      <c r="N104" s="5" t="s">
        <v>1321</v>
      </c>
      <c r="O104" s="5">
        <v>7</v>
      </c>
      <c r="P104" s="185">
        <v>2026</v>
      </c>
    </row>
    <row r="105" spans="1:16" ht="44.25" customHeight="1">
      <c r="A105" s="87">
        <v>104</v>
      </c>
      <c r="B105" s="5">
        <v>2026</v>
      </c>
      <c r="C105" s="5" t="s">
        <v>155</v>
      </c>
      <c r="D105" s="5" t="s">
        <v>1325</v>
      </c>
      <c r="E105" s="151">
        <v>46203</v>
      </c>
      <c r="F105" s="5"/>
      <c r="G105" s="5" t="s">
        <v>198</v>
      </c>
      <c r="H105" s="163" t="s">
        <v>1343</v>
      </c>
      <c r="I105" s="185" t="s">
        <v>252</v>
      </c>
      <c r="J105" s="151">
        <v>46203</v>
      </c>
      <c r="K105" s="5" t="s">
        <v>160</v>
      </c>
      <c r="L105" s="5"/>
      <c r="M105" s="5" t="s">
        <v>1325</v>
      </c>
      <c r="N105" s="5" t="s">
        <v>1321</v>
      </c>
      <c r="O105" s="5">
        <v>7</v>
      </c>
      <c r="P105" s="185">
        <v>2026</v>
      </c>
    </row>
    <row r="106" spans="1:16" ht="76.5">
      <c r="A106" s="87">
        <v>105</v>
      </c>
      <c r="B106" s="5">
        <v>2021</v>
      </c>
      <c r="C106" s="5" t="s">
        <v>155</v>
      </c>
      <c r="D106" s="5" t="s">
        <v>1345</v>
      </c>
      <c r="E106" s="151">
        <v>44369</v>
      </c>
      <c r="F106" s="5"/>
      <c r="G106" s="5" t="s">
        <v>198</v>
      </c>
      <c r="H106" s="163" t="s">
        <v>1342</v>
      </c>
      <c r="I106" s="185" t="s">
        <v>252</v>
      </c>
      <c r="J106" s="151">
        <v>44369</v>
      </c>
      <c r="K106" s="5" t="s">
        <v>153</v>
      </c>
      <c r="L106" s="5"/>
      <c r="M106" s="7" t="s">
        <v>1345</v>
      </c>
      <c r="N106" s="5" t="s">
        <v>1321</v>
      </c>
      <c r="O106" s="5">
        <v>7</v>
      </c>
      <c r="P106" s="185">
        <v>2026</v>
      </c>
    </row>
    <row r="107" spans="1:16" ht="76.5">
      <c r="A107" s="87">
        <v>106</v>
      </c>
      <c r="B107" s="5">
        <v>2026</v>
      </c>
      <c r="C107" s="5" t="s">
        <v>155</v>
      </c>
      <c r="D107" s="5" t="s">
        <v>1348</v>
      </c>
      <c r="E107" s="151">
        <v>46226</v>
      </c>
      <c r="F107" s="5"/>
      <c r="G107" s="5" t="s">
        <v>151</v>
      </c>
      <c r="H107" s="148" t="s">
        <v>1347</v>
      </c>
      <c r="I107" s="185" t="s">
        <v>252</v>
      </c>
      <c r="J107" s="151">
        <v>46272</v>
      </c>
      <c r="K107" s="5" t="s">
        <v>160</v>
      </c>
      <c r="L107" s="5"/>
      <c r="M107" s="7" t="s">
        <v>1348</v>
      </c>
      <c r="N107" s="5" t="s">
        <v>1321</v>
      </c>
      <c r="O107" s="5">
        <v>7</v>
      </c>
      <c r="P107" s="185">
        <v>2026</v>
      </c>
    </row>
    <row r="108" spans="1:16" ht="76.5">
      <c r="A108" s="87">
        <v>107</v>
      </c>
      <c r="B108" s="5">
        <v>2016</v>
      </c>
      <c r="C108" s="5" t="s">
        <v>155</v>
      </c>
      <c r="D108" s="5" t="s">
        <v>1349</v>
      </c>
      <c r="E108" s="151">
        <v>46313</v>
      </c>
      <c r="F108" s="5"/>
      <c r="G108" s="5" t="s">
        <v>151</v>
      </c>
      <c r="H108" s="148" t="s">
        <v>1346</v>
      </c>
      <c r="I108" s="185" t="s">
        <v>252</v>
      </c>
      <c r="J108" s="5" t="s">
        <v>1350</v>
      </c>
      <c r="K108" s="5" t="s">
        <v>153</v>
      </c>
      <c r="L108" s="5"/>
      <c r="M108" s="7" t="s">
        <v>1349</v>
      </c>
      <c r="N108" s="5" t="s">
        <v>1321</v>
      </c>
      <c r="O108" s="5">
        <v>7</v>
      </c>
      <c r="P108" s="185">
        <v>2026</v>
      </c>
    </row>
    <row r="109" spans="1:16" s="190" customFormat="1" ht="76.5">
      <c r="A109" s="87">
        <v>108</v>
      </c>
      <c r="B109" s="5">
        <v>2026</v>
      </c>
      <c r="C109" s="5" t="s">
        <v>150</v>
      </c>
      <c r="D109" s="7" t="s">
        <v>1364</v>
      </c>
      <c r="E109" s="6">
        <v>46245</v>
      </c>
      <c r="F109" s="5"/>
      <c r="G109" s="5" t="s">
        <v>198</v>
      </c>
      <c r="H109" s="157" t="s">
        <v>1363</v>
      </c>
      <c r="I109" s="130" t="s">
        <v>252</v>
      </c>
      <c r="J109" s="151">
        <v>46291</v>
      </c>
      <c r="K109" s="5" t="s">
        <v>160</v>
      </c>
      <c r="L109" s="5"/>
      <c r="M109" s="7" t="s">
        <v>1364</v>
      </c>
      <c r="N109" s="191" t="s">
        <v>1374</v>
      </c>
      <c r="O109" s="5">
        <v>8</v>
      </c>
      <c r="P109" s="5">
        <v>2026</v>
      </c>
    </row>
    <row r="110" spans="1:16" s="190" customFormat="1" ht="76.5">
      <c r="A110" s="87">
        <v>109</v>
      </c>
      <c r="B110" s="5">
        <v>2026</v>
      </c>
      <c r="C110" s="5"/>
      <c r="D110" s="152" t="s">
        <v>1366</v>
      </c>
      <c r="E110" s="151">
        <v>43754</v>
      </c>
      <c r="F110" s="5"/>
      <c r="G110" s="5" t="s">
        <v>198</v>
      </c>
      <c r="H110" s="157" t="s">
        <v>1365</v>
      </c>
      <c r="I110" s="130" t="s">
        <v>252</v>
      </c>
      <c r="J110" s="151">
        <v>43789</v>
      </c>
      <c r="K110" s="5" t="s">
        <v>153</v>
      </c>
      <c r="L110" s="130"/>
      <c r="M110" s="152" t="s">
        <v>1366</v>
      </c>
      <c r="N110" s="191" t="s">
        <v>1374</v>
      </c>
      <c r="O110" s="130">
        <v>8</v>
      </c>
      <c r="P110" s="130">
        <v>2026</v>
      </c>
    </row>
    <row r="111" spans="1:16" ht="76.5">
      <c r="A111" s="5">
        <v>110</v>
      </c>
      <c r="B111" s="5">
        <v>2026</v>
      </c>
      <c r="C111" s="5"/>
      <c r="D111" s="7" t="s">
        <v>1370</v>
      </c>
      <c r="E111" s="6">
        <v>44301</v>
      </c>
      <c r="F111" s="5"/>
      <c r="G111" s="5" t="s">
        <v>198</v>
      </c>
      <c r="H111" s="163" t="s">
        <v>1369</v>
      </c>
      <c r="I111" s="130" t="s">
        <v>252</v>
      </c>
      <c r="J111" s="6">
        <v>44348</v>
      </c>
      <c r="K111" s="5" t="s">
        <v>153</v>
      </c>
      <c r="L111" s="5"/>
      <c r="M111" s="7" t="s">
        <v>1370</v>
      </c>
      <c r="N111" s="191" t="s">
        <v>1374</v>
      </c>
      <c r="O111" s="130">
        <v>8</v>
      </c>
      <c r="P111" s="130">
        <v>2026</v>
      </c>
    </row>
    <row r="112" spans="1:16" ht="76.5">
      <c r="A112" s="5">
        <v>111</v>
      </c>
      <c r="B112" s="5">
        <v>2026</v>
      </c>
      <c r="C112" s="5" t="s">
        <v>155</v>
      </c>
      <c r="D112" s="7" t="s">
        <v>1360</v>
      </c>
      <c r="E112" s="6">
        <v>46245</v>
      </c>
      <c r="F112" s="5"/>
      <c r="G112" s="5" t="s">
        <v>198</v>
      </c>
      <c r="H112" s="163" t="s">
        <v>1371</v>
      </c>
      <c r="I112" s="130" t="s">
        <v>252</v>
      </c>
      <c r="J112" s="6">
        <v>46291</v>
      </c>
      <c r="K112" s="5" t="s">
        <v>160</v>
      </c>
      <c r="L112" s="5"/>
      <c r="M112" s="171" t="s">
        <v>1360</v>
      </c>
      <c r="N112" s="191" t="s">
        <v>1374</v>
      </c>
      <c r="O112" s="130">
        <v>8</v>
      </c>
      <c r="P112" s="130">
        <v>2026</v>
      </c>
    </row>
    <row r="113" spans="1:16" ht="27" customHeight="1">
      <c r="A113" s="5">
        <v>112</v>
      </c>
      <c r="B113" s="5">
        <v>2026</v>
      </c>
      <c r="C113" s="5" t="s">
        <v>155</v>
      </c>
      <c r="D113" s="235" t="s">
        <v>1331</v>
      </c>
      <c r="E113" s="6">
        <v>46210</v>
      </c>
      <c r="F113" s="5"/>
      <c r="G113" s="5" t="s">
        <v>198</v>
      </c>
      <c r="H113" s="157" t="s">
        <v>1410</v>
      </c>
      <c r="I113" s="130" t="s">
        <v>252</v>
      </c>
      <c r="J113" s="6">
        <v>46256</v>
      </c>
      <c r="K113" s="5" t="s">
        <v>160</v>
      </c>
      <c r="L113" s="5"/>
      <c r="M113" s="191" t="s">
        <v>1331</v>
      </c>
      <c r="N113" s="5"/>
      <c r="O113" s="5">
        <v>8</v>
      </c>
      <c r="P113" s="5">
        <v>2026</v>
      </c>
    </row>
    <row r="114" spans="1:16" ht="43.5" customHeight="1">
      <c r="A114" s="5">
        <v>113</v>
      </c>
      <c r="B114" s="5">
        <v>2020</v>
      </c>
      <c r="C114" s="5" t="s">
        <v>155</v>
      </c>
      <c r="D114" s="7" t="s">
        <v>1411</v>
      </c>
      <c r="E114" s="6">
        <v>43965</v>
      </c>
      <c r="F114" s="5"/>
      <c r="G114" s="5" t="s">
        <v>198</v>
      </c>
      <c r="H114" s="163" t="s">
        <v>1412</v>
      </c>
      <c r="I114" s="130" t="s">
        <v>252</v>
      </c>
      <c r="J114" s="6">
        <v>44011</v>
      </c>
      <c r="K114" s="5" t="s">
        <v>160</v>
      </c>
      <c r="L114" s="5"/>
      <c r="M114" s="236" t="s">
        <v>1411</v>
      </c>
      <c r="N114" s="5"/>
      <c r="O114" s="5">
        <v>8</v>
      </c>
      <c r="P114" s="5">
        <v>2026</v>
      </c>
    </row>
    <row r="115" spans="1:16" ht="27" customHeight="1">
      <c r="A115" s="5"/>
      <c r="B115" s="5"/>
      <c r="C115" s="5"/>
      <c r="D115" s="7"/>
      <c r="E115" s="6"/>
      <c r="F115" s="5"/>
      <c r="G115" s="5"/>
      <c r="H115" s="127"/>
      <c r="I115" s="5"/>
      <c r="J115" s="6"/>
      <c r="K115" s="5"/>
      <c r="L115" s="5"/>
      <c r="M115" s="8"/>
      <c r="N115" s="5"/>
      <c r="O115" s="5"/>
      <c r="P115" s="5"/>
    </row>
    <row r="116" spans="1:16" ht="27" customHeight="1">
      <c r="A116" s="5"/>
      <c r="B116" s="5"/>
      <c r="C116" s="5"/>
      <c r="D116" s="7"/>
      <c r="E116" s="6"/>
      <c r="F116" s="5"/>
      <c r="G116" s="5"/>
      <c r="H116" s="127"/>
      <c r="I116" s="5"/>
      <c r="J116" s="6"/>
      <c r="K116" s="5"/>
      <c r="L116" s="5"/>
      <c r="M116" s="8"/>
      <c r="N116" s="5"/>
      <c r="O116" s="5"/>
      <c r="P116" s="5"/>
    </row>
    <row r="117" spans="1:16" ht="27" customHeight="1">
      <c r="A117" s="5"/>
      <c r="B117" s="5"/>
      <c r="C117" s="5"/>
      <c r="D117" s="7"/>
      <c r="E117" s="6"/>
      <c r="F117" s="5"/>
      <c r="G117" s="5"/>
      <c r="H117" s="127"/>
      <c r="I117" s="5"/>
      <c r="J117" s="6"/>
      <c r="K117" s="5"/>
      <c r="L117" s="5"/>
      <c r="M117" s="8"/>
      <c r="N117" s="5"/>
      <c r="O117" s="5"/>
      <c r="P117" s="5"/>
    </row>
    <row r="118" spans="1:16" ht="27" customHeight="1">
      <c r="A118" s="5"/>
      <c r="B118" s="5"/>
      <c r="C118" s="5"/>
      <c r="D118" s="7"/>
      <c r="E118" s="6"/>
      <c r="F118" s="5"/>
      <c r="G118" s="5"/>
      <c r="H118" s="127"/>
      <c r="I118" s="5"/>
      <c r="J118" s="6"/>
      <c r="K118" s="5"/>
      <c r="L118" s="5"/>
      <c r="M118" s="8"/>
      <c r="N118" s="5"/>
      <c r="O118" s="5"/>
      <c r="P118" s="5"/>
    </row>
    <row r="119" spans="1:16" ht="27" customHeight="1">
      <c r="A119" s="5"/>
      <c r="B119" s="5"/>
      <c r="C119" s="5"/>
      <c r="D119" s="7"/>
      <c r="E119" s="6"/>
      <c r="F119" s="5"/>
      <c r="G119" s="5"/>
      <c r="H119" s="127"/>
      <c r="I119" s="5"/>
      <c r="J119" s="6"/>
      <c r="K119" s="5"/>
      <c r="L119" s="5"/>
      <c r="M119" s="8"/>
      <c r="N119" s="5"/>
      <c r="O119" s="5"/>
      <c r="P119" s="5"/>
    </row>
    <row r="120" spans="1:16" ht="27" customHeight="1">
      <c r="A120" s="5"/>
      <c r="B120" s="5"/>
      <c r="C120" s="5"/>
      <c r="D120" s="7"/>
      <c r="E120" s="6"/>
      <c r="F120" s="5"/>
      <c r="G120" s="5"/>
      <c r="H120" s="127"/>
      <c r="I120" s="5"/>
      <c r="J120" s="6"/>
      <c r="K120" s="5"/>
      <c r="L120" s="5"/>
      <c r="M120" s="8"/>
      <c r="N120" s="5"/>
      <c r="O120" s="5"/>
      <c r="P120" s="5"/>
    </row>
    <row r="121" spans="1:16" ht="27" customHeight="1">
      <c r="A121" s="5"/>
      <c r="B121" s="5"/>
      <c r="C121" s="5"/>
      <c r="D121" s="7"/>
      <c r="E121" s="6"/>
      <c r="F121" s="5"/>
      <c r="G121" s="5"/>
      <c r="H121" s="127"/>
      <c r="I121" s="5"/>
      <c r="J121" s="6"/>
      <c r="K121" s="5"/>
      <c r="L121" s="5"/>
      <c r="M121" s="8"/>
      <c r="N121" s="5"/>
      <c r="O121" s="5"/>
      <c r="P121" s="5"/>
    </row>
    <row r="122" spans="1:16" ht="27" customHeight="1">
      <c r="A122" s="5"/>
      <c r="B122" s="5"/>
      <c r="C122" s="5"/>
      <c r="D122" s="7"/>
      <c r="E122" s="6"/>
      <c r="F122" s="5"/>
      <c r="G122" s="5"/>
      <c r="H122" s="127"/>
      <c r="I122" s="5"/>
      <c r="J122" s="6"/>
      <c r="K122" s="5"/>
      <c r="L122" s="5"/>
      <c r="M122" s="8"/>
      <c r="N122" s="5"/>
      <c r="O122" s="5"/>
      <c r="P122" s="5"/>
    </row>
    <row r="123" spans="1:16" ht="27" customHeight="1">
      <c r="A123" s="5"/>
      <c r="B123" s="5"/>
      <c r="C123" s="5"/>
      <c r="D123" s="7"/>
      <c r="E123" s="6"/>
      <c r="F123" s="5"/>
      <c r="G123" s="5"/>
      <c r="H123" s="127"/>
      <c r="I123" s="5"/>
      <c r="J123" s="6"/>
      <c r="K123" s="5"/>
      <c r="L123" s="5"/>
      <c r="M123" s="8"/>
      <c r="N123" s="5"/>
      <c r="O123" s="5"/>
      <c r="P123" s="5"/>
    </row>
    <row r="124" spans="1:16" ht="27" customHeight="1">
      <c r="A124" s="5"/>
      <c r="B124" s="5"/>
      <c r="C124" s="5"/>
      <c r="D124" s="7"/>
      <c r="E124" s="6"/>
      <c r="F124" s="5"/>
      <c r="G124" s="5"/>
      <c r="H124" s="127"/>
      <c r="I124" s="5"/>
      <c r="J124" s="6"/>
      <c r="K124" s="5"/>
      <c r="L124" s="5"/>
      <c r="M124" s="8"/>
      <c r="N124" s="5"/>
      <c r="O124" s="5"/>
      <c r="P124" s="5"/>
    </row>
    <row r="125" spans="1:16" ht="27" customHeight="1">
      <c r="A125" s="5"/>
      <c r="B125" s="5"/>
      <c r="C125" s="5"/>
      <c r="D125" s="7"/>
      <c r="E125" s="6"/>
      <c r="F125" s="5"/>
      <c r="G125" s="5"/>
      <c r="H125" s="127"/>
      <c r="I125" s="5"/>
      <c r="J125" s="6"/>
      <c r="K125" s="5"/>
      <c r="L125" s="5"/>
      <c r="M125" s="8"/>
      <c r="N125" s="5"/>
      <c r="O125" s="5"/>
      <c r="P125" s="5"/>
    </row>
    <row r="126" spans="1:16" ht="27" customHeight="1">
      <c r="A126" s="5"/>
      <c r="B126" s="5"/>
      <c r="C126" s="5"/>
      <c r="D126" s="7"/>
      <c r="E126" s="6"/>
      <c r="F126" s="5"/>
      <c r="G126" s="5"/>
      <c r="H126" s="127"/>
      <c r="I126" s="5"/>
      <c r="J126" s="6"/>
      <c r="K126" s="5"/>
      <c r="L126" s="5"/>
      <c r="M126" s="8"/>
      <c r="N126" s="5"/>
      <c r="O126" s="5"/>
      <c r="P126" s="5"/>
    </row>
    <row r="127" spans="1:16" ht="27" customHeight="1">
      <c r="A127" s="5"/>
      <c r="B127" s="5"/>
      <c r="C127" s="5"/>
      <c r="D127" s="7"/>
      <c r="E127" s="6"/>
      <c r="F127" s="5"/>
      <c r="G127" s="5"/>
      <c r="H127" s="127"/>
      <c r="I127" s="5"/>
      <c r="J127" s="6"/>
      <c r="K127" s="5"/>
      <c r="L127" s="5"/>
      <c r="M127" s="8"/>
      <c r="N127" s="5"/>
      <c r="O127" s="5"/>
      <c r="P127" s="5"/>
    </row>
    <row r="128" spans="1:16" ht="27" customHeight="1">
      <c r="A128" s="5"/>
      <c r="B128" s="5"/>
      <c r="C128" s="5"/>
      <c r="D128" s="7"/>
      <c r="E128" s="6"/>
      <c r="F128" s="5"/>
      <c r="G128" s="5"/>
      <c r="H128" s="127"/>
      <c r="I128" s="5"/>
      <c r="J128" s="6"/>
      <c r="K128" s="5"/>
      <c r="L128" s="5"/>
      <c r="M128" s="8"/>
      <c r="N128" s="5"/>
      <c r="O128" s="5"/>
      <c r="P128" s="5"/>
    </row>
    <row r="129" spans="1:16" ht="27" customHeight="1">
      <c r="A129" s="5"/>
      <c r="B129" s="5"/>
      <c r="C129" s="5"/>
      <c r="D129" s="7"/>
      <c r="E129" s="6"/>
      <c r="F129" s="5"/>
      <c r="G129" s="5"/>
      <c r="H129" s="127"/>
      <c r="I129" s="5"/>
      <c r="J129" s="6"/>
      <c r="K129" s="5"/>
      <c r="L129" s="5"/>
      <c r="M129" s="8"/>
      <c r="N129" s="5"/>
      <c r="O129" s="5"/>
      <c r="P129" s="5"/>
    </row>
    <row r="130" spans="1:16" ht="27" customHeight="1">
      <c r="A130" s="5"/>
      <c r="B130" s="5"/>
      <c r="C130" s="5"/>
      <c r="D130" s="7"/>
      <c r="E130" s="6"/>
      <c r="F130" s="5"/>
      <c r="G130" s="5"/>
      <c r="H130" s="127"/>
      <c r="I130" s="5"/>
      <c r="J130" s="6"/>
      <c r="K130" s="5"/>
      <c r="L130" s="5"/>
      <c r="M130" s="8"/>
      <c r="N130" s="5"/>
      <c r="O130" s="5"/>
      <c r="P130" s="5"/>
    </row>
    <row r="131" spans="1:16" ht="27" customHeight="1">
      <c r="A131" s="5"/>
      <c r="B131" s="5"/>
      <c r="C131" s="5"/>
      <c r="D131" s="7"/>
      <c r="E131" s="6"/>
      <c r="F131" s="5"/>
      <c r="G131" s="5"/>
      <c r="H131" s="127"/>
      <c r="I131" s="5"/>
      <c r="J131" s="6"/>
      <c r="K131" s="5"/>
      <c r="L131" s="5"/>
      <c r="M131" s="8"/>
      <c r="N131" s="5"/>
      <c r="O131" s="5"/>
      <c r="P131" s="5"/>
    </row>
    <row r="132" spans="1:16" ht="27" customHeight="1">
      <c r="A132" s="5"/>
      <c r="B132" s="5"/>
      <c r="C132" s="5"/>
      <c r="D132" s="7"/>
      <c r="E132" s="6"/>
      <c r="F132" s="5"/>
      <c r="G132" s="5"/>
      <c r="H132" s="127"/>
      <c r="I132" s="5"/>
      <c r="J132" s="6"/>
      <c r="K132" s="5"/>
      <c r="L132" s="5"/>
      <c r="M132" s="8"/>
      <c r="N132" s="5"/>
      <c r="O132" s="5"/>
      <c r="P132" s="5"/>
    </row>
    <row r="133" spans="1:16" ht="27" customHeight="1">
      <c r="A133" s="5"/>
      <c r="B133" s="5"/>
      <c r="C133" s="5"/>
      <c r="D133" s="7"/>
      <c r="E133" s="6"/>
      <c r="F133" s="5"/>
      <c r="G133" s="5"/>
      <c r="H133" s="127"/>
      <c r="I133" s="5"/>
      <c r="J133" s="6"/>
      <c r="K133" s="5"/>
      <c r="L133" s="5"/>
      <c r="M133" s="8"/>
      <c r="N133" s="5"/>
      <c r="O133" s="5"/>
      <c r="P133" s="5"/>
    </row>
    <row r="134" spans="1:16" ht="27" customHeight="1">
      <c r="A134" s="5"/>
      <c r="B134" s="5"/>
      <c r="C134" s="5"/>
      <c r="D134" s="7"/>
      <c r="E134" s="6"/>
      <c r="F134" s="5"/>
      <c r="G134" s="5"/>
      <c r="H134" s="127"/>
      <c r="I134" s="5"/>
      <c r="J134" s="6"/>
      <c r="K134" s="5"/>
      <c r="L134" s="5"/>
      <c r="M134" s="8"/>
      <c r="N134" s="5"/>
      <c r="O134" s="5"/>
      <c r="P134" s="5"/>
    </row>
    <row r="135" spans="1:16" ht="27" customHeight="1">
      <c r="A135" s="5"/>
      <c r="B135" s="5"/>
      <c r="C135" s="5"/>
      <c r="D135" s="7"/>
      <c r="E135" s="6"/>
      <c r="F135" s="5"/>
      <c r="G135" s="5"/>
      <c r="H135" s="127"/>
      <c r="I135" s="5"/>
      <c r="J135" s="6"/>
      <c r="K135" s="5"/>
      <c r="L135" s="5"/>
      <c r="M135" s="8"/>
      <c r="N135" s="5"/>
      <c r="O135" s="5"/>
      <c r="P135" s="5"/>
    </row>
    <row r="136" spans="1:16" ht="27" customHeight="1">
      <c r="A136" s="5"/>
      <c r="B136" s="5"/>
      <c r="C136" s="5"/>
      <c r="D136" s="7"/>
      <c r="E136" s="6"/>
      <c r="F136" s="5"/>
      <c r="G136" s="5"/>
      <c r="H136" s="127"/>
      <c r="I136" s="5"/>
      <c r="J136" s="6"/>
      <c r="K136" s="5"/>
      <c r="L136" s="5"/>
      <c r="M136" s="8"/>
      <c r="N136" s="5"/>
      <c r="O136" s="5"/>
      <c r="P136" s="5"/>
    </row>
    <row r="137" spans="1:16" ht="27" customHeight="1">
      <c r="A137" s="5"/>
      <c r="B137" s="5"/>
      <c r="C137" s="5"/>
      <c r="D137" s="7"/>
      <c r="E137" s="6"/>
      <c r="F137" s="5"/>
      <c r="G137" s="5"/>
      <c r="H137" s="127"/>
      <c r="I137" s="5"/>
      <c r="J137" s="6"/>
      <c r="K137" s="5"/>
      <c r="L137" s="5"/>
      <c r="M137" s="8"/>
      <c r="N137" s="5"/>
      <c r="O137" s="5"/>
      <c r="P137" s="5"/>
    </row>
    <row r="138" spans="1:16" ht="27" customHeight="1">
      <c r="A138" s="5"/>
      <c r="B138" s="5"/>
      <c r="C138" s="5"/>
      <c r="D138" s="7"/>
      <c r="E138" s="6"/>
      <c r="F138" s="5"/>
      <c r="G138" s="5"/>
      <c r="H138" s="127"/>
      <c r="I138" s="5"/>
      <c r="J138" s="6"/>
      <c r="K138" s="5"/>
      <c r="L138" s="5"/>
      <c r="M138" s="8"/>
      <c r="N138" s="5"/>
      <c r="O138" s="5"/>
      <c r="P138" s="5"/>
    </row>
    <row r="139" spans="1:16" ht="27" customHeight="1">
      <c r="A139" s="5"/>
      <c r="B139" s="5"/>
      <c r="C139" s="5"/>
      <c r="D139" s="7"/>
      <c r="E139" s="6"/>
      <c r="F139" s="5"/>
      <c r="G139" s="5"/>
      <c r="H139" s="127"/>
      <c r="I139" s="5"/>
      <c r="J139" s="6"/>
      <c r="K139" s="5"/>
      <c r="L139" s="5"/>
      <c r="M139" s="8"/>
      <c r="N139" s="5"/>
      <c r="O139" s="5"/>
      <c r="P139" s="5"/>
    </row>
    <row r="140" spans="1:16" ht="27" customHeight="1">
      <c r="A140" s="5"/>
      <c r="B140" s="5"/>
      <c r="C140" s="5"/>
      <c r="D140" s="7"/>
      <c r="E140" s="6"/>
      <c r="F140" s="5"/>
      <c r="G140" s="5"/>
      <c r="H140" s="127"/>
      <c r="I140" s="5"/>
      <c r="J140" s="6"/>
      <c r="K140" s="5"/>
      <c r="L140" s="5"/>
      <c r="M140" s="8"/>
      <c r="N140" s="5"/>
      <c r="O140" s="5"/>
      <c r="P140" s="5"/>
    </row>
    <row r="141" spans="1:16" ht="27" customHeight="1">
      <c r="A141" s="5"/>
      <c r="B141" s="5"/>
      <c r="C141" s="5"/>
      <c r="D141" s="7"/>
      <c r="E141" s="6"/>
      <c r="F141" s="5"/>
      <c r="G141" s="5"/>
      <c r="H141" s="127"/>
      <c r="I141" s="5"/>
      <c r="J141" s="6"/>
      <c r="K141" s="5"/>
      <c r="L141" s="5"/>
      <c r="M141" s="8"/>
      <c r="N141" s="5"/>
      <c r="O141" s="5"/>
      <c r="P141" s="5"/>
    </row>
    <row r="142" spans="1:16" ht="27" customHeight="1">
      <c r="A142" s="5"/>
      <c r="B142" s="5"/>
      <c r="C142" s="5"/>
      <c r="D142" s="7"/>
      <c r="E142" s="6"/>
      <c r="F142" s="5"/>
      <c r="G142" s="5"/>
      <c r="H142" s="127"/>
      <c r="I142" s="5"/>
      <c r="J142" s="6"/>
      <c r="K142" s="5"/>
      <c r="L142" s="5"/>
      <c r="M142" s="8"/>
      <c r="N142" s="5"/>
      <c r="O142" s="5"/>
      <c r="P142" s="5"/>
    </row>
    <row r="143" spans="1:16" ht="27" customHeight="1">
      <c r="A143" s="5"/>
      <c r="B143" s="5"/>
      <c r="C143" s="5"/>
      <c r="D143" s="7"/>
      <c r="E143" s="6"/>
      <c r="F143" s="5"/>
      <c r="G143" s="5"/>
      <c r="H143" s="127"/>
      <c r="I143" s="5"/>
      <c r="J143" s="6"/>
      <c r="K143" s="5"/>
      <c r="L143" s="5"/>
      <c r="M143" s="8"/>
      <c r="N143" s="5"/>
      <c r="O143" s="5"/>
      <c r="P143" s="5"/>
    </row>
    <row r="144" spans="1:16" ht="27" customHeight="1">
      <c r="A144" s="5"/>
      <c r="B144" s="5"/>
      <c r="C144" s="5"/>
      <c r="D144" s="7"/>
      <c r="E144" s="6"/>
      <c r="F144" s="5"/>
      <c r="G144" s="5"/>
      <c r="H144" s="127"/>
      <c r="I144" s="5"/>
      <c r="J144" s="6"/>
      <c r="K144" s="5"/>
      <c r="L144" s="5"/>
      <c r="M144" s="8"/>
      <c r="N144" s="5"/>
      <c r="O144" s="5"/>
      <c r="P144" s="5"/>
    </row>
    <row r="145" spans="1:16" ht="27" customHeight="1">
      <c r="A145" s="5"/>
      <c r="B145" s="5"/>
      <c r="C145" s="5"/>
      <c r="D145" s="7"/>
      <c r="E145" s="6"/>
      <c r="F145" s="5"/>
      <c r="G145" s="5"/>
      <c r="H145" s="127"/>
      <c r="I145" s="5"/>
      <c r="J145" s="6"/>
      <c r="K145" s="5"/>
      <c r="L145" s="5"/>
      <c r="M145" s="8"/>
      <c r="N145" s="5"/>
      <c r="O145" s="5"/>
      <c r="P145" s="5"/>
    </row>
    <row r="146" spans="1:16" ht="27" customHeight="1">
      <c r="A146" s="5"/>
      <c r="B146" s="5"/>
      <c r="C146" s="5"/>
      <c r="D146" s="7"/>
      <c r="E146" s="6"/>
      <c r="F146" s="5"/>
      <c r="G146" s="5"/>
      <c r="H146" s="127"/>
      <c r="I146" s="5"/>
      <c r="J146" s="6"/>
      <c r="K146" s="5"/>
      <c r="L146" s="5"/>
      <c r="M146" s="8"/>
      <c r="N146" s="5"/>
      <c r="O146" s="5"/>
      <c r="P146" s="5"/>
    </row>
    <row r="147" spans="1:16" ht="27" customHeight="1">
      <c r="A147" s="5"/>
      <c r="B147" s="5"/>
      <c r="C147" s="5"/>
      <c r="D147" s="7"/>
      <c r="E147" s="6"/>
      <c r="F147" s="5"/>
      <c r="G147" s="5"/>
      <c r="H147" s="127"/>
      <c r="I147" s="5"/>
      <c r="J147" s="6"/>
      <c r="K147" s="5"/>
      <c r="L147" s="5"/>
      <c r="M147" s="8"/>
      <c r="N147" s="5"/>
      <c r="O147" s="5"/>
      <c r="P147" s="5"/>
    </row>
    <row r="148" spans="1:16" ht="27" customHeight="1">
      <c r="A148" s="5"/>
      <c r="B148" s="5"/>
      <c r="C148" s="5"/>
      <c r="D148" s="7"/>
      <c r="E148" s="6"/>
      <c r="F148" s="5"/>
      <c r="G148" s="5"/>
      <c r="H148" s="127"/>
      <c r="I148" s="5"/>
      <c r="J148" s="6"/>
      <c r="K148" s="5"/>
      <c r="L148" s="5"/>
      <c r="M148" s="8"/>
      <c r="N148" s="5"/>
      <c r="O148" s="5"/>
      <c r="P148" s="5"/>
    </row>
    <row r="149" spans="1:16" ht="27" customHeight="1">
      <c r="A149" s="5"/>
      <c r="B149" s="5"/>
      <c r="C149" s="5"/>
      <c r="D149" s="7"/>
      <c r="E149" s="6"/>
      <c r="F149" s="5"/>
      <c r="G149" s="5"/>
      <c r="H149" s="127"/>
      <c r="I149" s="5"/>
      <c r="J149" s="6"/>
      <c r="K149" s="5"/>
      <c r="L149" s="5"/>
      <c r="M149" s="8"/>
      <c r="N149" s="5"/>
      <c r="O149" s="5"/>
      <c r="P149" s="5"/>
    </row>
    <row r="150" spans="1:16" ht="27" customHeight="1">
      <c r="A150" s="5"/>
      <c r="B150" s="5"/>
      <c r="C150" s="5"/>
      <c r="D150" s="7"/>
      <c r="E150" s="6"/>
      <c r="F150" s="5"/>
      <c r="G150" s="5"/>
      <c r="H150" s="127"/>
      <c r="I150" s="5"/>
      <c r="J150" s="6"/>
      <c r="K150" s="5"/>
      <c r="L150" s="5"/>
      <c r="M150" s="8"/>
      <c r="N150" s="5"/>
      <c r="O150" s="5"/>
      <c r="P150" s="5"/>
    </row>
    <row r="151" spans="1:16" ht="27" customHeight="1">
      <c r="A151" s="5"/>
      <c r="B151" s="5"/>
      <c r="C151" s="5"/>
      <c r="D151" s="7"/>
      <c r="E151" s="6"/>
      <c r="F151" s="5"/>
      <c r="G151" s="5"/>
      <c r="H151" s="127"/>
      <c r="I151" s="5"/>
      <c r="J151" s="6"/>
      <c r="K151" s="5"/>
      <c r="L151" s="5"/>
      <c r="M151" s="8"/>
      <c r="N151" s="5"/>
      <c r="O151" s="5"/>
      <c r="P151" s="5"/>
    </row>
    <row r="152" spans="1:16" ht="27" customHeight="1">
      <c r="A152" s="5"/>
      <c r="B152" s="5"/>
      <c r="C152" s="5"/>
      <c r="D152" s="7"/>
      <c r="E152" s="6"/>
      <c r="F152" s="5"/>
      <c r="G152" s="5"/>
      <c r="H152" s="127"/>
      <c r="I152" s="5"/>
      <c r="J152" s="6"/>
      <c r="K152" s="5"/>
      <c r="L152" s="5"/>
      <c r="M152" s="8"/>
      <c r="N152" s="5"/>
      <c r="O152" s="5"/>
      <c r="P152" s="5"/>
    </row>
    <row r="153" spans="1:16" ht="27" customHeight="1">
      <c r="A153" s="5"/>
      <c r="B153" s="5"/>
      <c r="C153" s="5"/>
      <c r="D153" s="7"/>
      <c r="E153" s="6"/>
      <c r="F153" s="5"/>
      <c r="G153" s="5"/>
      <c r="H153" s="127"/>
      <c r="I153" s="5"/>
      <c r="J153" s="6"/>
      <c r="K153" s="5"/>
      <c r="L153" s="5"/>
      <c r="M153" s="8"/>
      <c r="N153" s="5"/>
      <c r="O153" s="5"/>
      <c r="P153" s="5"/>
    </row>
    <row r="154" spans="1:16" ht="27" customHeight="1">
      <c r="A154" s="5"/>
      <c r="B154" s="5"/>
      <c r="C154" s="5"/>
      <c r="D154" s="7"/>
      <c r="E154" s="6"/>
      <c r="F154" s="5"/>
      <c r="G154" s="5"/>
      <c r="H154" s="127"/>
      <c r="I154" s="5"/>
      <c r="J154" s="6"/>
      <c r="K154" s="5"/>
      <c r="L154" s="5"/>
      <c r="M154" s="8"/>
      <c r="N154" s="5"/>
      <c r="O154" s="5"/>
      <c r="P154" s="5"/>
    </row>
    <row r="155" spans="1:16" ht="27" customHeight="1">
      <c r="A155" s="5"/>
      <c r="B155" s="5"/>
      <c r="C155" s="5"/>
      <c r="D155" s="7"/>
      <c r="E155" s="6"/>
      <c r="F155" s="5"/>
      <c r="G155" s="5"/>
      <c r="H155" s="127"/>
      <c r="I155" s="5"/>
      <c r="J155" s="6"/>
      <c r="K155" s="5"/>
      <c r="L155" s="5"/>
      <c r="M155" s="8"/>
      <c r="N155" s="5"/>
      <c r="O155" s="5"/>
      <c r="P155" s="5"/>
    </row>
    <row r="156" spans="1:16" ht="27" customHeight="1">
      <c r="A156" s="5"/>
      <c r="B156" s="5"/>
      <c r="C156" s="5"/>
      <c r="D156" s="7"/>
      <c r="E156" s="6"/>
      <c r="F156" s="5"/>
      <c r="G156" s="5"/>
      <c r="H156" s="127"/>
      <c r="I156" s="5"/>
      <c r="J156" s="6"/>
      <c r="K156" s="5"/>
      <c r="L156" s="5"/>
      <c r="M156" s="8"/>
      <c r="N156" s="5"/>
      <c r="O156" s="5"/>
      <c r="P156" s="5"/>
    </row>
    <row r="157" spans="1:16" ht="27" customHeight="1">
      <c r="A157" s="5"/>
      <c r="B157" s="5"/>
      <c r="C157" s="5"/>
      <c r="D157" s="7"/>
      <c r="E157" s="6"/>
      <c r="F157" s="5"/>
      <c r="G157" s="5"/>
      <c r="H157" s="127"/>
      <c r="I157" s="5"/>
      <c r="J157" s="6"/>
      <c r="K157" s="5"/>
      <c r="L157" s="5"/>
      <c r="M157" s="8"/>
      <c r="N157" s="5"/>
      <c r="O157" s="5"/>
      <c r="P157" s="5"/>
    </row>
    <row r="158" spans="1:16" ht="27" customHeight="1">
      <c r="A158" s="5"/>
      <c r="B158" s="5"/>
      <c r="C158" s="5"/>
      <c r="D158" s="7"/>
      <c r="E158" s="6"/>
      <c r="F158" s="5"/>
      <c r="G158" s="5"/>
      <c r="H158" s="127"/>
      <c r="I158" s="5"/>
      <c r="J158" s="6"/>
      <c r="K158" s="5"/>
      <c r="L158" s="5"/>
      <c r="M158" s="8"/>
      <c r="N158" s="5"/>
      <c r="O158" s="5"/>
      <c r="P158" s="5"/>
    </row>
    <row r="159" spans="1:16" ht="27" customHeight="1">
      <c r="A159" s="5"/>
      <c r="B159" s="5"/>
      <c r="C159" s="5"/>
      <c r="D159" s="7"/>
      <c r="E159" s="6"/>
      <c r="F159" s="5"/>
      <c r="G159" s="5"/>
      <c r="H159" s="127"/>
      <c r="I159" s="5"/>
      <c r="J159" s="6"/>
      <c r="K159" s="5"/>
      <c r="L159" s="5"/>
      <c r="M159" s="8"/>
      <c r="N159" s="5"/>
      <c r="O159" s="5"/>
      <c r="P159" s="5"/>
    </row>
    <row r="160" spans="1:16" ht="27" customHeight="1">
      <c r="A160" s="5"/>
      <c r="B160" s="5"/>
      <c r="C160" s="5"/>
      <c r="D160" s="7"/>
      <c r="E160" s="6"/>
      <c r="F160" s="5"/>
      <c r="G160" s="5"/>
      <c r="H160" s="127"/>
      <c r="I160" s="5"/>
      <c r="J160" s="6"/>
      <c r="K160" s="5"/>
      <c r="L160" s="5"/>
      <c r="M160" s="8"/>
      <c r="N160" s="5"/>
      <c r="O160" s="5"/>
      <c r="P160" s="5"/>
    </row>
    <row r="161" spans="1:16" ht="27" customHeight="1">
      <c r="A161" s="5"/>
      <c r="B161" s="5"/>
      <c r="C161" s="5"/>
      <c r="D161" s="7"/>
      <c r="E161" s="6"/>
      <c r="F161" s="5"/>
      <c r="G161" s="5"/>
      <c r="H161" s="127"/>
      <c r="I161" s="5"/>
      <c r="J161" s="6"/>
      <c r="K161" s="5"/>
      <c r="L161" s="5"/>
      <c r="M161" s="8"/>
      <c r="N161" s="5"/>
      <c r="O161" s="5"/>
      <c r="P161" s="5"/>
    </row>
    <row r="162" spans="1:16" ht="27" customHeight="1">
      <c r="A162" s="5"/>
      <c r="B162" s="5"/>
      <c r="C162" s="5"/>
      <c r="D162" s="7"/>
      <c r="E162" s="6"/>
      <c r="F162" s="5"/>
      <c r="G162" s="5"/>
      <c r="H162" s="127"/>
      <c r="I162" s="5"/>
      <c r="J162" s="6"/>
      <c r="K162" s="5"/>
      <c r="L162" s="5"/>
      <c r="M162" s="8"/>
      <c r="N162" s="5"/>
      <c r="O162" s="5"/>
      <c r="P162" s="5"/>
    </row>
    <row r="163" spans="1:16" ht="27" customHeight="1">
      <c r="A163" s="5"/>
      <c r="B163" s="5"/>
      <c r="C163" s="5"/>
      <c r="D163" s="7"/>
      <c r="E163" s="6"/>
      <c r="F163" s="5"/>
      <c r="G163" s="5"/>
      <c r="H163" s="127"/>
      <c r="I163" s="5"/>
      <c r="J163" s="6"/>
      <c r="K163" s="5"/>
      <c r="L163" s="5"/>
      <c r="M163" s="8"/>
      <c r="N163" s="5"/>
      <c r="O163" s="5"/>
      <c r="P163" s="5"/>
    </row>
    <row r="164" spans="1:16" ht="27" customHeight="1">
      <c r="A164" s="5"/>
      <c r="B164" s="5"/>
      <c r="C164" s="5"/>
      <c r="D164" s="7"/>
      <c r="E164" s="6"/>
      <c r="F164" s="5"/>
      <c r="G164" s="5"/>
      <c r="H164" s="127"/>
      <c r="I164" s="5"/>
      <c r="J164" s="6"/>
      <c r="K164" s="5"/>
      <c r="L164" s="5"/>
      <c r="M164" s="8"/>
      <c r="N164" s="5"/>
      <c r="O164" s="5"/>
      <c r="P164" s="5"/>
    </row>
    <row r="165" spans="1:16" ht="27" customHeight="1">
      <c r="A165" s="5"/>
      <c r="B165" s="5"/>
      <c r="C165" s="5"/>
      <c r="D165" s="7"/>
      <c r="E165" s="6"/>
      <c r="F165" s="5"/>
      <c r="G165" s="5"/>
      <c r="H165" s="127"/>
      <c r="I165" s="5"/>
      <c r="J165" s="6"/>
      <c r="K165" s="5"/>
      <c r="L165" s="5"/>
      <c r="M165" s="8"/>
      <c r="N165" s="5"/>
      <c r="O165" s="5"/>
      <c r="P165" s="5"/>
    </row>
    <row r="166" spans="1:16" ht="27" customHeight="1">
      <c r="A166" s="5"/>
      <c r="B166" s="5"/>
      <c r="C166" s="5"/>
      <c r="D166" s="7"/>
      <c r="E166" s="6"/>
      <c r="F166" s="5"/>
      <c r="G166" s="5"/>
      <c r="H166" s="127"/>
      <c r="I166" s="5"/>
      <c r="J166" s="6"/>
      <c r="K166" s="5"/>
      <c r="L166" s="5"/>
      <c r="M166" s="8"/>
      <c r="N166" s="5"/>
      <c r="O166" s="5"/>
      <c r="P166" s="5"/>
    </row>
    <row r="167" spans="1:16" ht="27" customHeight="1">
      <c r="A167" s="5"/>
      <c r="B167" s="5"/>
      <c r="C167" s="5"/>
      <c r="D167" s="7"/>
      <c r="E167" s="6"/>
      <c r="F167" s="5"/>
      <c r="G167" s="5"/>
      <c r="H167" s="127"/>
      <c r="I167" s="5"/>
      <c r="J167" s="6"/>
      <c r="K167" s="5"/>
      <c r="L167" s="5"/>
      <c r="M167" s="8"/>
      <c r="N167" s="5"/>
      <c r="O167" s="5"/>
      <c r="P167" s="5"/>
    </row>
    <row r="168" spans="1:16" ht="27" customHeight="1">
      <c r="A168" s="5"/>
      <c r="B168" s="5"/>
      <c r="C168" s="5"/>
      <c r="D168" s="7"/>
      <c r="E168" s="6"/>
      <c r="F168" s="5"/>
      <c r="G168" s="5"/>
      <c r="H168" s="127"/>
      <c r="I168" s="5"/>
      <c r="J168" s="6"/>
      <c r="K168" s="5"/>
      <c r="L168" s="5"/>
      <c r="M168" s="8"/>
      <c r="N168" s="5"/>
      <c r="O168" s="5"/>
      <c r="P168" s="5"/>
    </row>
    <row r="169" spans="1:16" ht="27" customHeight="1">
      <c r="A169" s="5"/>
      <c r="B169" s="5"/>
      <c r="C169" s="5"/>
      <c r="D169" s="7"/>
      <c r="E169" s="6"/>
      <c r="F169" s="5"/>
      <c r="G169" s="5"/>
      <c r="H169" s="127"/>
      <c r="I169" s="5"/>
      <c r="J169" s="6"/>
      <c r="K169" s="5"/>
      <c r="L169" s="5"/>
      <c r="M169" s="8"/>
      <c r="N169" s="5"/>
      <c r="O169" s="5"/>
      <c r="P169" s="5"/>
    </row>
    <row r="170" spans="1:16" ht="27" customHeight="1">
      <c r="A170" s="5"/>
      <c r="B170" s="5"/>
      <c r="C170" s="5"/>
      <c r="D170" s="7"/>
      <c r="E170" s="6"/>
      <c r="F170" s="5"/>
      <c r="G170" s="5"/>
      <c r="H170" s="127"/>
      <c r="I170" s="5"/>
      <c r="J170" s="6"/>
      <c r="K170" s="5"/>
      <c r="L170" s="5"/>
      <c r="M170" s="8"/>
      <c r="N170" s="5"/>
      <c r="O170" s="5"/>
      <c r="P170" s="5"/>
    </row>
    <row r="171" spans="1:16" ht="27" customHeight="1">
      <c r="A171" s="5"/>
      <c r="B171" s="5"/>
      <c r="C171" s="5"/>
      <c r="D171" s="7"/>
      <c r="E171" s="6"/>
      <c r="F171" s="5"/>
      <c r="G171" s="5"/>
      <c r="H171" s="127"/>
      <c r="I171" s="5"/>
      <c r="J171" s="6"/>
      <c r="K171" s="5"/>
      <c r="L171" s="5"/>
      <c r="M171" s="8"/>
      <c r="N171" s="5"/>
      <c r="O171" s="5"/>
      <c r="P171" s="5"/>
    </row>
    <row r="172" spans="1:16" ht="27" customHeight="1">
      <c r="A172" s="5"/>
      <c r="B172" s="5"/>
      <c r="C172" s="5"/>
      <c r="D172" s="7"/>
      <c r="E172" s="6"/>
      <c r="F172" s="5"/>
      <c r="G172" s="5"/>
      <c r="H172" s="127"/>
      <c r="I172" s="5"/>
      <c r="J172" s="6"/>
      <c r="K172" s="5"/>
      <c r="L172" s="5"/>
      <c r="M172" s="8"/>
      <c r="N172" s="5"/>
      <c r="O172" s="5"/>
      <c r="P172" s="5"/>
    </row>
    <row r="173" spans="1:16" ht="27" customHeight="1">
      <c r="A173" s="5"/>
      <c r="B173" s="5"/>
      <c r="C173" s="5"/>
      <c r="D173" s="7"/>
      <c r="E173" s="6"/>
      <c r="F173" s="5"/>
      <c r="G173" s="5"/>
      <c r="H173" s="127"/>
      <c r="I173" s="5"/>
      <c r="J173" s="6"/>
      <c r="K173" s="5"/>
      <c r="L173" s="5"/>
      <c r="M173" s="8"/>
      <c r="N173" s="5"/>
      <c r="O173" s="5"/>
      <c r="P173" s="5"/>
    </row>
    <row r="174" spans="1:16" ht="27" customHeight="1">
      <c r="A174" s="5"/>
      <c r="B174" s="5"/>
      <c r="C174" s="5"/>
      <c r="D174" s="7"/>
      <c r="E174" s="6"/>
      <c r="F174" s="5"/>
      <c r="G174" s="5"/>
      <c r="H174" s="127"/>
      <c r="I174" s="5"/>
      <c r="J174" s="6"/>
      <c r="K174" s="5"/>
      <c r="L174" s="5"/>
      <c r="M174" s="8"/>
      <c r="N174" s="5"/>
      <c r="O174" s="5"/>
      <c r="P174" s="5"/>
    </row>
    <row r="175" spans="1:16" ht="27" customHeight="1">
      <c r="A175" s="5"/>
      <c r="B175" s="5"/>
      <c r="C175" s="5"/>
      <c r="D175" s="7"/>
      <c r="E175" s="6"/>
      <c r="F175" s="5"/>
      <c r="G175" s="5"/>
      <c r="H175" s="127"/>
      <c r="I175" s="5"/>
      <c r="J175" s="6"/>
      <c r="K175" s="5"/>
      <c r="L175" s="5"/>
      <c r="M175" s="8"/>
      <c r="N175" s="5"/>
      <c r="O175" s="5"/>
      <c r="P175" s="5"/>
    </row>
    <row r="176" spans="1:16" ht="27" customHeight="1">
      <c r="A176" s="5"/>
      <c r="B176" s="5"/>
      <c r="C176" s="5"/>
      <c r="D176" s="7"/>
      <c r="E176" s="6"/>
      <c r="F176" s="5"/>
      <c r="G176" s="5"/>
      <c r="H176" s="127"/>
      <c r="I176" s="5"/>
      <c r="J176" s="6"/>
      <c r="K176" s="5"/>
      <c r="L176" s="5"/>
      <c r="M176" s="8"/>
      <c r="N176" s="5"/>
      <c r="O176" s="5"/>
      <c r="P176" s="5"/>
    </row>
    <row r="177" spans="1:16" ht="27" customHeight="1">
      <c r="A177" s="5"/>
      <c r="B177" s="5"/>
      <c r="C177" s="5"/>
      <c r="D177" s="7"/>
      <c r="E177" s="6"/>
      <c r="F177" s="5"/>
      <c r="G177" s="5"/>
      <c r="H177" s="127"/>
      <c r="I177" s="5"/>
      <c r="J177" s="6"/>
      <c r="K177" s="5"/>
      <c r="L177" s="5"/>
      <c r="M177" s="8"/>
      <c r="N177" s="5"/>
      <c r="O177" s="5"/>
      <c r="P177" s="5"/>
    </row>
    <row r="178" spans="1:16" ht="27" customHeight="1">
      <c r="A178" s="5"/>
      <c r="B178" s="5"/>
      <c r="C178" s="5"/>
      <c r="D178" s="7"/>
      <c r="E178" s="6"/>
      <c r="F178" s="5"/>
      <c r="G178" s="5"/>
      <c r="H178" s="127"/>
      <c r="I178" s="5"/>
      <c r="J178" s="6"/>
      <c r="K178" s="5"/>
      <c r="L178" s="5"/>
      <c r="M178" s="8"/>
      <c r="N178" s="5"/>
      <c r="O178" s="5"/>
      <c r="P178" s="5"/>
    </row>
    <row r="179" spans="1:16" ht="27" customHeight="1">
      <c r="A179" s="5"/>
      <c r="B179" s="5"/>
      <c r="C179" s="5"/>
      <c r="D179" s="7"/>
      <c r="E179" s="6"/>
      <c r="F179" s="5"/>
      <c r="G179" s="5"/>
      <c r="H179" s="127"/>
      <c r="I179" s="5"/>
      <c r="J179" s="6"/>
      <c r="K179" s="5"/>
      <c r="L179" s="5"/>
      <c r="M179" s="8"/>
      <c r="N179" s="5"/>
      <c r="O179" s="5"/>
      <c r="P179" s="5"/>
    </row>
    <row r="180" spans="1:16" ht="27" customHeight="1">
      <c r="A180" s="5"/>
      <c r="B180" s="5"/>
      <c r="C180" s="5"/>
      <c r="D180" s="7"/>
      <c r="E180" s="6"/>
      <c r="F180" s="5"/>
      <c r="G180" s="5"/>
      <c r="H180" s="127"/>
      <c r="I180" s="5"/>
      <c r="J180" s="6"/>
      <c r="K180" s="5"/>
      <c r="L180" s="5"/>
      <c r="M180" s="8"/>
      <c r="N180" s="5"/>
      <c r="O180" s="5"/>
      <c r="P180" s="5"/>
    </row>
    <row r="181" spans="1:16" ht="27" customHeight="1">
      <c r="A181" s="5"/>
      <c r="B181" s="5"/>
      <c r="C181" s="5"/>
      <c r="D181" s="7"/>
      <c r="E181" s="6"/>
      <c r="F181" s="5"/>
      <c r="G181" s="5"/>
      <c r="H181" s="127"/>
      <c r="I181" s="5"/>
      <c r="J181" s="6"/>
      <c r="K181" s="5"/>
      <c r="L181" s="5"/>
      <c r="M181" s="8"/>
      <c r="N181" s="5"/>
      <c r="O181" s="5"/>
      <c r="P181" s="5"/>
    </row>
    <row r="182" spans="1:16" ht="27" customHeight="1">
      <c r="A182" s="5"/>
      <c r="B182" s="5"/>
      <c r="C182" s="5"/>
      <c r="D182" s="7"/>
      <c r="E182" s="6"/>
      <c r="F182" s="5"/>
      <c r="G182" s="5"/>
      <c r="H182" s="127"/>
      <c r="I182" s="5"/>
      <c r="J182" s="6"/>
      <c r="K182" s="5"/>
      <c r="L182" s="5"/>
      <c r="M182" s="8"/>
      <c r="N182" s="5"/>
      <c r="O182" s="5"/>
      <c r="P182" s="5"/>
    </row>
    <row r="183" spans="1:16" ht="27" customHeight="1">
      <c r="A183" s="5"/>
      <c r="B183" s="5"/>
      <c r="C183" s="5"/>
      <c r="D183" s="7"/>
      <c r="E183" s="6"/>
      <c r="F183" s="5"/>
      <c r="G183" s="5"/>
      <c r="H183" s="127"/>
      <c r="I183" s="5"/>
      <c r="J183" s="6"/>
      <c r="K183" s="5"/>
      <c r="L183" s="5"/>
      <c r="M183" s="8"/>
      <c r="N183" s="5"/>
      <c r="O183" s="5"/>
      <c r="P183" s="5"/>
    </row>
    <row r="184" spans="1:16" ht="27" customHeight="1">
      <c r="A184" s="5"/>
      <c r="B184" s="5"/>
      <c r="C184" s="5"/>
      <c r="D184" s="7"/>
      <c r="E184" s="6"/>
      <c r="F184" s="5"/>
      <c r="G184" s="5"/>
      <c r="H184" s="127"/>
      <c r="I184" s="5"/>
      <c r="J184" s="6"/>
      <c r="K184" s="5"/>
      <c r="L184" s="5"/>
      <c r="M184" s="8"/>
      <c r="N184" s="5"/>
      <c r="O184" s="5"/>
      <c r="P184" s="5"/>
    </row>
    <row r="185" spans="1:16" ht="27" customHeight="1">
      <c r="A185" s="5"/>
      <c r="B185" s="5"/>
      <c r="C185" s="5"/>
      <c r="D185" s="7"/>
      <c r="E185" s="6"/>
      <c r="F185" s="5"/>
      <c r="G185" s="5"/>
      <c r="H185" s="127"/>
      <c r="I185" s="5"/>
      <c r="J185" s="6"/>
      <c r="K185" s="5"/>
      <c r="L185" s="5"/>
      <c r="M185" s="8"/>
      <c r="N185" s="5"/>
      <c r="O185" s="5"/>
      <c r="P185" s="5"/>
    </row>
    <row r="186" spans="1:16" ht="27" customHeight="1">
      <c r="A186" s="5"/>
      <c r="B186" s="5"/>
      <c r="C186" s="5"/>
      <c r="D186" s="7"/>
      <c r="E186" s="6"/>
      <c r="F186" s="5"/>
      <c r="G186" s="5"/>
      <c r="H186" s="127"/>
      <c r="I186" s="5"/>
      <c r="J186" s="6"/>
      <c r="K186" s="5"/>
      <c r="L186" s="5"/>
      <c r="M186" s="8"/>
      <c r="N186" s="5"/>
      <c r="O186" s="5"/>
      <c r="P186" s="5"/>
    </row>
    <row r="187" spans="1:16" ht="27" customHeight="1">
      <c r="A187" s="5"/>
      <c r="B187" s="5"/>
      <c r="C187" s="5"/>
      <c r="D187" s="7"/>
      <c r="E187" s="6"/>
      <c r="F187" s="5"/>
      <c r="G187" s="5"/>
      <c r="H187" s="127"/>
      <c r="I187" s="5"/>
      <c r="J187" s="6"/>
      <c r="K187" s="5"/>
      <c r="L187" s="5"/>
      <c r="M187" s="8"/>
      <c r="N187" s="5"/>
      <c r="O187" s="5"/>
      <c r="P187" s="5"/>
    </row>
    <row r="188" spans="1:16" ht="27" customHeight="1">
      <c r="A188" s="5"/>
      <c r="B188" s="5"/>
      <c r="C188" s="5"/>
      <c r="D188" s="7"/>
      <c r="E188" s="6"/>
      <c r="F188" s="5"/>
      <c r="G188" s="5"/>
      <c r="H188" s="127"/>
      <c r="I188" s="5"/>
      <c r="J188" s="6"/>
      <c r="K188" s="5"/>
      <c r="L188" s="5"/>
      <c r="M188" s="8"/>
      <c r="N188" s="5"/>
      <c r="O188" s="5"/>
      <c r="P188" s="5"/>
    </row>
    <row r="189" spans="1:16" ht="27" customHeight="1">
      <c r="A189" s="5"/>
      <c r="B189" s="5"/>
      <c r="C189" s="5"/>
      <c r="D189" s="7"/>
      <c r="E189" s="6"/>
      <c r="F189" s="5"/>
      <c r="G189" s="5"/>
      <c r="H189" s="127"/>
      <c r="I189" s="5"/>
      <c r="J189" s="6"/>
      <c r="K189" s="5"/>
      <c r="L189" s="5"/>
      <c r="M189" s="8"/>
      <c r="N189" s="5"/>
      <c r="O189" s="5"/>
      <c r="P189" s="5"/>
    </row>
    <row r="190" spans="1:16" ht="27" customHeight="1">
      <c r="A190" s="5"/>
      <c r="B190" s="5"/>
      <c r="C190" s="5"/>
      <c r="D190" s="7"/>
      <c r="E190" s="6"/>
      <c r="F190" s="5"/>
      <c r="G190" s="5"/>
      <c r="H190" s="127"/>
      <c r="I190" s="5"/>
      <c r="J190" s="6"/>
      <c r="K190" s="5"/>
      <c r="L190" s="5"/>
      <c r="M190" s="8"/>
      <c r="N190" s="5"/>
      <c r="O190" s="5"/>
      <c r="P190" s="5"/>
    </row>
    <row r="191" spans="1:16" ht="27" customHeight="1">
      <c r="A191" s="5"/>
      <c r="B191" s="5"/>
      <c r="C191" s="5"/>
      <c r="D191" s="7"/>
      <c r="E191" s="6"/>
      <c r="F191" s="5"/>
      <c r="G191" s="5"/>
      <c r="H191" s="127"/>
      <c r="I191" s="5"/>
      <c r="J191" s="6"/>
      <c r="K191" s="5"/>
      <c r="L191" s="5"/>
      <c r="M191" s="8"/>
      <c r="N191" s="5"/>
      <c r="O191" s="5"/>
      <c r="P191" s="5"/>
    </row>
    <row r="192" spans="1:16" ht="27" customHeight="1">
      <c r="A192" s="5"/>
      <c r="B192" s="5"/>
      <c r="C192" s="5"/>
      <c r="D192" s="7"/>
      <c r="E192" s="6"/>
      <c r="F192" s="5"/>
      <c r="G192" s="5"/>
      <c r="H192" s="127"/>
      <c r="I192" s="5"/>
      <c r="J192" s="6"/>
      <c r="K192" s="5"/>
      <c r="L192" s="5"/>
      <c r="M192" s="8"/>
      <c r="N192" s="5"/>
      <c r="O192" s="5"/>
      <c r="P192" s="5"/>
    </row>
    <row r="193" spans="1:16" ht="27" customHeight="1">
      <c r="A193" s="5"/>
      <c r="B193" s="5"/>
      <c r="C193" s="5"/>
      <c r="D193" s="7"/>
      <c r="E193" s="6"/>
      <c r="F193" s="5"/>
      <c r="G193" s="5"/>
      <c r="H193" s="127"/>
      <c r="I193" s="5"/>
      <c r="J193" s="6"/>
      <c r="K193" s="5"/>
      <c r="L193" s="5"/>
      <c r="M193" s="8"/>
      <c r="N193" s="5"/>
      <c r="O193" s="5"/>
      <c r="P193" s="5"/>
    </row>
    <row r="194" spans="1:16" ht="27" customHeight="1">
      <c r="A194" s="5"/>
      <c r="B194" s="5"/>
      <c r="C194" s="5"/>
      <c r="D194" s="7"/>
      <c r="E194" s="6"/>
      <c r="F194" s="5"/>
      <c r="G194" s="5"/>
      <c r="H194" s="127"/>
      <c r="I194" s="5"/>
      <c r="J194" s="6"/>
      <c r="K194" s="5"/>
      <c r="L194" s="5"/>
      <c r="M194" s="8"/>
      <c r="N194" s="5"/>
      <c r="O194" s="5"/>
      <c r="P194" s="5"/>
    </row>
    <row r="195" spans="1:16" ht="27" customHeight="1">
      <c r="A195" s="5"/>
      <c r="B195" s="5"/>
      <c r="C195" s="5"/>
      <c r="D195" s="7"/>
      <c r="E195" s="6"/>
      <c r="F195" s="5"/>
      <c r="G195" s="5"/>
      <c r="H195" s="127"/>
      <c r="I195" s="5"/>
      <c r="J195" s="6"/>
      <c r="K195" s="5"/>
      <c r="L195" s="5"/>
      <c r="M195" s="8"/>
      <c r="N195" s="5"/>
      <c r="O195" s="5"/>
      <c r="P195" s="5"/>
    </row>
    <row r="196" spans="1:16" ht="27" customHeight="1">
      <c r="A196" s="5"/>
      <c r="B196" s="5"/>
      <c r="C196" s="5"/>
      <c r="D196" s="7"/>
      <c r="E196" s="6"/>
      <c r="F196" s="5"/>
      <c r="G196" s="5"/>
      <c r="H196" s="127"/>
      <c r="I196" s="5"/>
      <c r="J196" s="6"/>
      <c r="K196" s="5"/>
      <c r="L196" s="5"/>
      <c r="M196" s="8"/>
      <c r="N196" s="5"/>
      <c r="O196" s="5"/>
      <c r="P196" s="5"/>
    </row>
    <row r="197" spans="1:16" ht="27" customHeight="1">
      <c r="A197" s="5"/>
      <c r="B197" s="5"/>
      <c r="C197" s="5"/>
      <c r="D197" s="7"/>
      <c r="E197" s="6"/>
      <c r="F197" s="5"/>
      <c r="G197" s="5"/>
      <c r="H197" s="127"/>
      <c r="I197" s="5"/>
      <c r="J197" s="6"/>
      <c r="K197" s="5"/>
      <c r="L197" s="5"/>
      <c r="M197" s="8"/>
      <c r="N197" s="5"/>
      <c r="O197" s="5"/>
      <c r="P197" s="5"/>
    </row>
    <row r="198" spans="1:16" ht="27" customHeight="1">
      <c r="A198" s="5"/>
      <c r="B198" s="5"/>
      <c r="C198" s="5"/>
      <c r="D198" s="7"/>
      <c r="E198" s="6"/>
      <c r="F198" s="5"/>
      <c r="G198" s="5"/>
      <c r="H198" s="127"/>
      <c r="I198" s="5"/>
      <c r="J198" s="6"/>
      <c r="K198" s="5"/>
      <c r="L198" s="5"/>
      <c r="M198" s="8"/>
      <c r="N198" s="5"/>
      <c r="O198" s="5"/>
      <c r="P198" s="5"/>
    </row>
    <row r="199" spans="1:16" ht="27" customHeight="1">
      <c r="A199" s="5"/>
      <c r="B199" s="5"/>
      <c r="C199" s="5"/>
      <c r="D199" s="7"/>
      <c r="E199" s="6"/>
      <c r="F199" s="5"/>
      <c r="G199" s="5"/>
      <c r="H199" s="127"/>
      <c r="I199" s="5"/>
      <c r="J199" s="6"/>
      <c r="K199" s="5"/>
      <c r="L199" s="5"/>
      <c r="M199" s="8"/>
      <c r="N199" s="5"/>
      <c r="O199" s="5"/>
      <c r="P199" s="5"/>
    </row>
    <row r="200" spans="1:16" ht="27" customHeight="1">
      <c r="A200" s="5"/>
      <c r="B200" s="5"/>
      <c r="C200" s="5"/>
      <c r="D200" s="7"/>
      <c r="E200" s="6"/>
      <c r="F200" s="5"/>
      <c r="G200" s="5"/>
      <c r="H200" s="127"/>
      <c r="I200" s="5"/>
      <c r="J200" s="6"/>
      <c r="K200" s="5"/>
      <c r="L200" s="5"/>
      <c r="M200" s="8"/>
      <c r="N200" s="5"/>
      <c r="O200" s="5"/>
      <c r="P200" s="5"/>
    </row>
    <row r="201" spans="1:16" ht="27" customHeight="1">
      <c r="A201" s="5"/>
      <c r="B201" s="5"/>
      <c r="C201" s="5"/>
      <c r="D201" s="7"/>
      <c r="E201" s="6"/>
      <c r="F201" s="5"/>
      <c r="G201" s="5"/>
      <c r="H201" s="127"/>
      <c r="I201" s="5"/>
      <c r="J201" s="6"/>
      <c r="K201" s="5"/>
      <c r="L201" s="5"/>
      <c r="M201" s="8"/>
      <c r="N201" s="5"/>
      <c r="O201" s="5"/>
      <c r="P201" s="5"/>
    </row>
    <row r="202" spans="1:16" ht="27" customHeight="1">
      <c r="A202" s="5"/>
      <c r="B202" s="5"/>
      <c r="C202" s="5"/>
      <c r="D202" s="7"/>
      <c r="E202" s="6"/>
      <c r="F202" s="5"/>
      <c r="G202" s="5"/>
      <c r="H202" s="127"/>
      <c r="I202" s="5"/>
      <c r="J202" s="6"/>
      <c r="K202" s="5"/>
      <c r="L202" s="5"/>
      <c r="M202" s="8"/>
      <c r="N202" s="5"/>
      <c r="O202" s="5"/>
      <c r="P202" s="5"/>
    </row>
    <row r="203" spans="1:16" ht="27" customHeight="1">
      <c r="A203" s="5"/>
      <c r="B203" s="5"/>
      <c r="C203" s="5"/>
      <c r="D203" s="7"/>
      <c r="E203" s="6"/>
      <c r="F203" s="5"/>
      <c r="G203" s="5"/>
      <c r="H203" s="127"/>
      <c r="I203" s="5"/>
      <c r="J203" s="6"/>
      <c r="K203" s="5"/>
      <c r="L203" s="5"/>
      <c r="M203" s="8"/>
      <c r="N203" s="5"/>
      <c r="O203" s="5"/>
      <c r="P203" s="5"/>
    </row>
    <row r="204" spans="1:16" ht="27" customHeight="1">
      <c r="A204" s="5"/>
      <c r="B204" s="5"/>
      <c r="C204" s="5"/>
      <c r="D204" s="7"/>
      <c r="E204" s="6"/>
      <c r="F204" s="5"/>
      <c r="G204" s="5"/>
      <c r="H204" s="127"/>
      <c r="I204" s="5"/>
      <c r="J204" s="6"/>
      <c r="K204" s="5"/>
      <c r="L204" s="5"/>
      <c r="M204" s="8"/>
      <c r="N204" s="5"/>
      <c r="O204" s="5"/>
      <c r="P204" s="5"/>
    </row>
    <row r="205" spans="1:16" ht="27" customHeight="1">
      <c r="A205" s="5"/>
      <c r="B205" s="5"/>
      <c r="C205" s="5"/>
      <c r="D205" s="7"/>
      <c r="E205" s="6"/>
      <c r="F205" s="5"/>
      <c r="G205" s="5"/>
      <c r="H205" s="127"/>
      <c r="I205" s="5"/>
      <c r="J205" s="6"/>
      <c r="K205" s="5"/>
      <c r="L205" s="5"/>
      <c r="M205" s="8"/>
      <c r="N205" s="5"/>
      <c r="O205" s="5"/>
      <c r="P205" s="5"/>
    </row>
    <row r="206" spans="1:16" ht="27" customHeight="1">
      <c r="A206" s="5"/>
      <c r="B206" s="5"/>
      <c r="C206" s="5"/>
      <c r="D206" s="7"/>
      <c r="E206" s="6"/>
      <c r="F206" s="5"/>
      <c r="G206" s="5"/>
      <c r="H206" s="127"/>
      <c r="I206" s="5"/>
      <c r="J206" s="6"/>
      <c r="K206" s="5"/>
      <c r="L206" s="5"/>
      <c r="M206" s="8"/>
      <c r="N206" s="5"/>
      <c r="O206" s="5"/>
      <c r="P206" s="5"/>
    </row>
    <row r="207" spans="1:16" ht="27" customHeight="1">
      <c r="A207" s="5"/>
      <c r="B207" s="5"/>
      <c r="C207" s="5"/>
      <c r="D207" s="7"/>
      <c r="E207" s="6"/>
      <c r="F207" s="5"/>
      <c r="G207" s="5"/>
      <c r="H207" s="127"/>
      <c r="I207" s="5"/>
      <c r="J207" s="6"/>
      <c r="K207" s="5"/>
      <c r="L207" s="5"/>
      <c r="M207" s="8"/>
      <c r="N207" s="5"/>
      <c r="O207" s="5"/>
      <c r="P207" s="5"/>
    </row>
    <row r="208" spans="1:16" ht="27" customHeight="1">
      <c r="A208" s="5"/>
      <c r="B208" s="5"/>
      <c r="C208" s="5"/>
      <c r="D208" s="7"/>
      <c r="E208" s="6"/>
      <c r="F208" s="5"/>
      <c r="G208" s="5"/>
      <c r="H208" s="127"/>
      <c r="I208" s="5"/>
      <c r="J208" s="6"/>
      <c r="K208" s="5"/>
      <c r="L208" s="5"/>
      <c r="M208" s="8"/>
      <c r="N208" s="5"/>
      <c r="O208" s="5"/>
      <c r="P208" s="5"/>
    </row>
    <row r="209" spans="1:16" ht="27" customHeight="1">
      <c r="A209" s="5"/>
      <c r="B209" s="5"/>
      <c r="C209" s="5"/>
      <c r="D209" s="7"/>
      <c r="E209" s="6"/>
      <c r="F209" s="5"/>
      <c r="G209" s="5"/>
      <c r="H209" s="127"/>
      <c r="I209" s="5"/>
      <c r="J209" s="6"/>
      <c r="K209" s="5"/>
      <c r="L209" s="5"/>
      <c r="M209" s="8"/>
      <c r="N209" s="5"/>
      <c r="O209" s="5"/>
      <c r="P209" s="5"/>
    </row>
    <row r="210" spans="1:16" ht="27" customHeight="1">
      <c r="A210" s="5"/>
      <c r="B210" s="5"/>
      <c r="C210" s="5"/>
      <c r="D210" s="7"/>
      <c r="E210" s="6"/>
      <c r="F210" s="5"/>
      <c r="G210" s="5"/>
      <c r="H210" s="127"/>
      <c r="I210" s="5"/>
      <c r="J210" s="6"/>
      <c r="K210" s="5"/>
      <c r="L210" s="5"/>
      <c r="M210" s="8"/>
      <c r="N210" s="5"/>
      <c r="O210" s="5"/>
      <c r="P210" s="5"/>
    </row>
    <row r="211" spans="1:16" ht="27" customHeight="1">
      <c r="A211" s="5"/>
      <c r="B211" s="5"/>
      <c r="C211" s="5"/>
      <c r="D211" s="7"/>
      <c r="E211" s="6"/>
      <c r="F211" s="5"/>
      <c r="G211" s="5"/>
      <c r="H211" s="127"/>
      <c r="I211" s="5"/>
      <c r="J211" s="6"/>
      <c r="K211" s="5"/>
      <c r="L211" s="5"/>
      <c r="M211" s="8"/>
      <c r="N211" s="5"/>
      <c r="O211" s="5"/>
      <c r="P211" s="5"/>
    </row>
    <row r="212" spans="1:16" ht="27" customHeight="1">
      <c r="A212" s="5"/>
      <c r="B212" s="5"/>
      <c r="C212" s="5"/>
      <c r="D212" s="7"/>
      <c r="E212" s="6"/>
      <c r="F212" s="5"/>
      <c r="G212" s="5"/>
      <c r="H212" s="127"/>
      <c r="I212" s="5"/>
      <c r="J212" s="6"/>
      <c r="K212" s="5"/>
      <c r="L212" s="5"/>
      <c r="M212" s="8"/>
      <c r="N212" s="5"/>
      <c r="O212" s="5"/>
      <c r="P212" s="5"/>
    </row>
    <row r="213" spans="1:16" ht="27" customHeight="1">
      <c r="A213" s="5"/>
      <c r="B213" s="5"/>
      <c r="C213" s="5"/>
      <c r="D213" s="7"/>
      <c r="E213" s="6"/>
      <c r="F213" s="5"/>
      <c r="G213" s="5"/>
      <c r="H213" s="127"/>
      <c r="I213" s="5"/>
      <c r="J213" s="6"/>
      <c r="K213" s="5"/>
      <c r="L213" s="5"/>
      <c r="M213" s="8"/>
      <c r="N213" s="5"/>
      <c r="O213" s="5"/>
      <c r="P213" s="5"/>
    </row>
    <row r="214" spans="1:16" ht="27" customHeight="1">
      <c r="A214" s="5"/>
      <c r="B214" s="5"/>
      <c r="C214" s="5"/>
      <c r="D214" s="7"/>
      <c r="E214" s="6"/>
      <c r="F214" s="5"/>
      <c r="G214" s="5"/>
      <c r="H214" s="127"/>
      <c r="I214" s="5"/>
      <c r="J214" s="6"/>
      <c r="K214" s="5"/>
      <c r="L214" s="5"/>
      <c r="M214" s="8"/>
      <c r="N214" s="5"/>
      <c r="O214" s="5"/>
      <c r="P214" s="5"/>
    </row>
    <row r="215" spans="1:16" ht="27" customHeight="1">
      <c r="A215" s="5"/>
      <c r="B215" s="5"/>
      <c r="C215" s="5"/>
      <c r="D215" s="7"/>
      <c r="E215" s="6"/>
      <c r="F215" s="5"/>
      <c r="G215" s="5"/>
      <c r="H215" s="127"/>
      <c r="I215" s="5"/>
      <c r="J215" s="6"/>
      <c r="K215" s="5"/>
      <c r="L215" s="5"/>
      <c r="M215" s="8"/>
      <c r="N215" s="5"/>
      <c r="O215" s="5"/>
      <c r="P215" s="5"/>
    </row>
    <row r="216" spans="1:16" ht="27" customHeight="1">
      <c r="A216" s="5"/>
      <c r="B216" s="5"/>
      <c r="C216" s="5"/>
      <c r="D216" s="7"/>
      <c r="E216" s="6"/>
      <c r="F216" s="5"/>
      <c r="G216" s="5"/>
      <c r="H216" s="127"/>
      <c r="I216" s="5"/>
      <c r="J216" s="6"/>
      <c r="K216" s="5"/>
      <c r="L216" s="5"/>
      <c r="M216" s="8"/>
      <c r="N216" s="5"/>
      <c r="O216" s="5"/>
      <c r="P216" s="5"/>
    </row>
    <row r="217" spans="1:16" ht="27" customHeight="1">
      <c r="A217" s="5"/>
      <c r="B217" s="5"/>
      <c r="C217" s="5"/>
      <c r="D217" s="7"/>
      <c r="E217" s="6"/>
      <c r="F217" s="5"/>
      <c r="G217" s="5"/>
      <c r="H217" s="127"/>
      <c r="I217" s="5"/>
      <c r="J217" s="6"/>
      <c r="K217" s="5"/>
      <c r="L217" s="5"/>
      <c r="M217" s="8"/>
      <c r="N217" s="5"/>
      <c r="O217" s="5"/>
      <c r="P217" s="5"/>
    </row>
    <row r="218" spans="1:16" ht="27" customHeight="1">
      <c r="A218" s="5"/>
      <c r="B218" s="5"/>
      <c r="C218" s="5"/>
      <c r="D218" s="7"/>
      <c r="E218" s="6"/>
      <c r="F218" s="5"/>
      <c r="G218" s="5"/>
      <c r="H218" s="127"/>
      <c r="I218" s="5"/>
      <c r="J218" s="6"/>
      <c r="K218" s="5"/>
      <c r="L218" s="5"/>
      <c r="M218" s="8"/>
      <c r="N218" s="5"/>
      <c r="O218" s="5"/>
      <c r="P218" s="5"/>
    </row>
    <row r="219" spans="1:16" ht="27" customHeight="1">
      <c r="A219" s="5"/>
      <c r="B219" s="5"/>
      <c r="C219" s="5"/>
      <c r="D219" s="7"/>
      <c r="E219" s="6"/>
      <c r="F219" s="5"/>
      <c r="G219" s="5"/>
      <c r="H219" s="127"/>
      <c r="I219" s="5"/>
      <c r="J219" s="6"/>
      <c r="K219" s="5"/>
      <c r="L219" s="5"/>
      <c r="M219" s="8"/>
      <c r="N219" s="5"/>
      <c r="O219" s="5"/>
      <c r="P219" s="5"/>
    </row>
    <row r="220" spans="1:16" ht="27" customHeight="1">
      <c r="A220" s="5"/>
      <c r="B220" s="5"/>
      <c r="C220" s="5"/>
      <c r="D220" s="7"/>
      <c r="E220" s="6"/>
      <c r="F220" s="5"/>
      <c r="G220" s="5"/>
      <c r="H220" s="127"/>
      <c r="I220" s="5"/>
      <c r="J220" s="6"/>
      <c r="K220" s="5"/>
      <c r="L220" s="5"/>
      <c r="M220" s="8"/>
      <c r="N220" s="5"/>
      <c r="O220" s="5"/>
      <c r="P220" s="5"/>
    </row>
    <row r="221" spans="1:16" ht="27" customHeight="1">
      <c r="A221" s="5"/>
      <c r="B221" s="5"/>
      <c r="C221" s="5"/>
      <c r="D221" s="7"/>
      <c r="E221" s="6"/>
      <c r="F221" s="5"/>
      <c r="G221" s="5"/>
      <c r="H221" s="127"/>
      <c r="I221" s="5"/>
      <c r="J221" s="6"/>
      <c r="K221" s="5"/>
      <c r="L221" s="5"/>
      <c r="M221" s="8"/>
      <c r="N221" s="5"/>
      <c r="O221" s="5"/>
      <c r="P221" s="5"/>
    </row>
    <row r="222" spans="1:16" ht="27" customHeight="1">
      <c r="A222" s="5"/>
      <c r="B222" s="5"/>
      <c r="C222" s="5"/>
      <c r="D222" s="7"/>
      <c r="E222" s="6"/>
      <c r="F222" s="5"/>
      <c r="G222" s="5"/>
      <c r="H222" s="127"/>
      <c r="I222" s="5"/>
      <c r="J222" s="6"/>
      <c r="K222" s="5"/>
      <c r="L222" s="5"/>
      <c r="M222" s="8"/>
      <c r="N222" s="5"/>
      <c r="O222" s="5"/>
      <c r="P222" s="5"/>
    </row>
    <row r="223" spans="1:16" ht="27" customHeight="1">
      <c r="A223" s="5"/>
      <c r="B223" s="5"/>
      <c r="C223" s="5"/>
      <c r="D223" s="7"/>
      <c r="E223" s="6"/>
      <c r="F223" s="5"/>
      <c r="G223" s="5"/>
      <c r="H223" s="127"/>
      <c r="I223" s="5"/>
      <c r="J223" s="6"/>
      <c r="K223" s="5"/>
      <c r="L223" s="5"/>
      <c r="M223" s="8"/>
      <c r="N223" s="5"/>
      <c r="O223" s="5"/>
      <c r="P223" s="5"/>
    </row>
    <row r="224" spans="1:16" ht="27" customHeight="1">
      <c r="A224" s="5"/>
      <c r="B224" s="5"/>
      <c r="C224" s="5"/>
      <c r="D224" s="7"/>
      <c r="E224" s="6"/>
      <c r="F224" s="5"/>
      <c r="G224" s="5"/>
      <c r="H224" s="127"/>
      <c r="I224" s="5"/>
      <c r="J224" s="6"/>
      <c r="K224" s="5"/>
      <c r="L224" s="5"/>
      <c r="M224" s="8"/>
      <c r="N224" s="5"/>
      <c r="O224" s="5"/>
      <c r="P224" s="5"/>
    </row>
    <row r="225" spans="1:16" ht="27" customHeight="1">
      <c r="A225" s="5"/>
      <c r="B225" s="5"/>
      <c r="C225" s="5"/>
      <c r="D225" s="7"/>
      <c r="E225" s="6"/>
      <c r="F225" s="5"/>
      <c r="G225" s="5"/>
      <c r="H225" s="127"/>
      <c r="I225" s="5"/>
      <c r="J225" s="6"/>
      <c r="K225" s="5"/>
      <c r="L225" s="5"/>
      <c r="M225" s="8"/>
      <c r="N225" s="5"/>
      <c r="O225" s="5"/>
      <c r="P225" s="5"/>
    </row>
    <row r="226" spans="1:16" ht="27" customHeight="1">
      <c r="A226" s="5"/>
      <c r="B226" s="5"/>
      <c r="C226" s="5"/>
      <c r="D226" s="7"/>
      <c r="E226" s="6"/>
      <c r="F226" s="5"/>
      <c r="G226" s="5"/>
      <c r="H226" s="127"/>
      <c r="I226" s="5"/>
      <c r="J226" s="6"/>
      <c r="K226" s="5"/>
      <c r="L226" s="5"/>
      <c r="M226" s="8"/>
      <c r="N226" s="5"/>
      <c r="O226" s="5"/>
      <c r="P226" s="5"/>
    </row>
    <row r="227" spans="1:16" ht="27" customHeight="1">
      <c r="A227" s="5"/>
      <c r="B227" s="5"/>
      <c r="C227" s="5"/>
      <c r="D227" s="7"/>
      <c r="E227" s="6"/>
      <c r="F227" s="5"/>
      <c r="G227" s="5"/>
      <c r="H227" s="127"/>
      <c r="I227" s="5"/>
      <c r="J227" s="6"/>
      <c r="K227" s="5"/>
      <c r="L227" s="5"/>
      <c r="M227" s="8"/>
      <c r="N227" s="5"/>
      <c r="O227" s="5"/>
      <c r="P227" s="5"/>
    </row>
    <row r="228" spans="1:16" ht="27" customHeight="1">
      <c r="A228" s="5"/>
      <c r="B228" s="5"/>
      <c r="C228" s="5"/>
      <c r="D228" s="7"/>
      <c r="E228" s="6"/>
      <c r="F228" s="5"/>
      <c r="G228" s="5"/>
      <c r="H228" s="127"/>
      <c r="I228" s="5"/>
      <c r="J228" s="6"/>
      <c r="K228" s="5"/>
      <c r="L228" s="5"/>
      <c r="M228" s="8"/>
      <c r="N228" s="5"/>
      <c r="O228" s="5"/>
      <c r="P228" s="5"/>
    </row>
    <row r="229" spans="1:16" ht="27" customHeight="1">
      <c r="A229" s="5"/>
      <c r="B229" s="5"/>
      <c r="C229" s="5"/>
      <c r="D229" s="7"/>
      <c r="E229" s="6"/>
      <c r="F229" s="5"/>
      <c r="G229" s="5"/>
      <c r="H229" s="127"/>
      <c r="I229" s="5"/>
      <c r="J229" s="6"/>
      <c r="K229" s="5"/>
      <c r="L229" s="5"/>
      <c r="M229" s="8"/>
      <c r="N229" s="5"/>
      <c r="O229" s="5"/>
      <c r="P229" s="5"/>
    </row>
    <row r="230" spans="1:16" ht="27" customHeight="1">
      <c r="A230" s="5"/>
      <c r="B230" s="5"/>
      <c r="C230" s="5"/>
      <c r="D230" s="7"/>
      <c r="E230" s="6"/>
      <c r="F230" s="5"/>
      <c r="G230" s="5"/>
      <c r="H230" s="127"/>
      <c r="I230" s="5"/>
      <c r="J230" s="6"/>
      <c r="K230" s="5"/>
      <c r="L230" s="5"/>
      <c r="M230" s="8"/>
      <c r="N230" s="5"/>
      <c r="O230" s="5"/>
      <c r="P230" s="5"/>
    </row>
    <row r="231" spans="1:16" ht="27" customHeight="1">
      <c r="A231" s="5"/>
      <c r="B231" s="5"/>
      <c r="C231" s="5"/>
      <c r="D231" s="7"/>
      <c r="E231" s="6"/>
      <c r="F231" s="5"/>
      <c r="G231" s="5"/>
      <c r="H231" s="127"/>
      <c r="I231" s="5"/>
      <c r="J231" s="6"/>
      <c r="K231" s="5"/>
      <c r="L231" s="5"/>
      <c r="M231" s="8"/>
      <c r="N231" s="5"/>
      <c r="O231" s="5"/>
      <c r="P231" s="5"/>
    </row>
    <row r="232" spans="1:16" ht="27" customHeight="1">
      <c r="A232" s="5"/>
      <c r="B232" s="5"/>
      <c r="C232" s="5"/>
      <c r="D232" s="7"/>
      <c r="E232" s="6"/>
      <c r="F232" s="5"/>
      <c r="G232" s="5"/>
      <c r="H232" s="127"/>
      <c r="I232" s="5"/>
      <c r="J232" s="6"/>
      <c r="K232" s="5"/>
      <c r="L232" s="5"/>
      <c r="M232" s="8"/>
      <c r="N232" s="5"/>
      <c r="O232" s="5"/>
      <c r="P232" s="5"/>
    </row>
    <row r="233" spans="1:16" ht="27" customHeight="1">
      <c r="A233" s="5"/>
      <c r="B233" s="5"/>
      <c r="C233" s="5"/>
      <c r="D233" s="7"/>
      <c r="E233" s="6"/>
      <c r="F233" s="5"/>
      <c r="G233" s="5"/>
      <c r="H233" s="127"/>
      <c r="I233" s="5"/>
      <c r="J233" s="6"/>
      <c r="K233" s="5"/>
      <c r="L233" s="5"/>
      <c r="M233" s="8"/>
      <c r="N233" s="5"/>
      <c r="O233" s="5"/>
      <c r="P233" s="5"/>
    </row>
    <row r="234" spans="1:16" ht="27" customHeight="1">
      <c r="A234" s="5"/>
      <c r="B234" s="5"/>
      <c r="C234" s="5"/>
      <c r="D234" s="7"/>
      <c r="E234" s="6"/>
      <c r="F234" s="5"/>
      <c r="G234" s="5"/>
      <c r="H234" s="127"/>
      <c r="I234" s="5"/>
      <c r="J234" s="6"/>
      <c r="K234" s="5"/>
      <c r="L234" s="5"/>
      <c r="M234" s="8"/>
      <c r="N234" s="5"/>
      <c r="O234" s="5"/>
      <c r="P234" s="5"/>
    </row>
    <row r="235" spans="1:16" ht="27" customHeight="1">
      <c r="A235" s="5"/>
      <c r="B235" s="5"/>
      <c r="C235" s="5"/>
      <c r="D235" s="7"/>
      <c r="E235" s="6"/>
      <c r="F235" s="5"/>
      <c r="G235" s="5"/>
      <c r="H235" s="127"/>
      <c r="I235" s="5"/>
      <c r="J235" s="6"/>
      <c r="K235" s="5"/>
      <c r="L235" s="5"/>
      <c r="M235" s="8"/>
      <c r="N235" s="5"/>
      <c r="O235" s="5"/>
      <c r="P235" s="5"/>
    </row>
    <row r="236" spans="1:16" ht="27" customHeight="1">
      <c r="A236" s="5"/>
      <c r="B236" s="5"/>
      <c r="C236" s="5"/>
      <c r="D236" s="7"/>
      <c r="E236" s="6"/>
      <c r="F236" s="5"/>
      <c r="G236" s="5"/>
      <c r="H236" s="127"/>
      <c r="I236" s="5"/>
      <c r="J236" s="6"/>
      <c r="K236" s="5"/>
      <c r="L236" s="5"/>
      <c r="M236" s="8"/>
      <c r="N236" s="5"/>
      <c r="O236" s="5"/>
      <c r="P236" s="5"/>
    </row>
    <row r="237" spans="1:16" ht="27" customHeight="1">
      <c r="A237" s="5"/>
      <c r="B237" s="5"/>
      <c r="C237" s="5"/>
      <c r="D237" s="7"/>
      <c r="E237" s="6"/>
      <c r="F237" s="5"/>
      <c r="G237" s="5"/>
      <c r="H237" s="127"/>
      <c r="I237" s="5"/>
      <c r="J237" s="6"/>
      <c r="K237" s="5"/>
      <c r="L237" s="5"/>
      <c r="M237" s="8"/>
      <c r="N237" s="5"/>
      <c r="O237" s="5"/>
      <c r="P237" s="5"/>
    </row>
    <row r="238" spans="1:16" ht="27" customHeight="1">
      <c r="A238" s="5"/>
      <c r="B238" s="5"/>
      <c r="C238" s="5"/>
      <c r="D238" s="7"/>
      <c r="E238" s="6"/>
      <c r="F238" s="5"/>
      <c r="G238" s="5"/>
      <c r="H238" s="127"/>
      <c r="I238" s="5"/>
      <c r="J238" s="6"/>
      <c r="K238" s="5"/>
      <c r="L238" s="5"/>
      <c r="M238" s="8"/>
      <c r="N238" s="5"/>
      <c r="O238" s="5"/>
      <c r="P238" s="5"/>
    </row>
    <row r="239" spans="1:16" ht="27" customHeight="1">
      <c r="A239" s="5"/>
      <c r="B239" s="5"/>
      <c r="C239" s="5"/>
      <c r="D239" s="7"/>
      <c r="E239" s="6"/>
      <c r="F239" s="5"/>
      <c r="G239" s="5"/>
      <c r="H239" s="127"/>
      <c r="I239" s="5"/>
      <c r="J239" s="6"/>
      <c r="K239" s="5"/>
      <c r="L239" s="5"/>
      <c r="M239" s="8"/>
      <c r="N239" s="5"/>
      <c r="O239" s="5"/>
      <c r="P239" s="5"/>
    </row>
    <row r="240" spans="1:16" ht="27" customHeight="1">
      <c r="A240" s="5"/>
      <c r="B240" s="5"/>
      <c r="C240" s="5"/>
      <c r="D240" s="7"/>
      <c r="E240" s="6"/>
      <c r="F240" s="5"/>
      <c r="G240" s="5"/>
      <c r="H240" s="127"/>
      <c r="I240" s="5"/>
      <c r="J240" s="6"/>
      <c r="K240" s="5"/>
      <c r="L240" s="5"/>
      <c r="M240" s="8"/>
      <c r="N240" s="5"/>
      <c r="O240" s="5"/>
      <c r="P240" s="5"/>
    </row>
    <row r="241" spans="1:16" ht="27" customHeight="1">
      <c r="A241" s="5"/>
      <c r="B241" s="5"/>
      <c r="C241" s="5"/>
      <c r="D241" s="7"/>
      <c r="E241" s="6"/>
      <c r="F241" s="5"/>
      <c r="G241" s="5"/>
      <c r="H241" s="127"/>
      <c r="I241" s="5"/>
      <c r="J241" s="6"/>
      <c r="K241" s="5"/>
      <c r="L241" s="5"/>
      <c r="M241" s="8"/>
      <c r="N241" s="5"/>
      <c r="O241" s="5"/>
      <c r="P241" s="5"/>
    </row>
    <row r="242" spans="1:16" ht="27" customHeight="1">
      <c r="A242" s="5"/>
      <c r="B242" s="5"/>
      <c r="C242" s="5"/>
      <c r="D242" s="7"/>
      <c r="E242" s="6"/>
      <c r="F242" s="5"/>
      <c r="G242" s="5"/>
      <c r="H242" s="127"/>
      <c r="I242" s="5"/>
      <c r="J242" s="6"/>
      <c r="K242" s="5"/>
      <c r="L242" s="5"/>
      <c r="M242" s="8"/>
      <c r="N242" s="5"/>
      <c r="O242" s="5"/>
      <c r="P242" s="5"/>
    </row>
    <row r="243" spans="1:16" ht="27" customHeight="1">
      <c r="A243" s="5"/>
      <c r="B243" s="5"/>
      <c r="C243" s="5"/>
      <c r="D243" s="7"/>
      <c r="E243" s="6"/>
      <c r="F243" s="5"/>
      <c r="G243" s="5"/>
      <c r="H243" s="127"/>
      <c r="I243" s="5"/>
      <c r="J243" s="6"/>
      <c r="K243" s="5"/>
      <c r="L243" s="5"/>
      <c r="M243" s="8"/>
      <c r="N243" s="5"/>
      <c r="O243" s="5"/>
      <c r="P243" s="5"/>
    </row>
    <row r="244" spans="1:16" ht="27" customHeight="1">
      <c r="A244" s="5"/>
      <c r="B244" s="5"/>
      <c r="C244" s="5"/>
      <c r="D244" s="7"/>
      <c r="E244" s="6"/>
      <c r="F244" s="5"/>
      <c r="G244" s="5"/>
      <c r="H244" s="127"/>
      <c r="I244" s="5"/>
      <c r="J244" s="6"/>
      <c r="K244" s="5"/>
      <c r="L244" s="5"/>
      <c r="M244" s="8"/>
      <c r="N244" s="5"/>
      <c r="O244" s="5"/>
      <c r="P244" s="5"/>
    </row>
    <row r="245" spans="1:16" ht="27" customHeight="1">
      <c r="A245" s="5"/>
      <c r="B245" s="5"/>
      <c r="C245" s="5"/>
      <c r="D245" s="7"/>
      <c r="E245" s="6"/>
      <c r="F245" s="5"/>
      <c r="G245" s="5"/>
      <c r="H245" s="127"/>
      <c r="I245" s="5"/>
      <c r="J245" s="6"/>
      <c r="K245" s="5"/>
      <c r="L245" s="5"/>
      <c r="M245" s="8"/>
      <c r="N245" s="5"/>
      <c r="O245" s="5"/>
      <c r="P245" s="5"/>
    </row>
    <row r="246" spans="1:16" ht="27" customHeight="1">
      <c r="A246" s="5"/>
      <c r="B246" s="5"/>
      <c r="C246" s="5"/>
      <c r="D246" s="7"/>
      <c r="E246" s="6"/>
      <c r="F246" s="5"/>
      <c r="G246" s="5"/>
      <c r="H246" s="127"/>
      <c r="I246" s="5"/>
      <c r="J246" s="6"/>
      <c r="K246" s="5"/>
      <c r="L246" s="5"/>
      <c r="M246" s="8"/>
      <c r="N246" s="5"/>
      <c r="O246" s="5"/>
      <c r="P246" s="5"/>
    </row>
    <row r="247" spans="1:16" ht="27" customHeight="1">
      <c r="A247" s="5"/>
      <c r="B247" s="5"/>
      <c r="C247" s="5"/>
      <c r="D247" s="7"/>
      <c r="E247" s="6"/>
      <c r="F247" s="5"/>
      <c r="G247" s="5"/>
      <c r="H247" s="127"/>
      <c r="I247" s="5"/>
      <c r="J247" s="6"/>
      <c r="K247" s="5"/>
      <c r="L247" s="5"/>
      <c r="M247" s="8"/>
      <c r="N247" s="5"/>
      <c r="O247" s="5"/>
      <c r="P247" s="5"/>
    </row>
    <row r="248" spans="1:16" ht="27" customHeight="1">
      <c r="A248" s="5"/>
      <c r="B248" s="5"/>
      <c r="C248" s="5"/>
      <c r="D248" s="7"/>
      <c r="E248" s="6"/>
      <c r="F248" s="5"/>
      <c r="G248" s="5"/>
      <c r="H248" s="127"/>
      <c r="I248" s="5"/>
      <c r="J248" s="6"/>
      <c r="K248" s="5"/>
      <c r="L248" s="5"/>
      <c r="M248" s="8"/>
      <c r="N248" s="5"/>
      <c r="O248" s="5"/>
      <c r="P248" s="5"/>
    </row>
    <row r="249" spans="1:16" ht="27" customHeight="1">
      <c r="A249" s="5"/>
      <c r="B249" s="5"/>
      <c r="C249" s="5"/>
      <c r="D249" s="7"/>
      <c r="E249" s="6"/>
      <c r="F249" s="5"/>
      <c r="G249" s="5"/>
      <c r="H249" s="127"/>
      <c r="I249" s="5"/>
      <c r="J249" s="6"/>
      <c r="K249" s="5"/>
      <c r="L249" s="5"/>
      <c r="M249" s="8"/>
      <c r="N249" s="5"/>
      <c r="O249" s="5"/>
      <c r="P249" s="5"/>
    </row>
    <row r="250" spans="1:16" ht="27" customHeight="1">
      <c r="A250" s="5"/>
      <c r="B250" s="5"/>
      <c r="C250" s="5"/>
      <c r="D250" s="7"/>
      <c r="E250" s="6"/>
      <c r="F250" s="5"/>
      <c r="G250" s="5"/>
      <c r="H250" s="127"/>
      <c r="I250" s="5"/>
      <c r="J250" s="6"/>
      <c r="K250" s="5"/>
      <c r="L250" s="5"/>
      <c r="M250" s="8"/>
      <c r="N250" s="5"/>
      <c r="O250" s="5"/>
      <c r="P250" s="5"/>
    </row>
    <row r="251" spans="1:16" ht="27" customHeight="1">
      <c r="A251" s="5"/>
      <c r="B251" s="5"/>
      <c r="C251" s="5"/>
      <c r="D251" s="7"/>
      <c r="E251" s="6"/>
      <c r="F251" s="5"/>
      <c r="G251" s="5"/>
      <c r="H251" s="127"/>
      <c r="I251" s="5"/>
      <c r="J251" s="6"/>
      <c r="K251" s="5"/>
      <c r="L251" s="5"/>
      <c r="M251" s="8"/>
      <c r="N251" s="5"/>
      <c r="O251" s="5"/>
      <c r="P251" s="5"/>
    </row>
    <row r="252" spans="1:16" ht="27" customHeight="1">
      <c r="A252" s="5"/>
      <c r="B252" s="5"/>
      <c r="C252" s="5"/>
      <c r="D252" s="7"/>
      <c r="E252" s="6"/>
      <c r="F252" s="5"/>
      <c r="G252" s="5"/>
      <c r="H252" s="127"/>
      <c r="I252" s="5"/>
      <c r="J252" s="6"/>
      <c r="K252" s="5"/>
      <c r="L252" s="5"/>
      <c r="M252" s="8"/>
      <c r="N252" s="5"/>
      <c r="O252" s="5"/>
      <c r="P252" s="5"/>
    </row>
    <row r="253" spans="1:16" ht="27" customHeight="1">
      <c r="A253" s="5"/>
      <c r="B253" s="5"/>
      <c r="C253" s="5"/>
      <c r="D253" s="7"/>
      <c r="E253" s="6"/>
      <c r="F253" s="5"/>
      <c r="G253" s="5"/>
      <c r="H253" s="127"/>
      <c r="I253" s="5"/>
      <c r="J253" s="6"/>
      <c r="K253" s="5"/>
      <c r="L253" s="5"/>
      <c r="M253" s="8"/>
      <c r="N253" s="5"/>
      <c r="O253" s="5"/>
      <c r="P253" s="5"/>
    </row>
    <row r="254" spans="1:16" ht="27" customHeight="1">
      <c r="A254" s="5"/>
      <c r="B254" s="5"/>
      <c r="C254" s="5"/>
      <c r="D254" s="7"/>
      <c r="E254" s="6"/>
      <c r="F254" s="5"/>
      <c r="G254" s="5"/>
      <c r="H254" s="127"/>
      <c r="I254" s="5"/>
      <c r="J254" s="6"/>
      <c r="K254" s="5"/>
      <c r="L254" s="5"/>
      <c r="M254" s="8"/>
      <c r="N254" s="5"/>
      <c r="O254" s="5"/>
      <c r="P254" s="5"/>
    </row>
    <row r="255" spans="1:16" ht="27" customHeight="1">
      <c r="A255" s="5"/>
      <c r="B255" s="5"/>
      <c r="C255" s="5"/>
      <c r="D255" s="7"/>
      <c r="E255" s="6"/>
      <c r="F255" s="5"/>
      <c r="G255" s="5"/>
      <c r="H255" s="127"/>
      <c r="I255" s="5"/>
      <c r="J255" s="6"/>
      <c r="K255" s="5"/>
      <c r="L255" s="5"/>
      <c r="M255" s="8"/>
      <c r="N255" s="5"/>
      <c r="O255" s="5"/>
      <c r="P255" s="5"/>
    </row>
    <row r="256" spans="1:16" ht="27" customHeight="1">
      <c r="A256" s="5"/>
      <c r="B256" s="5"/>
      <c r="C256" s="5"/>
      <c r="D256" s="7"/>
      <c r="E256" s="6"/>
      <c r="F256" s="5"/>
      <c r="G256" s="5"/>
      <c r="H256" s="127"/>
      <c r="I256" s="5"/>
      <c r="J256" s="6"/>
      <c r="K256" s="5"/>
      <c r="L256" s="5"/>
      <c r="M256" s="8"/>
      <c r="N256" s="5"/>
      <c r="O256" s="5"/>
      <c r="P256" s="5"/>
    </row>
    <row r="257" spans="1:16" ht="27" customHeight="1">
      <c r="A257" s="5"/>
      <c r="B257" s="5"/>
      <c r="C257" s="5"/>
      <c r="D257" s="7"/>
      <c r="E257" s="6"/>
      <c r="F257" s="5"/>
      <c r="G257" s="5"/>
      <c r="H257" s="127"/>
      <c r="I257" s="5"/>
      <c r="J257" s="6"/>
      <c r="K257" s="5"/>
      <c r="L257" s="5"/>
      <c r="M257" s="8"/>
      <c r="N257" s="5"/>
      <c r="O257" s="5"/>
      <c r="P257" s="5"/>
    </row>
    <row r="258" spans="1:16" ht="27" customHeight="1">
      <c r="A258" s="5"/>
      <c r="B258" s="5"/>
      <c r="C258" s="5"/>
      <c r="D258" s="7"/>
      <c r="E258" s="6"/>
      <c r="F258" s="5"/>
      <c r="G258" s="5"/>
      <c r="H258" s="127"/>
      <c r="I258" s="5"/>
      <c r="J258" s="6"/>
      <c r="K258" s="5"/>
      <c r="L258" s="5"/>
      <c r="M258" s="8"/>
      <c r="N258" s="5"/>
      <c r="O258" s="5"/>
      <c r="P258" s="5"/>
    </row>
    <row r="259" spans="1:16" ht="27" customHeight="1">
      <c r="A259" s="5"/>
      <c r="B259" s="5"/>
      <c r="C259" s="5"/>
      <c r="D259" s="7"/>
      <c r="E259" s="6"/>
      <c r="F259" s="5"/>
      <c r="G259" s="5"/>
      <c r="H259" s="127"/>
      <c r="I259" s="5"/>
      <c r="J259" s="6"/>
      <c r="K259" s="5"/>
      <c r="L259" s="5"/>
      <c r="M259" s="8"/>
      <c r="N259" s="5"/>
      <c r="O259" s="5"/>
      <c r="P259" s="5"/>
    </row>
    <row r="260" spans="1:16" ht="27" customHeight="1">
      <c r="A260" s="5"/>
      <c r="B260" s="5"/>
      <c r="C260" s="5"/>
      <c r="D260" s="7"/>
      <c r="E260" s="6"/>
      <c r="F260" s="5"/>
      <c r="G260" s="5"/>
      <c r="H260" s="127"/>
      <c r="I260" s="5"/>
      <c r="J260" s="6"/>
      <c r="K260" s="5"/>
      <c r="L260" s="5"/>
      <c r="M260" s="8"/>
      <c r="N260" s="5"/>
      <c r="O260" s="5"/>
      <c r="P260" s="5"/>
    </row>
    <row r="261" spans="1:16" ht="27" customHeight="1">
      <c r="A261" s="5"/>
      <c r="B261" s="5"/>
      <c r="C261" s="5"/>
      <c r="D261" s="7"/>
      <c r="E261" s="6"/>
      <c r="F261" s="5"/>
      <c r="G261" s="5"/>
      <c r="H261" s="127"/>
      <c r="I261" s="5"/>
      <c r="J261" s="6"/>
      <c r="K261" s="5"/>
      <c r="L261" s="5"/>
      <c r="M261" s="8"/>
      <c r="N261" s="5"/>
      <c r="O261" s="5"/>
      <c r="P261" s="5"/>
    </row>
    <row r="262" spans="1:16" ht="27" customHeight="1">
      <c r="A262" s="5"/>
      <c r="B262" s="5"/>
      <c r="C262" s="5"/>
      <c r="D262" s="7"/>
      <c r="E262" s="6"/>
      <c r="F262" s="5"/>
      <c r="G262" s="5"/>
      <c r="H262" s="127"/>
      <c r="I262" s="5"/>
      <c r="J262" s="6"/>
      <c r="K262" s="5"/>
      <c r="L262" s="5"/>
      <c r="M262" s="8"/>
      <c r="N262" s="5"/>
      <c r="O262" s="5"/>
      <c r="P262" s="5"/>
    </row>
    <row r="263" spans="1:16" ht="27" customHeight="1">
      <c r="A263" s="5"/>
      <c r="B263" s="5"/>
      <c r="C263" s="5"/>
      <c r="D263" s="7"/>
      <c r="E263" s="6"/>
      <c r="F263" s="5"/>
      <c r="G263" s="5"/>
      <c r="H263" s="127"/>
      <c r="I263" s="5"/>
      <c r="J263" s="6"/>
      <c r="K263" s="5"/>
      <c r="L263" s="5"/>
      <c r="M263" s="8"/>
      <c r="N263" s="5"/>
      <c r="O263" s="5"/>
      <c r="P263" s="5"/>
    </row>
    <row r="264" spans="1:16" ht="27" customHeight="1">
      <c r="A264" s="5"/>
      <c r="B264" s="5"/>
      <c r="C264" s="5"/>
      <c r="D264" s="7"/>
      <c r="E264" s="6"/>
      <c r="F264" s="5"/>
      <c r="G264" s="5"/>
      <c r="H264" s="127"/>
      <c r="I264" s="5"/>
      <c r="J264" s="6"/>
      <c r="K264" s="5"/>
      <c r="L264" s="5"/>
      <c r="M264" s="8"/>
      <c r="N264" s="5"/>
      <c r="O264" s="5"/>
      <c r="P264" s="5"/>
    </row>
    <row r="265" spans="1:16" ht="27" customHeight="1">
      <c r="A265" s="5"/>
      <c r="B265" s="5"/>
      <c r="C265" s="5"/>
      <c r="D265" s="7"/>
      <c r="E265" s="6"/>
      <c r="F265" s="5"/>
      <c r="G265" s="5"/>
      <c r="H265" s="127"/>
      <c r="I265" s="5"/>
      <c r="J265" s="6"/>
      <c r="K265" s="5"/>
      <c r="L265" s="5"/>
      <c r="M265" s="8"/>
      <c r="N265" s="5"/>
      <c r="O265" s="5"/>
      <c r="P265" s="5"/>
    </row>
    <row r="266" spans="1:16" ht="27" customHeight="1">
      <c r="A266" s="5"/>
      <c r="B266" s="5"/>
      <c r="C266" s="5"/>
      <c r="D266" s="7"/>
      <c r="E266" s="6"/>
      <c r="F266" s="5"/>
      <c r="G266" s="5"/>
      <c r="H266" s="127"/>
      <c r="I266" s="5"/>
      <c r="J266" s="6"/>
      <c r="K266" s="5"/>
      <c r="L266" s="5"/>
      <c r="M266" s="8"/>
      <c r="N266" s="5"/>
      <c r="O266" s="5"/>
      <c r="P266" s="5"/>
    </row>
    <row r="267" spans="1:16" ht="27" customHeight="1">
      <c r="A267" s="5"/>
      <c r="B267" s="5"/>
      <c r="C267" s="5"/>
      <c r="D267" s="7"/>
      <c r="E267" s="6"/>
      <c r="F267" s="5"/>
      <c r="G267" s="5"/>
      <c r="H267" s="127"/>
      <c r="I267" s="5"/>
      <c r="J267" s="6"/>
      <c r="K267" s="5"/>
      <c r="L267" s="5"/>
      <c r="M267" s="8"/>
      <c r="N267" s="5"/>
      <c r="O267" s="5"/>
      <c r="P267" s="5"/>
    </row>
    <row r="268" spans="1:16" ht="27" customHeight="1">
      <c r="A268" s="5"/>
      <c r="B268" s="5"/>
      <c r="C268" s="5"/>
      <c r="D268" s="7"/>
      <c r="E268" s="6"/>
      <c r="F268" s="5"/>
      <c r="G268" s="5"/>
      <c r="H268" s="127"/>
      <c r="I268" s="5"/>
      <c r="J268" s="6"/>
      <c r="K268" s="5"/>
      <c r="L268" s="5"/>
      <c r="M268" s="8"/>
      <c r="N268" s="5"/>
      <c r="O268" s="5"/>
      <c r="P268" s="5"/>
    </row>
    <row r="269" spans="1:16" ht="27" customHeight="1">
      <c r="A269" s="5"/>
      <c r="B269" s="5"/>
      <c r="C269" s="5"/>
      <c r="D269" s="7"/>
      <c r="E269" s="6"/>
      <c r="F269" s="5"/>
      <c r="G269" s="5"/>
      <c r="H269" s="127"/>
      <c r="I269" s="5"/>
      <c r="J269" s="6"/>
      <c r="K269" s="5"/>
      <c r="L269" s="5"/>
      <c r="M269" s="8"/>
      <c r="N269" s="5"/>
      <c r="O269" s="5"/>
      <c r="P269" s="5"/>
    </row>
    <row r="270" spans="1:16" ht="27" customHeight="1">
      <c r="A270" s="5"/>
      <c r="B270" s="5"/>
      <c r="C270" s="5"/>
      <c r="D270" s="7"/>
      <c r="E270" s="6"/>
      <c r="F270" s="5"/>
      <c r="G270" s="5"/>
      <c r="H270" s="127"/>
      <c r="I270" s="5"/>
      <c r="J270" s="6"/>
      <c r="K270" s="5"/>
      <c r="L270" s="5"/>
      <c r="M270" s="8"/>
      <c r="N270" s="5"/>
      <c r="O270" s="5"/>
      <c r="P270" s="5"/>
    </row>
    <row r="271" spans="1:16" ht="27" customHeight="1">
      <c r="A271" s="5"/>
      <c r="B271" s="5"/>
      <c r="C271" s="5"/>
      <c r="D271" s="7"/>
      <c r="E271" s="6"/>
      <c r="F271" s="5"/>
      <c r="G271" s="5"/>
      <c r="H271" s="127"/>
      <c r="I271" s="5"/>
      <c r="J271" s="6"/>
      <c r="K271" s="5"/>
      <c r="L271" s="5"/>
      <c r="M271" s="8"/>
      <c r="N271" s="5"/>
      <c r="O271" s="5"/>
      <c r="P271" s="5"/>
    </row>
    <row r="272" spans="1:16" ht="27" customHeight="1">
      <c r="A272" s="5"/>
      <c r="B272" s="5"/>
      <c r="C272" s="5"/>
      <c r="D272" s="7"/>
      <c r="E272" s="6"/>
      <c r="F272" s="5"/>
      <c r="G272" s="5"/>
      <c r="H272" s="127"/>
      <c r="I272" s="5"/>
      <c r="J272" s="6"/>
      <c r="K272" s="5"/>
      <c r="L272" s="5"/>
      <c r="M272" s="8"/>
      <c r="N272" s="5"/>
      <c r="O272" s="5"/>
      <c r="P272" s="5"/>
    </row>
    <row r="273" spans="1:16" ht="27" customHeight="1">
      <c r="A273" s="5"/>
      <c r="B273" s="5"/>
      <c r="C273" s="5"/>
      <c r="D273" s="7"/>
      <c r="E273" s="6"/>
      <c r="F273" s="5"/>
      <c r="G273" s="5"/>
      <c r="H273" s="127"/>
      <c r="I273" s="5"/>
      <c r="J273" s="6"/>
      <c r="K273" s="5"/>
      <c r="L273" s="5"/>
      <c r="M273" s="8"/>
      <c r="N273" s="5"/>
      <c r="O273" s="5"/>
      <c r="P273" s="5"/>
    </row>
    <row r="274" spans="1:16" ht="27" customHeight="1">
      <c r="A274" s="5"/>
      <c r="B274" s="5"/>
      <c r="C274" s="5"/>
      <c r="D274" s="7"/>
      <c r="E274" s="6"/>
      <c r="F274" s="5"/>
      <c r="G274" s="5"/>
      <c r="H274" s="127"/>
      <c r="I274" s="5"/>
      <c r="J274" s="6"/>
      <c r="K274" s="5"/>
      <c r="L274" s="5"/>
      <c r="M274" s="8"/>
      <c r="N274" s="5"/>
      <c r="O274" s="5"/>
      <c r="P274" s="5"/>
    </row>
    <row r="275" spans="1:16" ht="27" customHeight="1">
      <c r="A275" s="5"/>
      <c r="B275" s="5"/>
      <c r="C275" s="5"/>
      <c r="D275" s="7"/>
      <c r="E275" s="6"/>
      <c r="F275" s="5"/>
      <c r="G275" s="5"/>
      <c r="H275" s="127"/>
      <c r="I275" s="5"/>
      <c r="J275" s="6"/>
      <c r="K275" s="5"/>
      <c r="L275" s="5"/>
      <c r="M275" s="8"/>
      <c r="N275" s="5"/>
      <c r="O275" s="5"/>
      <c r="P275" s="5"/>
    </row>
    <row r="276" spans="1:16" ht="27" customHeight="1">
      <c r="A276" s="5"/>
      <c r="B276" s="5"/>
      <c r="C276" s="5"/>
      <c r="D276" s="7"/>
      <c r="E276" s="6"/>
      <c r="F276" s="5"/>
      <c r="G276" s="5"/>
      <c r="H276" s="127"/>
      <c r="I276" s="5"/>
      <c r="J276" s="6"/>
      <c r="K276" s="5"/>
      <c r="L276" s="5"/>
      <c r="M276" s="8"/>
      <c r="N276" s="5"/>
      <c r="O276" s="5"/>
      <c r="P276" s="5"/>
    </row>
    <row r="277" spans="1:16" ht="27" customHeight="1">
      <c r="A277" s="5"/>
      <c r="B277" s="5"/>
      <c r="C277" s="5"/>
      <c r="D277" s="7"/>
      <c r="E277" s="6"/>
      <c r="F277" s="5"/>
      <c r="G277" s="5"/>
      <c r="H277" s="127"/>
      <c r="I277" s="5"/>
      <c r="J277" s="6"/>
      <c r="K277" s="5"/>
      <c r="L277" s="5"/>
      <c r="M277" s="8"/>
      <c r="N277" s="5"/>
      <c r="O277" s="5"/>
      <c r="P277" s="5"/>
    </row>
    <row r="278" spans="1:16" ht="27" customHeight="1">
      <c r="A278" s="5"/>
      <c r="B278" s="5"/>
      <c r="C278" s="5"/>
      <c r="D278" s="7"/>
      <c r="E278" s="6"/>
      <c r="F278" s="5"/>
      <c r="G278" s="5"/>
      <c r="H278" s="127"/>
      <c r="I278" s="5"/>
      <c r="J278" s="6"/>
      <c r="K278" s="5"/>
      <c r="L278" s="5"/>
      <c r="M278" s="8"/>
      <c r="N278" s="5"/>
      <c r="O278" s="5"/>
      <c r="P278" s="5"/>
    </row>
    <row r="279" spans="1:16" ht="27" customHeight="1">
      <c r="A279" s="5"/>
      <c r="B279" s="5"/>
      <c r="C279" s="5"/>
      <c r="D279" s="7"/>
      <c r="E279" s="6"/>
      <c r="F279" s="5"/>
      <c r="G279" s="5"/>
      <c r="H279" s="127"/>
      <c r="I279" s="5"/>
      <c r="J279" s="6"/>
      <c r="K279" s="5"/>
      <c r="L279" s="5"/>
      <c r="M279" s="8"/>
      <c r="N279" s="5"/>
      <c r="O279" s="5"/>
      <c r="P279" s="5"/>
    </row>
    <row r="280" spans="1:16" ht="27" customHeight="1">
      <c r="A280" s="5"/>
      <c r="B280" s="5"/>
      <c r="C280" s="5"/>
      <c r="D280" s="7"/>
      <c r="E280" s="6"/>
      <c r="F280" s="5"/>
      <c r="G280" s="5"/>
      <c r="H280" s="127"/>
      <c r="I280" s="5"/>
      <c r="J280" s="6"/>
      <c r="K280" s="5"/>
      <c r="L280" s="5"/>
      <c r="M280" s="8"/>
      <c r="N280" s="5"/>
      <c r="O280" s="5"/>
      <c r="P280" s="5"/>
    </row>
    <row r="281" spans="1:16" ht="27" customHeight="1">
      <c r="A281" s="5"/>
      <c r="B281" s="5"/>
      <c r="C281" s="5"/>
      <c r="D281" s="7"/>
      <c r="E281" s="6"/>
      <c r="F281" s="5"/>
      <c r="G281" s="5"/>
      <c r="H281" s="127"/>
      <c r="I281" s="5"/>
      <c r="J281" s="6"/>
      <c r="K281" s="5"/>
      <c r="L281" s="5"/>
      <c r="M281" s="8"/>
      <c r="N281" s="5"/>
      <c r="O281" s="5"/>
      <c r="P281" s="5"/>
    </row>
    <row r="282" spans="1:16" ht="27" customHeight="1">
      <c r="A282" s="5"/>
      <c r="B282" s="5"/>
      <c r="C282" s="5"/>
      <c r="D282" s="7"/>
      <c r="E282" s="6"/>
      <c r="F282" s="5"/>
      <c r="G282" s="5"/>
      <c r="H282" s="127"/>
      <c r="I282" s="5"/>
      <c r="J282" s="6"/>
      <c r="K282" s="5"/>
      <c r="L282" s="5"/>
      <c r="M282" s="8"/>
      <c r="N282" s="5"/>
      <c r="O282" s="5"/>
      <c r="P282" s="5"/>
    </row>
    <row r="283" spans="1:16" ht="27" customHeight="1">
      <c r="A283" s="5"/>
      <c r="B283" s="5"/>
      <c r="C283" s="5"/>
      <c r="D283" s="7"/>
      <c r="E283" s="6"/>
      <c r="F283" s="5"/>
      <c r="G283" s="5"/>
      <c r="H283" s="127"/>
      <c r="I283" s="5"/>
      <c r="J283" s="6"/>
      <c r="K283" s="5"/>
      <c r="L283" s="5"/>
      <c r="M283" s="8"/>
      <c r="N283" s="5"/>
      <c r="O283" s="5"/>
      <c r="P283" s="5"/>
    </row>
    <row r="284" spans="1:16" ht="27" customHeight="1">
      <c r="A284" s="5"/>
      <c r="B284" s="5"/>
      <c r="C284" s="5"/>
      <c r="D284" s="7"/>
      <c r="E284" s="6"/>
      <c r="F284" s="5"/>
      <c r="G284" s="5"/>
      <c r="H284" s="127"/>
      <c r="I284" s="5"/>
      <c r="J284" s="6"/>
      <c r="K284" s="5"/>
      <c r="L284" s="5"/>
      <c r="M284" s="8"/>
      <c r="N284" s="5"/>
      <c r="O284" s="5"/>
      <c r="P284" s="5"/>
    </row>
    <row r="285" spans="1:16" ht="27" customHeight="1">
      <c r="A285" s="5"/>
      <c r="B285" s="5"/>
      <c r="C285" s="5"/>
      <c r="D285" s="7"/>
      <c r="E285" s="6"/>
      <c r="F285" s="5"/>
      <c r="G285" s="5"/>
      <c r="H285" s="127"/>
      <c r="I285" s="5"/>
      <c r="J285" s="6"/>
      <c r="K285" s="5"/>
      <c r="L285" s="5"/>
      <c r="M285" s="8"/>
      <c r="N285" s="5"/>
      <c r="O285" s="5"/>
      <c r="P285" s="5"/>
    </row>
    <row r="286" spans="1:16" ht="27" customHeight="1">
      <c r="A286" s="5"/>
      <c r="B286" s="5"/>
      <c r="C286" s="5"/>
      <c r="D286" s="7"/>
      <c r="E286" s="6"/>
      <c r="F286" s="5"/>
      <c r="G286" s="5"/>
      <c r="H286" s="127"/>
      <c r="I286" s="5"/>
      <c r="J286" s="6"/>
      <c r="K286" s="5"/>
      <c r="L286" s="5"/>
      <c r="M286" s="8"/>
      <c r="N286" s="5"/>
      <c r="O286" s="5"/>
      <c r="P286" s="5"/>
    </row>
    <row r="287" spans="1:16" ht="27" customHeight="1">
      <c r="A287" s="5"/>
      <c r="B287" s="5"/>
      <c r="C287" s="5"/>
      <c r="D287" s="7"/>
      <c r="E287" s="6"/>
      <c r="F287" s="5"/>
      <c r="G287" s="5"/>
      <c r="H287" s="127"/>
      <c r="I287" s="5"/>
      <c r="J287" s="6"/>
      <c r="K287" s="5"/>
      <c r="L287" s="5"/>
      <c r="M287" s="8"/>
      <c r="N287" s="5"/>
      <c r="O287" s="5"/>
      <c r="P287" s="5"/>
    </row>
    <row r="288" spans="1:16" ht="27" customHeight="1">
      <c r="A288" s="5"/>
      <c r="B288" s="5"/>
      <c r="C288" s="5"/>
      <c r="D288" s="7"/>
      <c r="E288" s="6"/>
      <c r="F288" s="5"/>
      <c r="G288" s="5"/>
      <c r="H288" s="127"/>
      <c r="I288" s="5"/>
      <c r="J288" s="6"/>
      <c r="K288" s="5"/>
      <c r="L288" s="5"/>
      <c r="M288" s="8"/>
      <c r="N288" s="5"/>
      <c r="O288" s="5"/>
      <c r="P288" s="5"/>
    </row>
    <row r="289" spans="1:16" ht="27" customHeight="1">
      <c r="A289" s="5"/>
      <c r="B289" s="5"/>
      <c r="C289" s="5"/>
      <c r="D289" s="7"/>
      <c r="E289" s="6"/>
      <c r="F289" s="5"/>
      <c r="G289" s="5"/>
      <c r="H289" s="127"/>
      <c r="I289" s="5"/>
      <c r="J289" s="6"/>
      <c r="K289" s="5"/>
      <c r="L289" s="5"/>
      <c r="M289" s="8"/>
      <c r="N289" s="5"/>
      <c r="O289" s="5"/>
      <c r="P289" s="5"/>
    </row>
    <row r="290" spans="1:16" ht="27" customHeight="1">
      <c r="A290" s="5"/>
      <c r="B290" s="5"/>
      <c r="C290" s="5"/>
      <c r="D290" s="7"/>
      <c r="E290" s="6"/>
      <c r="F290" s="5"/>
      <c r="G290" s="5"/>
      <c r="H290" s="127"/>
      <c r="I290" s="5"/>
      <c r="J290" s="6"/>
      <c r="K290" s="5"/>
      <c r="L290" s="5"/>
      <c r="M290" s="8"/>
      <c r="N290" s="5"/>
      <c r="O290" s="5"/>
      <c r="P290" s="5"/>
    </row>
    <row r="291" spans="1:16" ht="27" customHeight="1">
      <c r="A291" s="5"/>
      <c r="B291" s="5"/>
      <c r="C291" s="5"/>
      <c r="D291" s="7"/>
      <c r="E291" s="6"/>
      <c r="F291" s="5"/>
      <c r="G291" s="5"/>
      <c r="H291" s="127"/>
      <c r="I291" s="5"/>
      <c r="J291" s="6"/>
      <c r="K291" s="5"/>
      <c r="L291" s="5"/>
      <c r="M291" s="8"/>
      <c r="N291" s="5"/>
      <c r="O291" s="5"/>
      <c r="P291" s="5"/>
    </row>
    <row r="292" spans="1:16" ht="27" customHeight="1">
      <c r="A292" s="5"/>
      <c r="B292" s="5"/>
      <c r="C292" s="5"/>
      <c r="D292" s="7"/>
      <c r="E292" s="6"/>
      <c r="F292" s="5"/>
      <c r="G292" s="5"/>
      <c r="H292" s="127"/>
      <c r="I292" s="5"/>
      <c r="J292" s="6"/>
      <c r="K292" s="5"/>
      <c r="L292" s="5"/>
      <c r="M292" s="8"/>
      <c r="N292" s="5"/>
      <c r="O292" s="5"/>
      <c r="P292" s="5"/>
    </row>
    <row r="293" spans="1:16" ht="27" customHeight="1">
      <c r="A293" s="5"/>
      <c r="B293" s="5"/>
      <c r="C293" s="5"/>
      <c r="D293" s="7"/>
      <c r="E293" s="6"/>
      <c r="F293" s="5"/>
      <c r="G293" s="5"/>
      <c r="H293" s="127"/>
      <c r="I293" s="5"/>
      <c r="J293" s="6"/>
      <c r="K293" s="5"/>
      <c r="L293" s="5"/>
      <c r="M293" s="8"/>
      <c r="N293" s="5"/>
      <c r="O293" s="5"/>
      <c r="P293" s="5"/>
    </row>
    <row r="294" spans="1:16" ht="27" customHeight="1">
      <c r="A294" s="5"/>
      <c r="B294" s="5"/>
      <c r="C294" s="5"/>
      <c r="D294" s="7"/>
      <c r="E294" s="6"/>
      <c r="F294" s="5"/>
      <c r="G294" s="5"/>
      <c r="H294" s="127"/>
      <c r="I294" s="5"/>
      <c r="J294" s="6"/>
      <c r="K294" s="5"/>
      <c r="L294" s="5"/>
      <c r="M294" s="8"/>
      <c r="N294" s="5"/>
      <c r="O294" s="5"/>
      <c r="P294" s="5"/>
    </row>
    <row r="295" spans="1:16" ht="27" customHeight="1">
      <c r="A295" s="5"/>
      <c r="B295" s="5"/>
      <c r="C295" s="5"/>
      <c r="D295" s="7"/>
      <c r="E295" s="6"/>
      <c r="F295" s="5"/>
      <c r="G295" s="5"/>
      <c r="H295" s="127"/>
      <c r="I295" s="5"/>
      <c r="J295" s="6"/>
      <c r="K295" s="5"/>
      <c r="L295" s="5"/>
      <c r="M295" s="8"/>
      <c r="N295" s="5"/>
      <c r="O295" s="5"/>
      <c r="P295" s="5"/>
    </row>
    <row r="296" spans="1:16" ht="27" customHeight="1">
      <c r="A296" s="5"/>
      <c r="B296" s="5"/>
      <c r="C296" s="5"/>
      <c r="D296" s="7"/>
      <c r="E296" s="6"/>
      <c r="F296" s="5"/>
      <c r="G296" s="5"/>
      <c r="H296" s="127"/>
      <c r="I296" s="5"/>
      <c r="J296" s="6"/>
      <c r="K296" s="5"/>
      <c r="L296" s="5"/>
      <c r="M296" s="8"/>
      <c r="N296" s="5"/>
      <c r="O296" s="5"/>
      <c r="P296" s="5"/>
    </row>
    <row r="297" spans="1:16" ht="27" customHeight="1">
      <c r="A297" s="5"/>
      <c r="B297" s="5"/>
      <c r="C297" s="5"/>
      <c r="D297" s="7"/>
      <c r="E297" s="6"/>
      <c r="F297" s="5"/>
      <c r="G297" s="5"/>
      <c r="H297" s="127"/>
      <c r="I297" s="5"/>
      <c r="J297" s="6"/>
      <c r="K297" s="5"/>
      <c r="L297" s="5"/>
      <c r="M297" s="8"/>
      <c r="N297" s="5"/>
      <c r="O297" s="5"/>
      <c r="P297" s="5"/>
    </row>
    <row r="298" spans="1:16" ht="27" customHeight="1">
      <c r="A298" s="5"/>
      <c r="B298" s="5"/>
      <c r="C298" s="5"/>
      <c r="D298" s="7"/>
      <c r="E298" s="6"/>
      <c r="F298" s="5"/>
      <c r="G298" s="5"/>
      <c r="H298" s="127"/>
      <c r="I298" s="5"/>
      <c r="J298" s="6"/>
      <c r="K298" s="5"/>
      <c r="L298" s="5"/>
      <c r="M298" s="8"/>
      <c r="N298" s="5"/>
      <c r="O298" s="5"/>
      <c r="P298" s="5"/>
    </row>
    <row r="299" spans="1:16" ht="27" customHeight="1">
      <c r="A299" s="5"/>
      <c r="B299" s="5"/>
      <c r="C299" s="5"/>
      <c r="D299" s="7"/>
      <c r="E299" s="6"/>
      <c r="F299" s="5"/>
      <c r="G299" s="5"/>
      <c r="H299" s="127"/>
      <c r="I299" s="5"/>
      <c r="J299" s="6"/>
      <c r="K299" s="5"/>
      <c r="L299" s="5"/>
      <c r="M299" s="8"/>
      <c r="N299" s="5"/>
      <c r="O299" s="5"/>
      <c r="P299" s="5"/>
    </row>
    <row r="300" spans="1:16" ht="27" customHeight="1">
      <c r="A300" s="5"/>
      <c r="B300" s="5"/>
      <c r="C300" s="5"/>
      <c r="D300" s="7"/>
      <c r="E300" s="6"/>
      <c r="F300" s="5"/>
      <c r="G300" s="5"/>
      <c r="H300" s="127"/>
      <c r="I300" s="5"/>
      <c r="J300" s="6"/>
      <c r="K300" s="5"/>
      <c r="L300" s="5"/>
      <c r="M300" s="8"/>
      <c r="N300" s="5"/>
      <c r="O300" s="5"/>
      <c r="P300" s="5"/>
    </row>
    <row r="301" spans="1:16" ht="27" customHeight="1">
      <c r="A301" s="5"/>
      <c r="B301" s="5"/>
      <c r="C301" s="5"/>
      <c r="D301" s="7"/>
      <c r="E301" s="6"/>
      <c r="F301" s="5"/>
      <c r="G301" s="5"/>
      <c r="H301" s="127"/>
      <c r="I301" s="5"/>
      <c r="J301" s="6"/>
      <c r="K301" s="5"/>
      <c r="L301" s="5"/>
      <c r="M301" s="8"/>
      <c r="N301" s="5"/>
      <c r="O301" s="5"/>
      <c r="P301" s="5"/>
    </row>
    <row r="302" spans="1:16" ht="27" customHeight="1">
      <c r="A302" s="5"/>
      <c r="B302" s="5"/>
      <c r="C302" s="5"/>
      <c r="D302" s="7"/>
      <c r="E302" s="6"/>
      <c r="F302" s="5"/>
      <c r="G302" s="5"/>
      <c r="H302" s="127"/>
      <c r="I302" s="5"/>
      <c r="J302" s="6"/>
      <c r="K302" s="5"/>
      <c r="L302" s="5"/>
      <c r="M302" s="8"/>
      <c r="N302" s="5"/>
      <c r="O302" s="5"/>
      <c r="P302" s="5"/>
    </row>
    <row r="303" spans="1:16" ht="27" customHeight="1">
      <c r="A303" s="5"/>
      <c r="B303" s="5"/>
      <c r="C303" s="5"/>
      <c r="D303" s="7"/>
      <c r="E303" s="6"/>
      <c r="F303" s="5"/>
      <c r="G303" s="5"/>
      <c r="H303" s="127"/>
      <c r="I303" s="5"/>
      <c r="J303" s="6"/>
      <c r="K303" s="5"/>
      <c r="L303" s="5"/>
      <c r="M303" s="8"/>
      <c r="N303" s="5"/>
      <c r="O303" s="5"/>
      <c r="P303" s="5"/>
    </row>
    <row r="304" spans="1:16" ht="27" customHeight="1">
      <c r="A304" s="5"/>
      <c r="B304" s="5"/>
      <c r="C304" s="5"/>
      <c r="D304" s="7"/>
      <c r="E304" s="6"/>
      <c r="F304" s="5"/>
      <c r="G304" s="5"/>
      <c r="H304" s="127"/>
      <c r="I304" s="5"/>
      <c r="J304" s="6"/>
      <c r="K304" s="5"/>
      <c r="L304" s="5"/>
      <c r="M304" s="8"/>
      <c r="N304" s="5"/>
      <c r="O304" s="5"/>
      <c r="P304" s="5"/>
    </row>
    <row r="305" spans="1:16" ht="27" customHeight="1">
      <c r="A305" s="5"/>
      <c r="B305" s="5"/>
      <c r="C305" s="5"/>
      <c r="D305" s="7"/>
      <c r="E305" s="6"/>
      <c r="F305" s="5"/>
      <c r="G305" s="5"/>
      <c r="H305" s="127"/>
      <c r="I305" s="5"/>
      <c r="J305" s="6"/>
      <c r="K305" s="5"/>
      <c r="L305" s="5"/>
      <c r="M305" s="8"/>
      <c r="N305" s="5"/>
      <c r="O305" s="5"/>
      <c r="P305" s="5"/>
    </row>
    <row r="306" spans="1:16" ht="27" customHeight="1">
      <c r="A306" s="5"/>
      <c r="B306" s="5"/>
      <c r="C306" s="5"/>
      <c r="D306" s="7"/>
      <c r="E306" s="6"/>
      <c r="F306" s="5"/>
      <c r="G306" s="5"/>
      <c r="H306" s="127"/>
      <c r="I306" s="5"/>
      <c r="J306" s="6"/>
      <c r="K306" s="5"/>
      <c r="L306" s="5"/>
      <c r="M306" s="8"/>
      <c r="N306" s="5"/>
      <c r="O306" s="5"/>
      <c r="P306" s="5"/>
    </row>
    <row r="307" spans="1:16" ht="27" customHeight="1">
      <c r="A307" s="5"/>
      <c r="B307" s="5"/>
      <c r="C307" s="5"/>
      <c r="D307" s="7"/>
      <c r="E307" s="6"/>
      <c r="F307" s="5"/>
      <c r="G307" s="5"/>
      <c r="H307" s="127"/>
      <c r="I307" s="5"/>
      <c r="J307" s="6"/>
      <c r="K307" s="5"/>
      <c r="L307" s="5"/>
      <c r="M307" s="8"/>
      <c r="N307" s="5"/>
      <c r="O307" s="5"/>
      <c r="P307" s="5"/>
    </row>
    <row r="308" spans="1:16" ht="27" customHeight="1">
      <c r="A308" s="5"/>
      <c r="B308" s="5"/>
      <c r="C308" s="5"/>
      <c r="D308" s="7"/>
      <c r="E308" s="6"/>
      <c r="F308" s="5"/>
      <c r="G308" s="5"/>
      <c r="H308" s="127"/>
      <c r="I308" s="5"/>
      <c r="J308" s="6"/>
      <c r="K308" s="5"/>
      <c r="L308" s="5"/>
      <c r="M308" s="8"/>
      <c r="N308" s="5"/>
      <c r="O308" s="5"/>
      <c r="P308" s="5"/>
    </row>
    <row r="309" spans="1:16" ht="27" customHeight="1">
      <c r="A309" s="5"/>
      <c r="B309" s="5"/>
      <c r="C309" s="5"/>
      <c r="D309" s="7"/>
      <c r="E309" s="6"/>
      <c r="F309" s="5"/>
      <c r="G309" s="5"/>
      <c r="H309" s="127"/>
      <c r="I309" s="5"/>
      <c r="J309" s="6"/>
      <c r="K309" s="5"/>
      <c r="L309" s="5"/>
      <c r="M309" s="8"/>
      <c r="N309" s="5"/>
      <c r="O309" s="5"/>
      <c r="P309" s="5"/>
    </row>
    <row r="310" spans="1:16" ht="27" customHeight="1">
      <c r="A310" s="5"/>
      <c r="B310" s="5"/>
      <c r="C310" s="5"/>
      <c r="D310" s="7"/>
      <c r="E310" s="6"/>
      <c r="F310" s="5"/>
      <c r="G310" s="5"/>
      <c r="H310" s="127"/>
      <c r="I310" s="5"/>
      <c r="J310" s="6"/>
      <c r="K310" s="5"/>
      <c r="L310" s="5"/>
      <c r="M310" s="8"/>
      <c r="N310" s="5"/>
      <c r="O310" s="5"/>
      <c r="P310" s="5"/>
    </row>
    <row r="311" spans="1:16" ht="27" customHeight="1">
      <c r="A311" s="5"/>
      <c r="B311" s="5"/>
      <c r="C311" s="5"/>
      <c r="D311" s="7"/>
      <c r="E311" s="6"/>
      <c r="F311" s="5"/>
      <c r="G311" s="5"/>
      <c r="H311" s="127"/>
      <c r="I311" s="5"/>
      <c r="J311" s="6"/>
      <c r="K311" s="5"/>
      <c r="L311" s="5"/>
      <c r="M311" s="8"/>
      <c r="N311" s="5"/>
      <c r="O311" s="5"/>
      <c r="P311" s="5"/>
    </row>
    <row r="312" spans="1:16" ht="27" customHeight="1">
      <c r="A312" s="5"/>
      <c r="B312" s="5"/>
      <c r="C312" s="5"/>
      <c r="D312" s="7"/>
      <c r="E312" s="6"/>
      <c r="F312" s="5"/>
      <c r="G312" s="5"/>
      <c r="H312" s="127"/>
      <c r="I312" s="5"/>
      <c r="J312" s="6"/>
      <c r="K312" s="5"/>
      <c r="L312" s="5"/>
      <c r="M312" s="8"/>
      <c r="N312" s="5"/>
      <c r="O312" s="5"/>
      <c r="P312" s="5"/>
    </row>
    <row r="313" spans="1:16" ht="27" customHeight="1">
      <c r="A313" s="5"/>
      <c r="B313" s="5"/>
      <c r="C313" s="5"/>
      <c r="D313" s="7"/>
      <c r="E313" s="6"/>
      <c r="F313" s="5"/>
      <c r="G313" s="5"/>
      <c r="H313" s="127"/>
      <c r="I313" s="5"/>
      <c r="J313" s="6"/>
      <c r="K313" s="5"/>
      <c r="L313" s="5"/>
      <c r="M313" s="8"/>
      <c r="N313" s="5"/>
      <c r="O313" s="5"/>
      <c r="P313" s="5"/>
    </row>
    <row r="314" spans="1:16" ht="27" customHeight="1">
      <c r="A314" s="5"/>
      <c r="B314" s="5"/>
      <c r="C314" s="5"/>
      <c r="D314" s="7"/>
      <c r="E314" s="6"/>
      <c r="F314" s="5"/>
      <c r="G314" s="5"/>
      <c r="H314" s="127"/>
      <c r="I314" s="5"/>
      <c r="J314" s="6"/>
      <c r="K314" s="5"/>
      <c r="L314" s="5"/>
      <c r="M314" s="8"/>
      <c r="N314" s="5"/>
      <c r="O314" s="5"/>
      <c r="P314" s="5"/>
    </row>
    <row r="315" spans="1:16" ht="27" customHeight="1">
      <c r="A315" s="5"/>
      <c r="B315" s="5"/>
      <c r="C315" s="5"/>
      <c r="D315" s="7"/>
      <c r="E315" s="6"/>
      <c r="F315" s="5"/>
      <c r="G315" s="5"/>
      <c r="H315" s="127"/>
      <c r="I315" s="5"/>
      <c r="J315" s="6"/>
      <c r="K315" s="5"/>
      <c r="L315" s="5"/>
      <c r="M315" s="8"/>
      <c r="N315" s="5"/>
      <c r="O315" s="5"/>
      <c r="P315" s="5"/>
    </row>
    <row r="316" spans="1:16" ht="27" customHeight="1">
      <c r="A316" s="5"/>
      <c r="B316" s="5"/>
      <c r="C316" s="5"/>
      <c r="D316" s="7"/>
      <c r="E316" s="6"/>
      <c r="F316" s="5"/>
      <c r="G316" s="5"/>
      <c r="H316" s="127"/>
      <c r="I316" s="5"/>
      <c r="J316" s="6"/>
      <c r="K316" s="5"/>
      <c r="L316" s="5"/>
      <c r="M316" s="8"/>
      <c r="N316" s="5"/>
      <c r="O316" s="5"/>
      <c r="P316" s="5"/>
    </row>
    <row r="317" spans="1:16" ht="27" customHeight="1">
      <c r="A317" s="5"/>
      <c r="B317" s="5"/>
      <c r="C317" s="5"/>
      <c r="D317" s="7"/>
      <c r="E317" s="6"/>
      <c r="F317" s="5"/>
      <c r="G317" s="5"/>
      <c r="H317" s="127"/>
      <c r="I317" s="5"/>
      <c r="J317" s="6"/>
      <c r="K317" s="5"/>
      <c r="L317" s="5"/>
      <c r="M317" s="8"/>
      <c r="N317" s="5"/>
      <c r="O317" s="5"/>
      <c r="P317" s="5"/>
    </row>
    <row r="318" spans="1:16" ht="27" customHeight="1">
      <c r="A318" s="5"/>
      <c r="B318" s="5"/>
      <c r="C318" s="5"/>
      <c r="D318" s="7"/>
      <c r="E318" s="6"/>
      <c r="F318" s="5"/>
      <c r="G318" s="5"/>
      <c r="H318" s="127"/>
      <c r="I318" s="5"/>
      <c r="J318" s="6"/>
      <c r="K318" s="5"/>
      <c r="L318" s="5"/>
      <c r="M318" s="8"/>
      <c r="N318" s="5"/>
      <c r="O318" s="5"/>
      <c r="P318" s="5"/>
    </row>
    <row r="319" spans="1:16" ht="27" customHeight="1">
      <c r="A319" s="5"/>
      <c r="B319" s="5"/>
      <c r="C319" s="5"/>
      <c r="D319" s="7"/>
      <c r="E319" s="6"/>
      <c r="F319" s="5"/>
      <c r="G319" s="5"/>
      <c r="H319" s="127"/>
      <c r="I319" s="5"/>
      <c r="J319" s="6"/>
      <c r="K319" s="5"/>
      <c r="L319" s="5"/>
      <c r="M319" s="8"/>
      <c r="N319" s="5"/>
      <c r="O319" s="5"/>
      <c r="P319" s="5"/>
    </row>
    <row r="320" spans="1:16" ht="27" customHeight="1">
      <c r="A320" s="5"/>
      <c r="B320" s="5"/>
      <c r="C320" s="5"/>
      <c r="D320" s="7"/>
      <c r="E320" s="6"/>
      <c r="F320" s="5"/>
      <c r="G320" s="5"/>
      <c r="H320" s="127"/>
      <c r="I320" s="5"/>
      <c r="J320" s="6"/>
      <c r="K320" s="5"/>
      <c r="L320" s="5"/>
      <c r="M320" s="8"/>
      <c r="N320" s="5"/>
      <c r="O320" s="5"/>
      <c r="P320" s="5"/>
    </row>
    <row r="321" spans="1:16" ht="27" customHeight="1">
      <c r="A321" s="5"/>
      <c r="B321" s="5"/>
      <c r="C321" s="5"/>
      <c r="D321" s="7"/>
      <c r="E321" s="6"/>
      <c r="F321" s="5"/>
      <c r="G321" s="5"/>
      <c r="H321" s="127"/>
      <c r="I321" s="5"/>
      <c r="J321" s="6"/>
      <c r="K321" s="5"/>
      <c r="L321" s="5"/>
      <c r="M321" s="8"/>
      <c r="N321" s="5"/>
      <c r="O321" s="5"/>
      <c r="P321" s="5"/>
    </row>
    <row r="322" spans="1:16" ht="27" customHeight="1">
      <c r="A322" s="5"/>
      <c r="B322" s="5"/>
      <c r="C322" s="5"/>
      <c r="D322" s="7"/>
      <c r="E322" s="6"/>
      <c r="F322" s="5"/>
      <c r="G322" s="5"/>
      <c r="H322" s="127"/>
      <c r="I322" s="5"/>
      <c r="J322" s="6"/>
      <c r="K322" s="5"/>
      <c r="L322" s="5"/>
      <c r="M322" s="8"/>
      <c r="N322" s="5"/>
      <c r="O322" s="5"/>
      <c r="P322" s="5"/>
    </row>
    <row r="323" spans="1:16" ht="27" customHeight="1">
      <c r="A323" s="5"/>
      <c r="B323" s="5"/>
      <c r="C323" s="5"/>
      <c r="D323" s="7"/>
      <c r="E323" s="6"/>
      <c r="F323" s="5"/>
      <c r="G323" s="5"/>
      <c r="H323" s="127"/>
      <c r="I323" s="5"/>
      <c r="J323" s="6"/>
      <c r="K323" s="5"/>
      <c r="L323" s="5"/>
      <c r="M323" s="8"/>
      <c r="N323" s="5"/>
      <c r="O323" s="5"/>
      <c r="P323" s="5"/>
    </row>
    <row r="324" spans="1:16" ht="27" customHeight="1">
      <c r="A324" s="5"/>
      <c r="B324" s="5"/>
      <c r="C324" s="5"/>
      <c r="D324" s="7"/>
      <c r="E324" s="6"/>
      <c r="F324" s="5"/>
      <c r="G324" s="5"/>
      <c r="H324" s="127"/>
      <c r="I324" s="5"/>
      <c r="J324" s="6"/>
      <c r="K324" s="5"/>
      <c r="L324" s="5"/>
      <c r="M324" s="8"/>
      <c r="N324" s="5"/>
      <c r="O324" s="5"/>
      <c r="P324" s="5"/>
    </row>
    <row r="325" spans="1:16" ht="27" customHeight="1">
      <c r="A325" s="5"/>
      <c r="B325" s="5"/>
      <c r="C325" s="5"/>
      <c r="D325" s="7"/>
      <c r="E325" s="6"/>
      <c r="F325" s="5"/>
      <c r="G325" s="5"/>
      <c r="H325" s="127"/>
      <c r="I325" s="5"/>
      <c r="J325" s="6"/>
      <c r="K325" s="5"/>
      <c r="L325" s="5"/>
      <c r="M325" s="8"/>
      <c r="N325" s="5"/>
      <c r="O325" s="5"/>
      <c r="P325" s="5"/>
    </row>
    <row r="326" spans="1:16" ht="27" customHeight="1">
      <c r="A326" s="5"/>
      <c r="B326" s="5"/>
      <c r="C326" s="5"/>
      <c r="D326" s="7"/>
      <c r="E326" s="6"/>
      <c r="F326" s="5"/>
      <c r="G326" s="5"/>
      <c r="H326" s="127"/>
      <c r="I326" s="5"/>
      <c r="J326" s="6"/>
      <c r="K326" s="5"/>
      <c r="L326" s="5"/>
      <c r="M326" s="8"/>
      <c r="N326" s="5"/>
      <c r="O326" s="5"/>
      <c r="P326" s="5"/>
    </row>
    <row r="327" spans="1:16" ht="27" customHeight="1">
      <c r="A327" s="5"/>
      <c r="B327" s="5"/>
      <c r="C327" s="5"/>
      <c r="D327" s="7"/>
      <c r="E327" s="6"/>
      <c r="F327" s="5"/>
      <c r="G327" s="5"/>
      <c r="H327" s="127"/>
      <c r="I327" s="5"/>
      <c r="J327" s="6"/>
      <c r="K327" s="5"/>
      <c r="L327" s="5"/>
      <c r="M327" s="8"/>
      <c r="N327" s="5"/>
      <c r="O327" s="5"/>
      <c r="P327" s="5"/>
    </row>
    <row r="328" spans="1:16" ht="27" customHeight="1">
      <c r="A328" s="5"/>
      <c r="B328" s="5"/>
      <c r="C328" s="5"/>
      <c r="D328" s="7"/>
      <c r="E328" s="6"/>
      <c r="F328" s="5"/>
      <c r="G328" s="5"/>
      <c r="H328" s="127"/>
      <c r="I328" s="5"/>
      <c r="J328" s="6"/>
      <c r="K328" s="5"/>
      <c r="L328" s="5"/>
      <c r="M328" s="8"/>
      <c r="N328" s="5"/>
      <c r="O328" s="5"/>
      <c r="P328" s="5"/>
    </row>
    <row r="329" spans="1:16" ht="27" customHeight="1">
      <c r="A329" s="5"/>
      <c r="B329" s="5"/>
      <c r="C329" s="5"/>
      <c r="D329" s="7"/>
      <c r="E329" s="6"/>
      <c r="F329" s="5"/>
      <c r="G329" s="5"/>
      <c r="H329" s="127"/>
      <c r="I329" s="5"/>
      <c r="J329" s="6"/>
      <c r="K329" s="5"/>
      <c r="L329" s="5"/>
      <c r="M329" s="8"/>
      <c r="N329" s="5"/>
      <c r="O329" s="5"/>
      <c r="P329" s="5"/>
    </row>
    <row r="330" spans="1:16" ht="27" customHeight="1">
      <c r="A330" s="5"/>
      <c r="B330" s="5"/>
      <c r="C330" s="5"/>
      <c r="D330" s="7"/>
      <c r="E330" s="6"/>
      <c r="F330" s="5"/>
      <c r="G330" s="5"/>
      <c r="H330" s="127"/>
      <c r="I330" s="5"/>
      <c r="J330" s="6"/>
      <c r="K330" s="5"/>
      <c r="L330" s="5"/>
      <c r="M330" s="8"/>
      <c r="N330" s="5"/>
      <c r="O330" s="5"/>
      <c r="P330" s="5"/>
    </row>
    <row r="331" spans="1:16" ht="27" customHeight="1">
      <c r="A331" s="5"/>
      <c r="B331" s="5"/>
      <c r="C331" s="5"/>
      <c r="D331" s="7"/>
      <c r="E331" s="6"/>
      <c r="F331" s="5"/>
      <c r="G331" s="5"/>
      <c r="H331" s="127"/>
      <c r="I331" s="5"/>
      <c r="J331" s="6"/>
      <c r="K331" s="5"/>
      <c r="L331" s="5"/>
      <c r="M331" s="8"/>
      <c r="N331" s="5"/>
      <c r="O331" s="5"/>
      <c r="P331" s="5"/>
    </row>
    <row r="332" spans="1:16" ht="27" customHeight="1">
      <c r="A332" s="5"/>
      <c r="B332" s="5"/>
      <c r="C332" s="5"/>
      <c r="D332" s="7"/>
      <c r="E332" s="6"/>
      <c r="F332" s="5"/>
      <c r="G332" s="5"/>
      <c r="H332" s="127"/>
      <c r="I332" s="5"/>
      <c r="J332" s="6"/>
      <c r="K332" s="5"/>
      <c r="L332" s="5"/>
      <c r="M332" s="8"/>
      <c r="N332" s="5"/>
      <c r="O332" s="5"/>
      <c r="P332" s="5"/>
    </row>
    <row r="333" spans="1:16" ht="27" customHeight="1">
      <c r="A333" s="5"/>
      <c r="B333" s="5"/>
      <c r="C333" s="5"/>
      <c r="D333" s="7"/>
      <c r="E333" s="6"/>
      <c r="F333" s="5"/>
      <c r="G333" s="5"/>
      <c r="H333" s="127"/>
      <c r="I333" s="5"/>
      <c r="J333" s="6"/>
      <c r="K333" s="5"/>
      <c r="L333" s="5"/>
      <c r="M333" s="8"/>
      <c r="N333" s="5"/>
      <c r="O333" s="5"/>
      <c r="P333" s="5"/>
    </row>
    <row r="334" spans="1:16" ht="27" customHeight="1">
      <c r="A334" s="5"/>
      <c r="B334" s="5"/>
      <c r="C334" s="5"/>
      <c r="D334" s="7"/>
      <c r="E334" s="6"/>
      <c r="F334" s="5"/>
      <c r="G334" s="5"/>
      <c r="H334" s="127"/>
      <c r="I334" s="5"/>
      <c r="J334" s="6"/>
      <c r="K334" s="5"/>
      <c r="L334" s="5"/>
      <c r="M334" s="8"/>
      <c r="N334" s="5"/>
      <c r="O334" s="5"/>
      <c r="P334" s="5"/>
    </row>
    <row r="335" spans="1:16" ht="27" customHeight="1">
      <c r="A335" s="5"/>
      <c r="B335" s="5"/>
      <c r="C335" s="5"/>
      <c r="D335" s="7"/>
      <c r="E335" s="6"/>
      <c r="F335" s="5"/>
      <c r="G335" s="5"/>
      <c r="H335" s="127"/>
      <c r="I335" s="5"/>
      <c r="J335" s="6"/>
      <c r="K335" s="5"/>
      <c r="L335" s="5"/>
      <c r="M335" s="8"/>
      <c r="N335" s="5"/>
      <c r="O335" s="5"/>
      <c r="P335" s="5"/>
    </row>
    <row r="336" spans="1:16" ht="27" customHeight="1">
      <c r="A336" s="5"/>
      <c r="B336" s="5"/>
      <c r="C336" s="5"/>
      <c r="D336" s="7"/>
      <c r="E336" s="6"/>
      <c r="F336" s="5"/>
      <c r="G336" s="5"/>
      <c r="H336" s="127"/>
      <c r="I336" s="5"/>
      <c r="J336" s="6"/>
      <c r="K336" s="5"/>
      <c r="L336" s="5"/>
      <c r="M336" s="8"/>
      <c r="N336" s="5"/>
      <c r="O336" s="5"/>
      <c r="P336" s="5"/>
    </row>
    <row r="337" spans="1:16" ht="27" customHeight="1">
      <c r="A337" s="5"/>
      <c r="B337" s="5"/>
      <c r="C337" s="5"/>
      <c r="D337" s="7"/>
      <c r="E337" s="6"/>
      <c r="F337" s="5"/>
      <c r="G337" s="5"/>
      <c r="H337" s="127"/>
      <c r="I337" s="5"/>
      <c r="J337" s="6"/>
      <c r="K337" s="5"/>
      <c r="L337" s="5"/>
      <c r="M337" s="8"/>
      <c r="N337" s="5"/>
      <c r="O337" s="5"/>
      <c r="P337" s="5"/>
    </row>
    <row r="338" spans="1:16" ht="27" customHeight="1">
      <c r="A338" s="5"/>
      <c r="B338" s="5"/>
      <c r="C338" s="5"/>
      <c r="D338" s="7"/>
      <c r="E338" s="6"/>
      <c r="F338" s="5"/>
      <c r="G338" s="5"/>
      <c r="H338" s="127"/>
      <c r="I338" s="5"/>
      <c r="J338" s="6"/>
      <c r="K338" s="5"/>
      <c r="L338" s="5"/>
      <c r="M338" s="8"/>
      <c r="N338" s="5"/>
      <c r="O338" s="5"/>
      <c r="P338" s="5"/>
    </row>
    <row r="339" spans="1:16" ht="27" customHeight="1">
      <c r="A339" s="5"/>
      <c r="B339" s="5"/>
      <c r="C339" s="5"/>
      <c r="D339" s="7"/>
      <c r="E339" s="6"/>
      <c r="F339" s="5"/>
      <c r="G339" s="5"/>
      <c r="H339" s="127"/>
      <c r="I339" s="5"/>
      <c r="J339" s="6"/>
      <c r="K339" s="5"/>
      <c r="L339" s="5"/>
      <c r="M339" s="8"/>
      <c r="N339" s="5"/>
      <c r="O339" s="5"/>
      <c r="P339" s="5"/>
    </row>
    <row r="340" spans="1:16" ht="27" customHeight="1">
      <c r="A340" s="5"/>
      <c r="B340" s="5"/>
      <c r="C340" s="5"/>
      <c r="D340" s="7"/>
      <c r="E340" s="6"/>
      <c r="F340" s="5"/>
      <c r="G340" s="5"/>
      <c r="H340" s="127"/>
      <c r="I340" s="5"/>
      <c r="J340" s="6"/>
      <c r="K340" s="5"/>
      <c r="L340" s="5"/>
      <c r="M340" s="8"/>
      <c r="N340" s="5"/>
      <c r="O340" s="5"/>
      <c r="P340" s="5"/>
    </row>
    <row r="341" spans="1:16" ht="27" customHeight="1">
      <c r="A341" s="5"/>
      <c r="B341" s="5"/>
      <c r="C341" s="5"/>
      <c r="D341" s="7"/>
      <c r="E341" s="6"/>
      <c r="F341" s="5"/>
      <c r="G341" s="5"/>
      <c r="H341" s="127"/>
      <c r="I341" s="5"/>
      <c r="J341" s="6"/>
      <c r="K341" s="5"/>
      <c r="L341" s="5"/>
      <c r="M341" s="8"/>
      <c r="N341" s="5"/>
      <c r="O341" s="5"/>
      <c r="P341" s="5"/>
    </row>
    <row r="342" spans="1:16" ht="27" customHeight="1">
      <c r="A342" s="5"/>
      <c r="B342" s="5"/>
      <c r="C342" s="5"/>
      <c r="D342" s="7"/>
      <c r="E342" s="6"/>
      <c r="F342" s="5"/>
      <c r="G342" s="5"/>
      <c r="H342" s="127"/>
      <c r="I342" s="5"/>
      <c r="J342" s="6"/>
      <c r="K342" s="5"/>
      <c r="L342" s="5"/>
      <c r="M342" s="8"/>
      <c r="N342" s="5"/>
      <c r="O342" s="5"/>
      <c r="P342" s="5"/>
    </row>
    <row r="343" spans="1:16" ht="27" customHeight="1">
      <c r="A343" s="5"/>
      <c r="B343" s="5"/>
      <c r="C343" s="5"/>
      <c r="D343" s="7"/>
      <c r="E343" s="6"/>
      <c r="F343" s="5"/>
      <c r="G343" s="5"/>
      <c r="H343" s="127"/>
      <c r="I343" s="5"/>
      <c r="J343" s="6"/>
      <c r="K343" s="5"/>
      <c r="L343" s="5"/>
      <c r="M343" s="8"/>
      <c r="N343" s="5"/>
      <c r="O343" s="5"/>
      <c r="P343" s="5"/>
    </row>
    <row r="344" spans="1:16" ht="27" customHeight="1">
      <c r="A344" s="5"/>
      <c r="B344" s="5"/>
      <c r="C344" s="5"/>
      <c r="D344" s="7"/>
      <c r="E344" s="6"/>
      <c r="F344" s="5"/>
      <c r="G344" s="5"/>
      <c r="H344" s="127"/>
      <c r="I344" s="5"/>
      <c r="J344" s="6"/>
      <c r="K344" s="5"/>
      <c r="L344" s="5"/>
      <c r="M344" s="8"/>
      <c r="N344" s="5"/>
      <c r="O344" s="5"/>
      <c r="P344" s="5"/>
    </row>
    <row r="345" spans="1:16" ht="27" customHeight="1">
      <c r="A345" s="5"/>
      <c r="B345" s="5"/>
      <c r="C345" s="5"/>
      <c r="D345" s="7"/>
      <c r="E345" s="6"/>
      <c r="F345" s="5"/>
      <c r="G345" s="5"/>
      <c r="H345" s="127"/>
      <c r="I345" s="5"/>
      <c r="J345" s="6"/>
      <c r="K345" s="5"/>
      <c r="L345" s="5"/>
      <c r="M345" s="8"/>
      <c r="N345" s="5"/>
      <c r="O345" s="5"/>
      <c r="P345" s="5"/>
    </row>
    <row r="346" spans="1:16" ht="27" customHeight="1">
      <c r="A346" s="5"/>
      <c r="B346" s="5"/>
      <c r="C346" s="5"/>
      <c r="D346" s="7"/>
      <c r="E346" s="6"/>
      <c r="F346" s="5"/>
      <c r="G346" s="5"/>
      <c r="H346" s="127"/>
      <c r="I346" s="5"/>
      <c r="J346" s="6"/>
      <c r="K346" s="5"/>
      <c r="L346" s="5"/>
      <c r="M346" s="8"/>
      <c r="N346" s="5"/>
      <c r="O346" s="5"/>
      <c r="P346" s="5"/>
    </row>
    <row r="347" spans="1:16" ht="27" customHeight="1">
      <c r="A347" s="5"/>
      <c r="B347" s="5"/>
      <c r="C347" s="5"/>
      <c r="D347" s="7"/>
      <c r="E347" s="6"/>
      <c r="F347" s="5"/>
      <c r="G347" s="5"/>
      <c r="H347" s="127"/>
      <c r="I347" s="5"/>
      <c r="J347" s="6"/>
      <c r="K347" s="5"/>
      <c r="L347" s="5"/>
      <c r="M347" s="8"/>
      <c r="N347" s="5"/>
      <c r="O347" s="5"/>
      <c r="P347" s="5"/>
    </row>
    <row r="348" spans="1:16" ht="27" customHeight="1">
      <c r="A348" s="5"/>
      <c r="B348" s="5"/>
      <c r="C348" s="5"/>
      <c r="D348" s="7"/>
      <c r="E348" s="6"/>
      <c r="F348" s="5"/>
      <c r="G348" s="5"/>
      <c r="H348" s="127"/>
      <c r="I348" s="5"/>
      <c r="J348" s="6"/>
      <c r="K348" s="5"/>
      <c r="L348" s="5"/>
      <c r="M348" s="8"/>
      <c r="N348" s="5"/>
      <c r="O348" s="5"/>
      <c r="P348" s="5"/>
    </row>
    <row r="349" spans="1:16" ht="27" customHeight="1">
      <c r="A349" s="5"/>
      <c r="B349" s="5"/>
      <c r="C349" s="5"/>
      <c r="D349" s="7"/>
      <c r="E349" s="6"/>
      <c r="F349" s="5"/>
      <c r="G349" s="5"/>
      <c r="H349" s="127"/>
      <c r="I349" s="5"/>
      <c r="J349" s="6"/>
      <c r="K349" s="5"/>
      <c r="L349" s="5"/>
      <c r="M349" s="8"/>
      <c r="N349" s="5"/>
      <c r="O349" s="5"/>
      <c r="P349" s="5"/>
    </row>
    <row r="350" spans="1:16" ht="27" customHeight="1">
      <c r="A350" s="5"/>
      <c r="B350" s="5"/>
      <c r="C350" s="5"/>
      <c r="D350" s="7"/>
      <c r="E350" s="6"/>
      <c r="F350" s="5"/>
      <c r="G350" s="5"/>
      <c r="H350" s="127"/>
      <c r="I350" s="5"/>
      <c r="J350" s="6"/>
      <c r="K350" s="5"/>
      <c r="L350" s="5"/>
      <c r="M350" s="8"/>
      <c r="N350" s="5"/>
      <c r="O350" s="5"/>
      <c r="P350" s="5"/>
    </row>
    <row r="351" spans="1:16" ht="27" customHeight="1">
      <c r="A351" s="5"/>
      <c r="B351" s="5"/>
      <c r="C351" s="5"/>
      <c r="D351" s="7"/>
      <c r="E351" s="6"/>
      <c r="F351" s="5"/>
      <c r="G351" s="5"/>
      <c r="H351" s="127"/>
      <c r="I351" s="5"/>
      <c r="J351" s="6"/>
      <c r="K351" s="5"/>
      <c r="L351" s="5"/>
      <c r="M351" s="8"/>
      <c r="N351" s="5"/>
      <c r="O351" s="5"/>
      <c r="P351" s="5"/>
    </row>
    <row r="352" spans="1:16" ht="27" customHeight="1">
      <c r="A352" s="5"/>
      <c r="B352" s="5"/>
      <c r="C352" s="5"/>
      <c r="D352" s="7"/>
      <c r="E352" s="6"/>
      <c r="F352" s="5"/>
      <c r="G352" s="5"/>
      <c r="H352" s="127"/>
      <c r="I352" s="5"/>
      <c r="J352" s="6"/>
      <c r="K352" s="5"/>
      <c r="L352" s="5"/>
      <c r="M352" s="8"/>
      <c r="N352" s="5"/>
      <c r="O352" s="5"/>
      <c r="P352" s="5"/>
    </row>
    <row r="353" spans="1:16" ht="27" customHeight="1">
      <c r="A353" s="5"/>
      <c r="B353" s="5"/>
      <c r="C353" s="5"/>
      <c r="D353" s="7"/>
      <c r="E353" s="6"/>
      <c r="F353" s="5"/>
      <c r="G353" s="5"/>
      <c r="H353" s="127"/>
      <c r="I353" s="5"/>
      <c r="J353" s="6"/>
      <c r="K353" s="5"/>
      <c r="L353" s="5"/>
      <c r="M353" s="8"/>
      <c r="N353" s="5"/>
      <c r="O353" s="5"/>
      <c r="P353" s="5"/>
    </row>
    <row r="354" spans="1:16" ht="27" customHeight="1">
      <c r="A354" s="5"/>
      <c r="B354" s="5"/>
      <c r="C354" s="5"/>
      <c r="D354" s="7"/>
      <c r="E354" s="6"/>
      <c r="F354" s="5"/>
      <c r="G354" s="5"/>
      <c r="H354" s="127"/>
      <c r="I354" s="5"/>
      <c r="J354" s="6"/>
      <c r="K354" s="5"/>
      <c r="L354" s="5"/>
      <c r="M354" s="8"/>
      <c r="N354" s="5"/>
      <c r="O354" s="5"/>
      <c r="P354" s="5"/>
    </row>
    <row r="355" spans="1:16" ht="27" customHeight="1">
      <c r="A355" s="5"/>
      <c r="B355" s="5"/>
      <c r="C355" s="5"/>
      <c r="D355" s="7"/>
      <c r="E355" s="6"/>
      <c r="F355" s="5"/>
      <c r="G355" s="5"/>
      <c r="H355" s="127"/>
      <c r="I355" s="5"/>
      <c r="J355" s="6"/>
      <c r="K355" s="5"/>
      <c r="L355" s="5"/>
      <c r="M355" s="8"/>
      <c r="N355" s="5"/>
      <c r="O355" s="5"/>
      <c r="P355" s="5"/>
    </row>
    <row r="356" spans="1:16" ht="27" customHeight="1">
      <c r="A356" s="5"/>
      <c r="B356" s="5"/>
      <c r="C356" s="5"/>
      <c r="D356" s="7"/>
      <c r="E356" s="6"/>
      <c r="F356" s="5"/>
      <c r="G356" s="5"/>
      <c r="H356" s="127"/>
      <c r="I356" s="5"/>
      <c r="J356" s="6"/>
      <c r="K356" s="5"/>
      <c r="L356" s="5"/>
      <c r="M356" s="8"/>
      <c r="N356" s="5"/>
      <c r="O356" s="5"/>
      <c r="P356" s="5"/>
    </row>
    <row r="357" spans="1:16" ht="27" customHeight="1">
      <c r="A357" s="5"/>
      <c r="B357" s="5"/>
      <c r="C357" s="5"/>
      <c r="D357" s="7"/>
      <c r="E357" s="6"/>
      <c r="F357" s="5"/>
      <c r="G357" s="5"/>
      <c r="H357" s="127"/>
      <c r="I357" s="5"/>
      <c r="J357" s="6"/>
      <c r="K357" s="5"/>
      <c r="L357" s="5"/>
      <c r="M357" s="8"/>
      <c r="N357" s="5"/>
      <c r="O357" s="5"/>
      <c r="P357" s="5"/>
    </row>
    <row r="358" spans="1:16" ht="27" customHeight="1">
      <c r="A358" s="5"/>
      <c r="B358" s="5"/>
      <c r="C358" s="5"/>
      <c r="D358" s="7"/>
      <c r="E358" s="6"/>
      <c r="F358" s="5"/>
      <c r="G358" s="5"/>
      <c r="H358" s="127"/>
      <c r="I358" s="5"/>
      <c r="J358" s="6"/>
      <c r="K358" s="5"/>
      <c r="L358" s="5"/>
      <c r="M358" s="8"/>
      <c r="N358" s="5"/>
      <c r="O358" s="5"/>
      <c r="P358" s="5"/>
    </row>
    <row r="359" spans="1:16" ht="27" customHeight="1">
      <c r="A359" s="5"/>
      <c r="B359" s="5"/>
      <c r="C359" s="5"/>
      <c r="D359" s="7"/>
      <c r="E359" s="6"/>
      <c r="F359" s="5"/>
      <c r="G359" s="5"/>
      <c r="H359" s="127"/>
      <c r="I359" s="5"/>
      <c r="J359" s="6"/>
      <c r="K359" s="5"/>
      <c r="L359" s="5"/>
      <c r="M359" s="8"/>
      <c r="N359" s="5"/>
      <c r="O359" s="5"/>
      <c r="P359" s="5"/>
    </row>
    <row r="360" spans="1:16" ht="27" customHeight="1">
      <c r="A360" s="5"/>
      <c r="B360" s="5"/>
      <c r="C360" s="5"/>
      <c r="D360" s="7"/>
      <c r="E360" s="6"/>
      <c r="F360" s="5"/>
      <c r="G360" s="5"/>
      <c r="H360" s="127"/>
      <c r="I360" s="5"/>
      <c r="J360" s="6"/>
      <c r="K360" s="5"/>
      <c r="L360" s="5"/>
      <c r="M360" s="8"/>
      <c r="N360" s="5"/>
      <c r="O360" s="5"/>
      <c r="P360" s="5"/>
    </row>
    <row r="361" spans="1:16" ht="27" customHeight="1">
      <c r="A361" s="5"/>
      <c r="B361" s="5"/>
      <c r="C361" s="5"/>
      <c r="D361" s="7"/>
      <c r="E361" s="6"/>
      <c r="F361" s="5"/>
      <c r="G361" s="5"/>
      <c r="H361" s="127"/>
      <c r="I361" s="5"/>
      <c r="J361" s="6"/>
      <c r="K361" s="5"/>
      <c r="L361" s="5"/>
      <c r="M361" s="8"/>
      <c r="N361" s="5"/>
      <c r="O361" s="5"/>
      <c r="P361" s="5"/>
    </row>
    <row r="362" spans="1:16" ht="27" customHeight="1">
      <c r="A362" s="5"/>
      <c r="B362" s="5"/>
      <c r="C362" s="5"/>
      <c r="D362" s="7"/>
      <c r="E362" s="6"/>
      <c r="F362" s="5"/>
      <c r="G362" s="5"/>
      <c r="H362" s="127"/>
      <c r="I362" s="5"/>
      <c r="J362" s="6"/>
      <c r="K362" s="5"/>
      <c r="L362" s="5"/>
      <c r="M362" s="8"/>
      <c r="N362" s="5"/>
      <c r="O362" s="5"/>
      <c r="P362" s="5"/>
    </row>
    <row r="363" spans="1:16" ht="27" customHeight="1">
      <c r="A363" s="5"/>
      <c r="B363" s="5"/>
      <c r="C363" s="5"/>
      <c r="D363" s="7"/>
      <c r="E363" s="6"/>
      <c r="F363" s="5"/>
      <c r="G363" s="5"/>
      <c r="H363" s="127"/>
      <c r="I363" s="5"/>
      <c r="J363" s="6"/>
      <c r="K363" s="5"/>
      <c r="L363" s="5"/>
      <c r="M363" s="8"/>
      <c r="N363" s="5"/>
      <c r="O363" s="5"/>
      <c r="P363" s="5"/>
    </row>
    <row r="364" spans="1:16" ht="27" customHeight="1">
      <c r="A364" s="5"/>
      <c r="B364" s="5"/>
      <c r="C364" s="5"/>
      <c r="D364" s="7"/>
      <c r="E364" s="6"/>
      <c r="F364" s="5"/>
      <c r="G364" s="5"/>
      <c r="H364" s="127"/>
      <c r="I364" s="5"/>
      <c r="J364" s="6"/>
      <c r="K364" s="5"/>
      <c r="L364" s="5"/>
      <c r="M364" s="8"/>
      <c r="N364" s="5"/>
      <c r="O364" s="5"/>
      <c r="P364" s="5"/>
    </row>
    <row r="365" spans="1:16" ht="27" customHeight="1">
      <c r="A365" s="5"/>
      <c r="B365" s="5"/>
      <c r="C365" s="5"/>
      <c r="D365" s="7"/>
      <c r="E365" s="6"/>
      <c r="F365" s="5"/>
      <c r="G365" s="5"/>
      <c r="H365" s="127"/>
      <c r="I365" s="5"/>
      <c r="J365" s="6"/>
      <c r="K365" s="5"/>
      <c r="L365" s="5"/>
      <c r="M365" s="8"/>
      <c r="N365" s="5"/>
      <c r="O365" s="5"/>
      <c r="P365" s="5"/>
    </row>
    <row r="366" spans="1:16" ht="27" customHeight="1">
      <c r="A366" s="5"/>
      <c r="B366" s="5"/>
      <c r="C366" s="5"/>
      <c r="D366" s="7"/>
      <c r="E366" s="6"/>
      <c r="F366" s="5"/>
      <c r="G366" s="5"/>
      <c r="H366" s="127"/>
      <c r="I366" s="5"/>
      <c r="J366" s="6"/>
      <c r="K366" s="5"/>
      <c r="L366" s="5"/>
      <c r="M366" s="8"/>
      <c r="N366" s="5"/>
      <c r="O366" s="5"/>
      <c r="P366" s="5"/>
    </row>
    <row r="367" spans="1:16" ht="27" customHeight="1">
      <c r="A367" s="5"/>
      <c r="B367" s="5"/>
      <c r="C367" s="5"/>
      <c r="D367" s="7"/>
      <c r="E367" s="6"/>
      <c r="F367" s="5"/>
      <c r="G367" s="5"/>
      <c r="H367" s="127"/>
      <c r="I367" s="5"/>
      <c r="J367" s="6"/>
      <c r="K367" s="5"/>
      <c r="L367" s="5"/>
      <c r="M367" s="8"/>
      <c r="N367" s="5"/>
      <c r="O367" s="5"/>
      <c r="P367" s="5"/>
    </row>
    <row r="368" spans="1:16" ht="27" customHeight="1">
      <c r="A368" s="5"/>
      <c r="B368" s="5"/>
      <c r="C368" s="5"/>
      <c r="D368" s="7"/>
      <c r="E368" s="6"/>
      <c r="F368" s="5"/>
      <c r="G368" s="5"/>
      <c r="H368" s="127"/>
      <c r="I368" s="5"/>
      <c r="J368" s="6"/>
      <c r="K368" s="5"/>
      <c r="L368" s="5"/>
      <c r="M368" s="8"/>
      <c r="N368" s="5"/>
      <c r="O368" s="5"/>
      <c r="P368" s="5"/>
    </row>
    <row r="369" spans="1:16" ht="27" customHeight="1">
      <c r="A369" s="5"/>
      <c r="B369" s="5"/>
      <c r="C369" s="5"/>
      <c r="D369" s="7"/>
      <c r="E369" s="6"/>
      <c r="F369" s="5"/>
      <c r="G369" s="5"/>
      <c r="H369" s="127"/>
      <c r="I369" s="5"/>
      <c r="J369" s="6"/>
      <c r="K369" s="5"/>
      <c r="L369" s="5"/>
      <c r="M369" s="8"/>
      <c r="N369" s="5"/>
      <c r="O369" s="5"/>
      <c r="P369" s="5"/>
    </row>
    <row r="370" spans="1:16" ht="27" customHeight="1">
      <c r="A370" s="5"/>
      <c r="B370" s="5"/>
      <c r="C370" s="5"/>
      <c r="D370" s="7"/>
      <c r="E370" s="6"/>
      <c r="F370" s="5"/>
      <c r="G370" s="5"/>
      <c r="H370" s="127"/>
      <c r="I370" s="5"/>
      <c r="J370" s="6"/>
      <c r="K370" s="5"/>
      <c r="L370" s="5"/>
      <c r="M370" s="8"/>
      <c r="N370" s="5"/>
      <c r="O370" s="5"/>
      <c r="P370" s="5"/>
    </row>
    <row r="371" spans="1:16" ht="27" customHeight="1">
      <c r="A371" s="5"/>
      <c r="B371" s="5"/>
      <c r="C371" s="5"/>
      <c r="D371" s="7"/>
      <c r="E371" s="6"/>
      <c r="F371" s="5"/>
      <c r="G371" s="5"/>
      <c r="H371" s="127"/>
      <c r="I371" s="5"/>
      <c r="J371" s="6"/>
      <c r="K371" s="5"/>
      <c r="L371" s="5"/>
      <c r="M371" s="8"/>
      <c r="N371" s="5"/>
      <c r="O371" s="5"/>
      <c r="P371" s="5"/>
    </row>
    <row r="372" spans="1:16" ht="27" customHeight="1">
      <c r="A372" s="5"/>
      <c r="B372" s="5"/>
      <c r="C372" s="5"/>
      <c r="D372" s="7"/>
      <c r="E372" s="6"/>
      <c r="F372" s="5"/>
      <c r="G372" s="5"/>
      <c r="H372" s="127"/>
      <c r="I372" s="5"/>
      <c r="J372" s="6"/>
      <c r="K372" s="5"/>
      <c r="L372" s="5"/>
      <c r="M372" s="8"/>
      <c r="N372" s="5"/>
      <c r="O372" s="5"/>
      <c r="P372" s="5"/>
    </row>
    <row r="373" spans="1:16" ht="27" customHeight="1">
      <c r="A373" s="5"/>
      <c r="B373" s="5"/>
      <c r="C373" s="5"/>
      <c r="D373" s="7"/>
      <c r="E373" s="6"/>
      <c r="F373" s="5"/>
      <c r="G373" s="5"/>
      <c r="H373" s="127"/>
      <c r="I373" s="5"/>
      <c r="J373" s="6"/>
      <c r="K373" s="5"/>
      <c r="L373" s="5"/>
      <c r="M373" s="8"/>
      <c r="N373" s="5"/>
      <c r="O373" s="5"/>
      <c r="P373" s="5"/>
    </row>
    <row r="374" spans="1:16" ht="27" customHeight="1">
      <c r="A374" s="5"/>
      <c r="B374" s="5"/>
      <c r="C374" s="5"/>
      <c r="D374" s="7"/>
      <c r="E374" s="6"/>
      <c r="F374" s="5"/>
      <c r="G374" s="5"/>
      <c r="H374" s="127"/>
      <c r="I374" s="5"/>
      <c r="J374" s="6"/>
      <c r="K374" s="5"/>
      <c r="L374" s="5"/>
      <c r="M374" s="8"/>
      <c r="N374" s="5"/>
      <c r="O374" s="5"/>
      <c r="P374" s="5"/>
    </row>
    <row r="375" spans="1:16" ht="27" customHeight="1">
      <c r="A375" s="5"/>
      <c r="B375" s="5"/>
      <c r="C375" s="5"/>
      <c r="D375" s="7"/>
      <c r="E375" s="6"/>
      <c r="F375" s="5"/>
      <c r="G375" s="5"/>
      <c r="H375" s="127"/>
      <c r="I375" s="5"/>
      <c r="J375" s="6"/>
      <c r="K375" s="5"/>
      <c r="L375" s="5"/>
      <c r="M375" s="8"/>
      <c r="N375" s="5"/>
      <c r="O375" s="5"/>
      <c r="P375" s="5"/>
    </row>
    <row r="376" spans="1:16" ht="27" customHeight="1">
      <c r="A376" s="5"/>
      <c r="B376" s="5"/>
      <c r="C376" s="5"/>
      <c r="D376" s="7"/>
      <c r="E376" s="6"/>
      <c r="F376" s="5"/>
      <c r="G376" s="5"/>
      <c r="H376" s="127"/>
      <c r="I376" s="5"/>
      <c r="J376" s="6"/>
      <c r="K376" s="5"/>
      <c r="L376" s="5"/>
      <c r="M376" s="8"/>
      <c r="N376" s="5"/>
      <c r="O376" s="5"/>
      <c r="P376" s="5"/>
    </row>
    <row r="377" spans="1:16" ht="27" customHeight="1">
      <c r="A377" s="5"/>
      <c r="B377" s="5"/>
      <c r="C377" s="5"/>
      <c r="D377" s="7"/>
      <c r="E377" s="6"/>
      <c r="F377" s="5"/>
      <c r="G377" s="5"/>
      <c r="H377" s="127"/>
      <c r="I377" s="5"/>
      <c r="J377" s="6"/>
      <c r="K377" s="5"/>
      <c r="L377" s="5"/>
      <c r="M377" s="8"/>
      <c r="N377" s="5"/>
      <c r="O377" s="5"/>
      <c r="P377" s="5"/>
    </row>
    <row r="378" spans="1:16" ht="27" customHeight="1">
      <c r="A378" s="5"/>
      <c r="B378" s="5"/>
      <c r="C378" s="5"/>
      <c r="D378" s="7"/>
      <c r="E378" s="6"/>
      <c r="F378" s="5"/>
      <c r="G378" s="5"/>
      <c r="H378" s="127"/>
      <c r="I378" s="5"/>
      <c r="J378" s="6"/>
      <c r="K378" s="5"/>
      <c r="L378" s="5"/>
      <c r="M378" s="8"/>
      <c r="N378" s="5"/>
      <c r="O378" s="5"/>
      <c r="P378" s="5"/>
    </row>
    <row r="379" spans="1:16" ht="27" customHeight="1">
      <c r="A379" s="5"/>
      <c r="B379" s="5"/>
      <c r="C379" s="5"/>
      <c r="D379" s="7"/>
      <c r="E379" s="6"/>
      <c r="F379" s="5"/>
      <c r="G379" s="5"/>
      <c r="H379" s="127"/>
      <c r="I379" s="5"/>
      <c r="J379" s="6"/>
      <c r="K379" s="5"/>
      <c r="L379" s="5"/>
      <c r="M379" s="8"/>
      <c r="N379" s="5"/>
      <c r="O379" s="5"/>
      <c r="P379" s="5"/>
    </row>
    <row r="380" spans="1:16" ht="27" customHeight="1">
      <c r="A380" s="5"/>
      <c r="B380" s="5"/>
      <c r="C380" s="5"/>
      <c r="D380" s="7"/>
      <c r="E380" s="6"/>
      <c r="F380" s="5"/>
      <c r="G380" s="5"/>
      <c r="H380" s="127"/>
      <c r="I380" s="5"/>
      <c r="J380" s="6"/>
      <c r="K380" s="5"/>
      <c r="L380" s="5"/>
      <c r="M380" s="8"/>
      <c r="N380" s="5"/>
      <c r="O380" s="5"/>
      <c r="P380" s="5"/>
    </row>
    <row r="381" spans="1:16" ht="27" customHeight="1">
      <c r="A381" s="5"/>
      <c r="B381" s="5"/>
      <c r="C381" s="5"/>
      <c r="D381" s="7"/>
      <c r="E381" s="6"/>
      <c r="F381" s="5"/>
      <c r="G381" s="5"/>
      <c r="H381" s="127"/>
      <c r="I381" s="5"/>
      <c r="J381" s="6"/>
      <c r="K381" s="5"/>
      <c r="L381" s="5"/>
      <c r="M381" s="8"/>
      <c r="N381" s="5"/>
      <c r="O381" s="5"/>
      <c r="P381" s="5"/>
    </row>
    <row r="382" spans="1:16" ht="27" customHeight="1">
      <c r="A382" s="5"/>
      <c r="B382" s="5"/>
      <c r="C382" s="5"/>
      <c r="D382" s="7"/>
      <c r="E382" s="6"/>
      <c r="F382" s="5"/>
      <c r="G382" s="5"/>
      <c r="H382" s="127"/>
      <c r="I382" s="5"/>
      <c r="J382" s="6"/>
      <c r="K382" s="5"/>
      <c r="L382" s="5"/>
      <c r="M382" s="8"/>
      <c r="N382" s="5"/>
      <c r="O382" s="5"/>
      <c r="P382" s="5"/>
    </row>
    <row r="383" spans="1:16" ht="27" customHeight="1">
      <c r="A383" s="5"/>
      <c r="B383" s="5"/>
      <c r="C383" s="5"/>
      <c r="D383" s="7"/>
      <c r="E383" s="6"/>
      <c r="F383" s="5"/>
      <c r="G383" s="5"/>
      <c r="H383" s="127"/>
      <c r="I383" s="5"/>
      <c r="J383" s="6"/>
      <c r="K383" s="5"/>
      <c r="L383" s="5"/>
      <c r="M383" s="8"/>
      <c r="N383" s="5"/>
      <c r="O383" s="5"/>
      <c r="P383" s="5"/>
    </row>
    <row r="384" spans="1:16" ht="27" customHeight="1">
      <c r="A384" s="5"/>
      <c r="B384" s="5"/>
      <c r="C384" s="5"/>
      <c r="D384" s="7"/>
      <c r="E384" s="6"/>
      <c r="F384" s="5"/>
      <c r="G384" s="5"/>
      <c r="H384" s="127"/>
      <c r="I384" s="5"/>
      <c r="J384" s="6"/>
      <c r="K384" s="5"/>
      <c r="L384" s="5"/>
      <c r="M384" s="8"/>
      <c r="N384" s="5"/>
      <c r="O384" s="5"/>
      <c r="P384" s="5"/>
    </row>
    <row r="385" spans="1:16" ht="27" customHeight="1">
      <c r="A385" s="5"/>
      <c r="B385" s="5"/>
      <c r="C385" s="5"/>
      <c r="D385" s="7"/>
      <c r="E385" s="6"/>
      <c r="F385" s="5"/>
      <c r="G385" s="5"/>
      <c r="H385" s="127"/>
      <c r="I385" s="5"/>
      <c r="J385" s="6"/>
      <c r="K385" s="5"/>
      <c r="L385" s="5"/>
      <c r="M385" s="8"/>
      <c r="N385" s="5"/>
      <c r="O385" s="5"/>
      <c r="P385" s="5"/>
    </row>
    <row r="386" spans="1:16" ht="27" customHeight="1">
      <c r="A386" s="5"/>
      <c r="B386" s="5"/>
      <c r="C386" s="5"/>
      <c r="D386" s="7"/>
      <c r="E386" s="6"/>
      <c r="F386" s="5"/>
      <c r="G386" s="5"/>
      <c r="H386" s="127"/>
      <c r="I386" s="5"/>
      <c r="J386" s="6"/>
      <c r="K386" s="5"/>
      <c r="L386" s="5"/>
      <c r="M386" s="8"/>
      <c r="N386" s="5"/>
      <c r="O386" s="5"/>
      <c r="P386" s="5"/>
    </row>
    <row r="387" spans="1:16" ht="27" customHeight="1">
      <c r="A387" s="5"/>
      <c r="B387" s="5"/>
      <c r="C387" s="5"/>
      <c r="D387" s="7"/>
      <c r="E387" s="6"/>
      <c r="F387" s="5"/>
      <c r="G387" s="5"/>
      <c r="H387" s="127"/>
      <c r="I387" s="5"/>
      <c r="J387" s="6"/>
      <c r="K387" s="5"/>
      <c r="L387" s="5"/>
      <c r="M387" s="8"/>
      <c r="N387" s="5"/>
      <c r="O387" s="5"/>
      <c r="P387" s="5"/>
    </row>
    <row r="388" spans="1:16" ht="27" customHeight="1">
      <c r="A388" s="5"/>
      <c r="B388" s="5"/>
      <c r="C388" s="5"/>
      <c r="D388" s="7"/>
      <c r="E388" s="6"/>
      <c r="F388" s="5"/>
      <c r="G388" s="5"/>
      <c r="H388" s="127"/>
      <c r="I388" s="5"/>
      <c r="J388" s="6"/>
      <c r="K388" s="5"/>
      <c r="L388" s="5"/>
      <c r="M388" s="8"/>
      <c r="N388" s="5"/>
      <c r="O388" s="5"/>
      <c r="P388" s="5"/>
    </row>
    <row r="389" spans="1:16" ht="27" customHeight="1">
      <c r="A389" s="5"/>
      <c r="B389" s="5"/>
      <c r="C389" s="5"/>
      <c r="D389" s="7"/>
      <c r="E389" s="6"/>
      <c r="F389" s="5"/>
      <c r="G389" s="5"/>
      <c r="H389" s="127"/>
      <c r="I389" s="5"/>
      <c r="J389" s="6"/>
      <c r="K389" s="5"/>
      <c r="L389" s="5"/>
      <c r="M389" s="8"/>
      <c r="N389" s="5"/>
      <c r="O389" s="5"/>
      <c r="P389" s="5"/>
    </row>
    <row r="390" spans="1:16" ht="27" customHeight="1">
      <c r="A390" s="5"/>
      <c r="B390" s="5"/>
      <c r="C390" s="5"/>
      <c r="D390" s="7"/>
      <c r="E390" s="6"/>
      <c r="F390" s="5"/>
      <c r="G390" s="5"/>
      <c r="H390" s="127"/>
      <c r="I390" s="5"/>
      <c r="J390" s="6"/>
      <c r="K390" s="5"/>
      <c r="L390" s="5"/>
      <c r="M390" s="8"/>
      <c r="N390" s="5"/>
      <c r="O390" s="5"/>
      <c r="P390" s="5"/>
    </row>
    <row r="391" spans="1:16" ht="27" customHeight="1">
      <c r="A391" s="5"/>
      <c r="B391" s="5"/>
      <c r="C391" s="5"/>
      <c r="D391" s="7"/>
      <c r="E391" s="6"/>
      <c r="F391" s="5"/>
      <c r="G391" s="5"/>
      <c r="H391" s="127"/>
      <c r="I391" s="5"/>
      <c r="J391" s="6"/>
      <c r="K391" s="5"/>
      <c r="L391" s="5"/>
      <c r="M391" s="8"/>
      <c r="N391" s="5"/>
      <c r="O391" s="5"/>
      <c r="P391" s="5"/>
    </row>
    <row r="392" spans="1:16" ht="27" customHeight="1">
      <c r="A392" s="5"/>
      <c r="B392" s="5"/>
      <c r="C392" s="5"/>
      <c r="D392" s="7"/>
      <c r="E392" s="6"/>
      <c r="F392" s="5"/>
      <c r="G392" s="5"/>
      <c r="H392" s="127"/>
      <c r="I392" s="5"/>
      <c r="J392" s="6"/>
      <c r="K392" s="5"/>
      <c r="L392" s="5"/>
      <c r="M392" s="8"/>
      <c r="N392" s="5"/>
      <c r="O392" s="5"/>
      <c r="P392" s="5"/>
    </row>
    <row r="393" spans="1:16" ht="27" customHeight="1">
      <c r="A393" s="5"/>
      <c r="B393" s="5"/>
      <c r="C393" s="5"/>
      <c r="D393" s="7"/>
      <c r="E393" s="6"/>
      <c r="F393" s="5"/>
      <c r="G393" s="5"/>
      <c r="H393" s="127"/>
      <c r="I393" s="5"/>
      <c r="J393" s="6"/>
      <c r="K393" s="5"/>
      <c r="L393" s="5"/>
      <c r="M393" s="8"/>
      <c r="N393" s="5"/>
      <c r="O393" s="5"/>
      <c r="P393" s="5"/>
    </row>
    <row r="394" spans="1:16" ht="27" customHeight="1">
      <c r="A394" s="5"/>
      <c r="B394" s="5"/>
      <c r="C394" s="5"/>
      <c r="D394" s="7"/>
      <c r="E394" s="6"/>
      <c r="F394" s="5"/>
      <c r="G394" s="5"/>
      <c r="H394" s="127"/>
      <c r="I394" s="5"/>
      <c r="J394" s="6"/>
      <c r="K394" s="5"/>
      <c r="L394" s="5"/>
      <c r="M394" s="8"/>
      <c r="N394" s="5"/>
      <c r="O394" s="5"/>
      <c r="P394" s="5"/>
    </row>
    <row r="395" spans="1:16" ht="27" customHeight="1">
      <c r="A395" s="5"/>
      <c r="B395" s="5"/>
      <c r="C395" s="5"/>
      <c r="D395" s="7"/>
      <c r="E395" s="6"/>
      <c r="F395" s="5"/>
      <c r="G395" s="5"/>
      <c r="H395" s="127"/>
      <c r="I395" s="5"/>
      <c r="J395" s="6"/>
      <c r="K395" s="5"/>
      <c r="L395" s="5"/>
      <c r="M395" s="8"/>
      <c r="N395" s="5"/>
      <c r="O395" s="5"/>
      <c r="P395" s="5"/>
    </row>
    <row r="396" spans="1:16" ht="27" customHeight="1">
      <c r="A396" s="5"/>
      <c r="B396" s="5"/>
      <c r="C396" s="5"/>
      <c r="D396" s="7"/>
      <c r="E396" s="6"/>
      <c r="F396" s="5"/>
      <c r="G396" s="5"/>
      <c r="H396" s="127"/>
      <c r="I396" s="5"/>
      <c r="J396" s="6"/>
      <c r="K396" s="5"/>
      <c r="L396" s="5"/>
      <c r="M396" s="8"/>
      <c r="N396" s="5"/>
      <c r="O396" s="5"/>
      <c r="P396" s="5"/>
    </row>
    <row r="397" spans="1:16" ht="27" customHeight="1">
      <c r="A397" s="5"/>
      <c r="B397" s="5"/>
      <c r="C397" s="5"/>
      <c r="D397" s="7"/>
      <c r="E397" s="6"/>
      <c r="F397" s="5"/>
      <c r="G397" s="5"/>
      <c r="H397" s="127"/>
      <c r="I397" s="5"/>
      <c r="J397" s="6"/>
      <c r="K397" s="5"/>
      <c r="L397" s="5"/>
      <c r="M397" s="8"/>
      <c r="N397" s="5"/>
      <c r="O397" s="5"/>
      <c r="P397" s="5"/>
    </row>
    <row r="398" spans="1:16" ht="27" customHeight="1">
      <c r="A398" s="5"/>
      <c r="B398" s="5"/>
      <c r="C398" s="5"/>
      <c r="D398" s="7"/>
      <c r="E398" s="6"/>
      <c r="F398" s="5"/>
      <c r="G398" s="5"/>
      <c r="H398" s="127"/>
      <c r="I398" s="5"/>
      <c r="J398" s="6"/>
      <c r="K398" s="5"/>
      <c r="L398" s="5"/>
      <c r="M398" s="8"/>
      <c r="N398" s="5"/>
      <c r="O398" s="5"/>
      <c r="P398" s="5"/>
    </row>
    <row r="399" spans="1:16" ht="27" customHeight="1">
      <c r="A399" s="5"/>
      <c r="B399" s="5"/>
      <c r="C399" s="5"/>
      <c r="D399" s="7"/>
      <c r="E399" s="6"/>
      <c r="F399" s="5"/>
      <c r="G399" s="5"/>
      <c r="H399" s="127"/>
      <c r="I399" s="5"/>
      <c r="J399" s="6"/>
      <c r="K399" s="5"/>
      <c r="L399" s="5"/>
      <c r="M399" s="8"/>
      <c r="N399" s="5"/>
      <c r="O399" s="5"/>
      <c r="P399" s="5"/>
    </row>
    <row r="400" spans="1:16" ht="27" customHeight="1">
      <c r="A400" s="5"/>
      <c r="B400" s="5"/>
      <c r="C400" s="5"/>
      <c r="D400" s="7"/>
      <c r="E400" s="6"/>
      <c r="F400" s="5"/>
      <c r="G400" s="5"/>
      <c r="H400" s="127"/>
      <c r="I400" s="5"/>
      <c r="J400" s="6"/>
      <c r="K400" s="5"/>
      <c r="L400" s="5"/>
      <c r="M400" s="8"/>
      <c r="N400" s="5"/>
      <c r="O400" s="5"/>
      <c r="P400" s="5"/>
    </row>
    <row r="401" spans="1:16" ht="27" customHeight="1">
      <c r="A401" s="5"/>
      <c r="B401" s="5"/>
      <c r="C401" s="5"/>
      <c r="D401" s="7"/>
      <c r="E401" s="6"/>
      <c r="F401" s="5"/>
      <c r="G401" s="5"/>
      <c r="H401" s="127"/>
      <c r="I401" s="5"/>
      <c r="J401" s="6"/>
      <c r="K401" s="5"/>
      <c r="L401" s="5"/>
      <c r="M401" s="8"/>
      <c r="N401" s="5"/>
      <c r="O401" s="5"/>
      <c r="P401" s="5"/>
    </row>
    <row r="402" spans="1:16" ht="27" customHeight="1">
      <c r="A402" s="5"/>
      <c r="B402" s="5"/>
      <c r="C402" s="5"/>
      <c r="D402" s="7"/>
      <c r="E402" s="6"/>
      <c r="F402" s="5"/>
      <c r="G402" s="5"/>
      <c r="H402" s="127"/>
      <c r="I402" s="5"/>
      <c r="J402" s="6"/>
      <c r="K402" s="5"/>
      <c r="L402" s="5"/>
      <c r="M402" s="8"/>
      <c r="N402" s="5"/>
      <c r="O402" s="5"/>
      <c r="P402" s="5"/>
    </row>
    <row r="403" spans="1:16" ht="27" customHeight="1">
      <c r="A403" s="5"/>
      <c r="B403" s="5"/>
      <c r="C403" s="5"/>
      <c r="D403" s="7"/>
      <c r="E403" s="6"/>
      <c r="F403" s="5"/>
      <c r="G403" s="5"/>
      <c r="H403" s="127"/>
      <c r="I403" s="5"/>
      <c r="J403" s="6"/>
      <c r="K403" s="5"/>
      <c r="L403" s="5"/>
      <c r="M403" s="8"/>
      <c r="N403" s="5"/>
      <c r="O403" s="5"/>
      <c r="P403" s="5"/>
    </row>
    <row r="404" spans="1:16" ht="27" customHeight="1">
      <c r="A404" s="5"/>
      <c r="B404" s="5"/>
      <c r="C404" s="5"/>
      <c r="D404" s="7"/>
      <c r="E404" s="6"/>
      <c r="F404" s="5"/>
      <c r="G404" s="5"/>
      <c r="H404" s="127"/>
      <c r="I404" s="5"/>
      <c r="J404" s="6"/>
      <c r="K404" s="5"/>
      <c r="L404" s="5"/>
      <c r="M404" s="8"/>
      <c r="N404" s="5"/>
      <c r="O404" s="5"/>
      <c r="P404" s="5"/>
    </row>
    <row r="405" spans="1:16" ht="27" customHeight="1">
      <c r="A405" s="5"/>
      <c r="B405" s="5"/>
      <c r="C405" s="5"/>
      <c r="D405" s="7"/>
      <c r="E405" s="6"/>
      <c r="F405" s="5"/>
      <c r="G405" s="5"/>
      <c r="H405" s="127"/>
      <c r="I405" s="5"/>
      <c r="J405" s="6"/>
      <c r="K405" s="5"/>
      <c r="L405" s="5"/>
      <c r="M405" s="8"/>
      <c r="N405" s="5"/>
      <c r="O405" s="5"/>
      <c r="P405" s="5"/>
    </row>
    <row r="406" spans="1:16" ht="27" customHeight="1">
      <c r="A406" s="5"/>
      <c r="B406" s="5"/>
      <c r="C406" s="5"/>
      <c r="D406" s="7"/>
      <c r="E406" s="6"/>
      <c r="F406" s="5"/>
      <c r="G406" s="5"/>
      <c r="H406" s="127"/>
      <c r="I406" s="5"/>
      <c r="J406" s="6"/>
      <c r="K406" s="5"/>
      <c r="L406" s="5"/>
      <c r="M406" s="8"/>
      <c r="N406" s="5"/>
      <c r="O406" s="5"/>
      <c r="P406" s="5"/>
    </row>
    <row r="407" spans="1:16" ht="27" customHeight="1">
      <c r="A407" s="5"/>
      <c r="B407" s="5"/>
      <c r="C407" s="5"/>
      <c r="D407" s="7"/>
      <c r="E407" s="6"/>
      <c r="F407" s="5"/>
      <c r="G407" s="5"/>
      <c r="H407" s="127"/>
      <c r="I407" s="5"/>
      <c r="J407" s="6"/>
      <c r="K407" s="5"/>
      <c r="L407" s="5"/>
      <c r="M407" s="8"/>
      <c r="N407" s="5"/>
      <c r="O407" s="5"/>
      <c r="P407" s="5"/>
    </row>
    <row r="408" spans="1:16" ht="27" customHeight="1">
      <c r="A408" s="5"/>
      <c r="B408" s="5"/>
      <c r="C408" s="5"/>
      <c r="D408" s="7"/>
      <c r="E408" s="6"/>
      <c r="F408" s="5"/>
      <c r="G408" s="5"/>
      <c r="H408" s="127"/>
      <c r="I408" s="5"/>
      <c r="J408" s="6"/>
      <c r="K408" s="5"/>
      <c r="L408" s="5"/>
      <c r="M408" s="8"/>
      <c r="N408" s="5"/>
      <c r="O408" s="5"/>
      <c r="P408" s="5"/>
    </row>
    <row r="409" spans="1:16" ht="27" customHeight="1">
      <c r="A409" s="5"/>
      <c r="B409" s="5"/>
      <c r="C409" s="5"/>
      <c r="D409" s="7"/>
      <c r="E409" s="6"/>
      <c r="F409" s="5"/>
      <c r="G409" s="5"/>
      <c r="H409" s="127"/>
      <c r="I409" s="5"/>
      <c r="J409" s="6"/>
      <c r="K409" s="5"/>
      <c r="L409" s="5"/>
      <c r="M409" s="8"/>
      <c r="N409" s="5"/>
      <c r="O409" s="5"/>
      <c r="P409" s="5"/>
    </row>
    <row r="410" spans="1:16" ht="27" customHeight="1">
      <c r="A410" s="5"/>
      <c r="B410" s="5"/>
      <c r="C410" s="5"/>
      <c r="D410" s="7"/>
      <c r="E410" s="6"/>
      <c r="F410" s="5"/>
      <c r="G410" s="5"/>
      <c r="H410" s="127"/>
      <c r="I410" s="5"/>
      <c r="J410" s="6"/>
      <c r="K410" s="5"/>
      <c r="L410" s="5"/>
      <c r="M410" s="8"/>
      <c r="N410" s="5"/>
      <c r="O410" s="5"/>
      <c r="P410" s="5"/>
    </row>
    <row r="411" spans="1:16" ht="27" customHeight="1">
      <c r="A411" s="5"/>
      <c r="B411" s="5"/>
      <c r="C411" s="5"/>
      <c r="D411" s="7"/>
      <c r="E411" s="6"/>
      <c r="F411" s="5"/>
      <c r="G411" s="5"/>
      <c r="H411" s="127"/>
      <c r="I411" s="5"/>
      <c r="J411" s="6"/>
      <c r="K411" s="5"/>
      <c r="L411" s="5"/>
      <c r="M411" s="8"/>
      <c r="N411" s="5"/>
      <c r="O411" s="5"/>
      <c r="P411" s="5"/>
    </row>
    <row r="412" spans="1:16" ht="27" customHeight="1">
      <c r="A412" s="5"/>
      <c r="B412" s="5"/>
      <c r="C412" s="5"/>
      <c r="D412" s="7"/>
      <c r="E412" s="6"/>
      <c r="F412" s="5"/>
      <c r="G412" s="5"/>
      <c r="H412" s="127"/>
      <c r="I412" s="5"/>
      <c r="J412" s="6"/>
      <c r="K412" s="5"/>
      <c r="L412" s="5"/>
      <c r="M412" s="8"/>
      <c r="N412" s="5"/>
      <c r="O412" s="5"/>
      <c r="P412" s="5"/>
    </row>
    <row r="413" spans="1:16" ht="27" customHeight="1">
      <c r="A413" s="5"/>
      <c r="B413" s="5"/>
      <c r="C413" s="5"/>
      <c r="D413" s="7"/>
      <c r="E413" s="6"/>
      <c r="F413" s="5"/>
      <c r="G413" s="5"/>
      <c r="H413" s="127"/>
      <c r="I413" s="5"/>
      <c r="J413" s="6"/>
      <c r="K413" s="5"/>
      <c r="L413" s="5"/>
      <c r="M413" s="8"/>
      <c r="N413" s="5"/>
      <c r="O413" s="5"/>
      <c r="P413" s="5"/>
    </row>
    <row r="414" spans="1:16" ht="27" customHeight="1">
      <c r="A414" s="5"/>
      <c r="B414" s="5"/>
      <c r="C414" s="5"/>
      <c r="D414" s="7"/>
      <c r="E414" s="6"/>
      <c r="F414" s="5"/>
      <c r="G414" s="5"/>
      <c r="H414" s="127"/>
      <c r="I414" s="5"/>
      <c r="J414" s="6"/>
      <c r="K414" s="5"/>
      <c r="L414" s="5"/>
      <c r="M414" s="8"/>
      <c r="N414" s="5"/>
      <c r="O414" s="5"/>
      <c r="P414" s="5"/>
    </row>
    <row r="415" spans="1:16" ht="27" customHeight="1">
      <c r="A415" s="5"/>
      <c r="B415" s="5"/>
      <c r="C415" s="5"/>
      <c r="D415" s="7"/>
      <c r="E415" s="6"/>
      <c r="F415" s="5"/>
      <c r="G415" s="5"/>
      <c r="H415" s="127"/>
      <c r="I415" s="5"/>
      <c r="J415" s="6"/>
      <c r="K415" s="5"/>
      <c r="L415" s="5"/>
      <c r="M415" s="8"/>
      <c r="N415" s="5"/>
      <c r="O415" s="5"/>
      <c r="P415" s="5"/>
    </row>
    <row r="416" spans="1:16" ht="27" customHeight="1">
      <c r="A416" s="5"/>
      <c r="B416" s="5"/>
      <c r="C416" s="5"/>
      <c r="D416" s="7"/>
      <c r="E416" s="6"/>
      <c r="F416" s="5"/>
      <c r="G416" s="5"/>
      <c r="H416" s="127"/>
      <c r="I416" s="5"/>
      <c r="J416" s="6"/>
      <c r="K416" s="5"/>
      <c r="L416" s="5"/>
      <c r="M416" s="8"/>
      <c r="N416" s="5"/>
      <c r="O416" s="5"/>
      <c r="P416" s="5"/>
    </row>
    <row r="417" spans="1:16" ht="27" customHeight="1">
      <c r="A417" s="5"/>
      <c r="B417" s="5"/>
      <c r="C417" s="5"/>
      <c r="D417" s="7"/>
      <c r="E417" s="6"/>
      <c r="F417" s="5"/>
      <c r="G417" s="5"/>
      <c r="H417" s="127"/>
      <c r="I417" s="5"/>
      <c r="J417" s="6"/>
      <c r="K417" s="5"/>
      <c r="L417" s="5"/>
      <c r="M417" s="8"/>
      <c r="N417" s="5"/>
      <c r="O417" s="5"/>
      <c r="P417" s="5"/>
    </row>
    <row r="418" spans="1:16" ht="27" customHeight="1">
      <c r="A418" s="5"/>
      <c r="B418" s="5"/>
      <c r="C418" s="5"/>
      <c r="D418" s="7"/>
      <c r="E418" s="6"/>
      <c r="F418" s="5"/>
      <c r="G418" s="5"/>
      <c r="H418" s="127"/>
      <c r="I418" s="5"/>
      <c r="J418" s="6"/>
      <c r="K418" s="5"/>
      <c r="L418" s="5"/>
      <c r="M418" s="8"/>
      <c r="N418" s="5"/>
      <c r="O418" s="5"/>
      <c r="P418" s="5"/>
    </row>
    <row r="419" spans="1:16" ht="27" customHeight="1">
      <c r="A419" s="5"/>
      <c r="B419" s="5"/>
      <c r="C419" s="5"/>
      <c r="D419" s="7"/>
      <c r="E419" s="6"/>
      <c r="F419" s="5"/>
      <c r="G419" s="5"/>
      <c r="H419" s="127"/>
      <c r="I419" s="5"/>
      <c r="J419" s="6"/>
      <c r="K419" s="5"/>
      <c r="L419" s="5"/>
      <c r="M419" s="8"/>
      <c r="N419" s="5"/>
      <c r="O419" s="5"/>
      <c r="P419" s="5"/>
    </row>
    <row r="420" spans="1:16" ht="27" customHeight="1">
      <c r="A420" s="5"/>
      <c r="B420" s="5"/>
      <c r="C420" s="5"/>
      <c r="D420" s="7"/>
      <c r="E420" s="6"/>
      <c r="F420" s="5"/>
      <c r="G420" s="5"/>
      <c r="H420" s="127"/>
      <c r="I420" s="5"/>
      <c r="J420" s="6"/>
      <c r="K420" s="5"/>
      <c r="L420" s="5"/>
      <c r="M420" s="8"/>
      <c r="N420" s="5"/>
      <c r="O420" s="5"/>
      <c r="P420" s="5"/>
    </row>
    <row r="421" spans="1:16" ht="27" customHeight="1">
      <c r="A421" s="5"/>
      <c r="B421" s="5"/>
      <c r="C421" s="5"/>
      <c r="D421" s="7"/>
      <c r="E421" s="6"/>
      <c r="F421" s="5"/>
      <c r="G421" s="5"/>
      <c r="H421" s="127"/>
      <c r="I421" s="5"/>
      <c r="J421" s="6"/>
      <c r="K421" s="5"/>
      <c r="L421" s="5"/>
      <c r="M421" s="8"/>
      <c r="N421" s="5"/>
      <c r="O421" s="5"/>
      <c r="P421" s="5"/>
    </row>
    <row r="422" spans="1:16" ht="27" customHeight="1">
      <c r="A422" s="5"/>
      <c r="B422" s="5"/>
      <c r="C422" s="5"/>
      <c r="D422" s="7"/>
      <c r="E422" s="6"/>
      <c r="F422" s="5"/>
      <c r="G422" s="5"/>
      <c r="H422" s="127"/>
      <c r="I422" s="5"/>
      <c r="J422" s="6"/>
      <c r="K422" s="5"/>
      <c r="L422" s="5"/>
      <c r="M422" s="8"/>
      <c r="N422" s="5"/>
      <c r="O422" s="5"/>
      <c r="P422" s="5"/>
    </row>
    <row r="423" spans="1:16" ht="27" customHeight="1">
      <c r="A423" s="5"/>
      <c r="B423" s="5"/>
      <c r="C423" s="5"/>
      <c r="D423" s="7"/>
      <c r="E423" s="6"/>
      <c r="F423" s="5"/>
      <c r="G423" s="5"/>
      <c r="H423" s="127"/>
      <c r="I423" s="5"/>
      <c r="J423" s="6"/>
      <c r="K423" s="5"/>
      <c r="L423" s="5"/>
      <c r="M423" s="8"/>
      <c r="N423" s="5"/>
      <c r="O423" s="5"/>
      <c r="P423" s="5"/>
    </row>
    <row r="424" spans="1:16" ht="27" customHeight="1">
      <c r="A424" s="5"/>
      <c r="B424" s="5"/>
      <c r="C424" s="5"/>
      <c r="D424" s="7"/>
      <c r="E424" s="6"/>
      <c r="F424" s="5"/>
      <c r="G424" s="5"/>
      <c r="H424" s="127"/>
      <c r="I424" s="5"/>
      <c r="J424" s="6"/>
      <c r="K424" s="5"/>
      <c r="L424" s="5"/>
      <c r="M424" s="8"/>
      <c r="N424" s="5"/>
      <c r="O424" s="5"/>
      <c r="P424" s="5"/>
    </row>
    <row r="425" spans="1:16" ht="27" customHeight="1">
      <c r="A425" s="5"/>
      <c r="B425" s="5"/>
      <c r="C425" s="5"/>
      <c r="D425" s="7"/>
      <c r="E425" s="6"/>
      <c r="F425" s="5"/>
      <c r="G425" s="5"/>
      <c r="H425" s="127"/>
      <c r="I425" s="5"/>
      <c r="J425" s="6"/>
      <c r="K425" s="5"/>
      <c r="L425" s="5"/>
      <c r="M425" s="8"/>
      <c r="N425" s="5"/>
      <c r="O425" s="5"/>
      <c r="P425" s="5"/>
    </row>
    <row r="426" spans="1:16" ht="27" customHeight="1">
      <c r="A426" s="5"/>
      <c r="B426" s="5"/>
      <c r="C426" s="5"/>
      <c r="D426" s="7"/>
      <c r="E426" s="6"/>
      <c r="F426" s="5"/>
      <c r="G426" s="5"/>
      <c r="H426" s="127"/>
      <c r="I426" s="5"/>
      <c r="J426" s="6"/>
      <c r="K426" s="5"/>
      <c r="L426" s="5"/>
      <c r="M426" s="8"/>
      <c r="N426" s="5"/>
      <c r="O426" s="5"/>
      <c r="P426" s="5"/>
    </row>
    <row r="427" spans="1:16" ht="27" customHeight="1">
      <c r="A427" s="5"/>
      <c r="B427" s="5"/>
      <c r="C427" s="5"/>
      <c r="D427" s="7"/>
      <c r="E427" s="6"/>
      <c r="F427" s="5"/>
      <c r="G427" s="5"/>
      <c r="H427" s="127"/>
      <c r="I427" s="5"/>
      <c r="J427" s="6"/>
      <c r="K427" s="5"/>
      <c r="L427" s="5"/>
      <c r="M427" s="8"/>
      <c r="N427" s="5"/>
      <c r="O427" s="5"/>
      <c r="P427" s="5"/>
    </row>
    <row r="428" spans="1:16" ht="27" customHeight="1">
      <c r="A428" s="5"/>
      <c r="B428" s="5"/>
      <c r="C428" s="5"/>
      <c r="D428" s="7"/>
      <c r="E428" s="6"/>
      <c r="F428" s="5"/>
      <c r="G428" s="5"/>
      <c r="H428" s="127"/>
      <c r="I428" s="5"/>
      <c r="J428" s="6"/>
      <c r="K428" s="5"/>
      <c r="L428" s="5"/>
      <c r="M428" s="8"/>
      <c r="N428" s="5"/>
      <c r="O428" s="5"/>
      <c r="P428" s="5"/>
    </row>
    <row r="429" spans="1:16" ht="27" customHeight="1">
      <c r="A429" s="5"/>
      <c r="B429" s="5"/>
      <c r="C429" s="5"/>
      <c r="D429" s="7"/>
      <c r="E429" s="6"/>
      <c r="F429" s="5"/>
      <c r="G429" s="5"/>
      <c r="H429" s="127"/>
      <c r="I429" s="5"/>
      <c r="J429" s="6"/>
      <c r="K429" s="5"/>
      <c r="L429" s="5"/>
      <c r="M429" s="8"/>
      <c r="N429" s="5"/>
      <c r="O429" s="5"/>
      <c r="P429" s="5"/>
    </row>
    <row r="430" spans="1:16" ht="27" customHeight="1">
      <c r="A430" s="5"/>
      <c r="B430" s="5"/>
      <c r="C430" s="5"/>
      <c r="D430" s="7"/>
      <c r="E430" s="6"/>
      <c r="F430" s="5"/>
      <c r="G430" s="5"/>
      <c r="H430" s="127"/>
      <c r="I430" s="5"/>
      <c r="J430" s="6"/>
      <c r="K430" s="5"/>
      <c r="L430" s="5"/>
      <c r="M430" s="8"/>
      <c r="N430" s="5"/>
      <c r="O430" s="5"/>
      <c r="P430" s="5"/>
    </row>
    <row r="431" spans="1:16" ht="27" customHeight="1">
      <c r="A431" s="5"/>
      <c r="B431" s="5"/>
      <c r="C431" s="5"/>
      <c r="D431" s="7"/>
      <c r="E431" s="6"/>
      <c r="F431" s="5"/>
      <c r="G431" s="5"/>
      <c r="H431" s="127"/>
      <c r="I431" s="5"/>
      <c r="J431" s="6"/>
      <c r="K431" s="5"/>
      <c r="L431" s="5"/>
      <c r="M431" s="8"/>
      <c r="N431" s="5"/>
      <c r="O431" s="5"/>
      <c r="P431" s="5"/>
    </row>
    <row r="432" spans="1:16" ht="27" customHeight="1">
      <c r="A432" s="5"/>
      <c r="B432" s="5"/>
      <c r="C432" s="5"/>
      <c r="D432" s="7"/>
      <c r="E432" s="6"/>
      <c r="F432" s="5"/>
      <c r="G432" s="5"/>
      <c r="H432" s="127"/>
      <c r="I432" s="5"/>
      <c r="J432" s="6"/>
      <c r="K432" s="5"/>
      <c r="L432" s="5"/>
      <c r="M432" s="8"/>
      <c r="N432" s="5"/>
      <c r="O432" s="5"/>
      <c r="P432" s="5"/>
    </row>
    <row r="433" spans="1:16" ht="27" customHeight="1">
      <c r="A433" s="5"/>
      <c r="B433" s="5"/>
      <c r="C433" s="5"/>
      <c r="D433" s="7"/>
      <c r="E433" s="6"/>
      <c r="F433" s="5"/>
      <c r="G433" s="5"/>
      <c r="H433" s="127"/>
      <c r="I433" s="5"/>
      <c r="J433" s="6"/>
      <c r="K433" s="5"/>
      <c r="L433" s="5"/>
      <c r="M433" s="8"/>
      <c r="N433" s="5"/>
      <c r="O433" s="5"/>
      <c r="P433" s="5"/>
    </row>
    <row r="434" spans="1:16" ht="27" customHeight="1">
      <c r="A434" s="5"/>
      <c r="B434" s="5"/>
      <c r="C434" s="5"/>
      <c r="D434" s="7"/>
      <c r="E434" s="6"/>
      <c r="F434" s="5"/>
      <c r="G434" s="5"/>
      <c r="H434" s="127"/>
      <c r="I434" s="5"/>
      <c r="J434" s="6"/>
      <c r="K434" s="5"/>
      <c r="L434" s="5"/>
      <c r="M434" s="8"/>
      <c r="N434" s="5"/>
      <c r="O434" s="5"/>
      <c r="P434" s="5"/>
    </row>
    <row r="435" spans="1:16" ht="27" customHeight="1">
      <c r="A435" s="5"/>
      <c r="B435" s="5"/>
      <c r="C435" s="5"/>
      <c r="D435" s="7"/>
      <c r="E435" s="6"/>
      <c r="F435" s="5"/>
      <c r="G435" s="5"/>
      <c r="H435" s="127"/>
      <c r="I435" s="5"/>
      <c r="J435" s="6"/>
      <c r="K435" s="5"/>
      <c r="L435" s="5"/>
      <c r="M435" s="8"/>
      <c r="N435" s="5"/>
      <c r="O435" s="5"/>
      <c r="P435" s="5"/>
    </row>
    <row r="436" spans="1:16" ht="27" customHeight="1">
      <c r="A436" s="5"/>
      <c r="B436" s="5"/>
      <c r="C436" s="5"/>
      <c r="D436" s="7"/>
      <c r="E436" s="6"/>
      <c r="F436" s="5"/>
      <c r="G436" s="5"/>
      <c r="H436" s="127"/>
      <c r="I436" s="5"/>
      <c r="J436" s="6"/>
      <c r="K436" s="5"/>
      <c r="L436" s="5"/>
      <c r="M436" s="8"/>
      <c r="N436" s="5"/>
      <c r="O436" s="5"/>
      <c r="P436" s="5"/>
    </row>
    <row r="437" spans="1:16" ht="27" customHeight="1">
      <c r="A437" s="5"/>
      <c r="B437" s="5"/>
      <c r="C437" s="5"/>
      <c r="D437" s="7"/>
      <c r="E437" s="6"/>
      <c r="F437" s="5"/>
      <c r="G437" s="5"/>
      <c r="H437" s="127"/>
      <c r="I437" s="5"/>
      <c r="J437" s="6"/>
      <c r="K437" s="5"/>
      <c r="L437" s="5"/>
      <c r="M437" s="8"/>
      <c r="N437" s="5"/>
      <c r="O437" s="5"/>
      <c r="P437" s="5"/>
    </row>
    <row r="438" spans="1:16" ht="27" customHeight="1">
      <c r="A438" s="5"/>
      <c r="B438" s="5"/>
      <c r="C438" s="5"/>
      <c r="D438" s="7"/>
      <c r="E438" s="6"/>
      <c r="F438" s="5"/>
      <c r="G438" s="5"/>
      <c r="H438" s="127"/>
      <c r="I438" s="5"/>
      <c r="J438" s="6"/>
      <c r="K438" s="5"/>
      <c r="L438" s="5"/>
      <c r="M438" s="8"/>
      <c r="N438" s="5"/>
      <c r="O438" s="5"/>
      <c r="P438" s="5"/>
    </row>
    <row r="439" spans="1:16" ht="27" customHeight="1">
      <c r="A439" s="5"/>
      <c r="B439" s="5"/>
      <c r="C439" s="5"/>
      <c r="D439" s="7"/>
      <c r="E439" s="6"/>
      <c r="F439" s="5"/>
      <c r="G439" s="5"/>
      <c r="H439" s="127"/>
      <c r="I439" s="5"/>
      <c r="J439" s="6"/>
      <c r="K439" s="5"/>
      <c r="L439" s="5"/>
      <c r="M439" s="8"/>
      <c r="N439" s="5"/>
      <c r="O439" s="5"/>
      <c r="P439" s="5"/>
    </row>
    <row r="440" spans="1:16" ht="27" customHeight="1">
      <c r="A440" s="5"/>
      <c r="B440" s="5"/>
      <c r="C440" s="5"/>
      <c r="D440" s="7"/>
      <c r="E440" s="6"/>
      <c r="F440" s="5"/>
      <c r="G440" s="5"/>
      <c r="H440" s="127"/>
      <c r="I440" s="5"/>
      <c r="J440" s="6"/>
      <c r="K440" s="5"/>
      <c r="L440" s="5"/>
      <c r="M440" s="8"/>
      <c r="N440" s="5"/>
      <c r="O440" s="5"/>
      <c r="P440" s="5"/>
    </row>
    <row r="441" spans="1:16" ht="27" customHeight="1">
      <c r="A441" s="5"/>
      <c r="B441" s="5"/>
      <c r="C441" s="5"/>
      <c r="D441" s="7"/>
      <c r="E441" s="6"/>
      <c r="F441" s="5"/>
      <c r="G441" s="5"/>
      <c r="H441" s="127"/>
      <c r="I441" s="5"/>
      <c r="J441" s="6"/>
      <c r="K441" s="5"/>
      <c r="L441" s="5"/>
      <c r="M441" s="8"/>
      <c r="N441" s="5"/>
      <c r="O441" s="5"/>
      <c r="P441" s="5"/>
    </row>
    <row r="442" spans="1:16" ht="27" customHeight="1">
      <c r="A442" s="5"/>
      <c r="B442" s="5"/>
      <c r="C442" s="5"/>
      <c r="D442" s="7"/>
      <c r="E442" s="6"/>
      <c r="F442" s="5"/>
      <c r="G442" s="5"/>
      <c r="H442" s="127"/>
      <c r="I442" s="5"/>
      <c r="J442" s="6"/>
      <c r="K442" s="5"/>
      <c r="L442" s="5"/>
      <c r="M442" s="8"/>
      <c r="N442" s="5"/>
      <c r="O442" s="5"/>
      <c r="P442" s="5"/>
    </row>
    <row r="443" spans="1:16" ht="27" customHeight="1">
      <c r="A443" s="5"/>
      <c r="B443" s="5"/>
      <c r="C443" s="5"/>
      <c r="D443" s="7"/>
      <c r="E443" s="6"/>
      <c r="F443" s="5"/>
      <c r="G443" s="5"/>
      <c r="H443" s="127"/>
      <c r="I443" s="5"/>
      <c r="J443" s="6"/>
      <c r="K443" s="5"/>
      <c r="L443" s="5"/>
      <c r="M443" s="8"/>
      <c r="N443" s="5"/>
      <c r="O443" s="5"/>
      <c r="P443" s="5"/>
    </row>
    <row r="444" spans="1:16" ht="27" customHeight="1">
      <c r="A444" s="5"/>
      <c r="B444" s="5"/>
      <c r="C444" s="5"/>
      <c r="D444" s="7"/>
      <c r="E444" s="6"/>
      <c r="F444" s="5"/>
      <c r="G444" s="5"/>
      <c r="H444" s="127"/>
      <c r="I444" s="5"/>
      <c r="J444" s="6"/>
      <c r="K444" s="5"/>
      <c r="L444" s="5"/>
      <c r="M444" s="8"/>
      <c r="N444" s="5"/>
      <c r="O444" s="5"/>
      <c r="P444" s="5"/>
    </row>
    <row r="445" spans="1:16" ht="27" customHeight="1">
      <c r="A445" s="5"/>
      <c r="B445" s="5"/>
      <c r="C445" s="5"/>
      <c r="D445" s="7"/>
      <c r="E445" s="6"/>
      <c r="F445" s="5"/>
      <c r="G445" s="5"/>
      <c r="H445" s="127"/>
      <c r="I445" s="5"/>
      <c r="J445" s="6"/>
      <c r="K445" s="5"/>
      <c r="L445" s="5"/>
      <c r="M445" s="8"/>
      <c r="N445" s="5"/>
      <c r="O445" s="5"/>
      <c r="P445" s="5"/>
    </row>
    <row r="446" spans="1:16" ht="27" customHeight="1">
      <c r="A446" s="5"/>
      <c r="B446" s="5"/>
      <c r="C446" s="5"/>
      <c r="D446" s="7"/>
      <c r="E446" s="6"/>
      <c r="F446" s="5"/>
      <c r="G446" s="5"/>
      <c r="H446" s="127"/>
      <c r="I446" s="5"/>
      <c r="J446" s="6"/>
      <c r="K446" s="5"/>
      <c r="L446" s="5"/>
      <c r="M446" s="8"/>
      <c r="N446" s="5"/>
      <c r="O446" s="5"/>
      <c r="P446" s="5"/>
    </row>
    <row r="447" spans="1:16" ht="27" customHeight="1">
      <c r="A447" s="5"/>
      <c r="B447" s="5"/>
      <c r="C447" s="5"/>
      <c r="D447" s="7"/>
      <c r="E447" s="6"/>
      <c r="F447" s="5"/>
      <c r="G447" s="5"/>
      <c r="H447" s="127"/>
      <c r="I447" s="5"/>
      <c r="J447" s="6"/>
      <c r="K447" s="5"/>
      <c r="L447" s="5"/>
      <c r="M447" s="8"/>
      <c r="N447" s="5"/>
      <c r="O447" s="5"/>
      <c r="P447" s="5"/>
    </row>
    <row r="448" spans="1:16" ht="27" customHeight="1">
      <c r="A448" s="5"/>
      <c r="B448" s="5"/>
      <c r="C448" s="5"/>
      <c r="D448" s="7"/>
      <c r="E448" s="6"/>
      <c r="F448" s="5"/>
      <c r="G448" s="5"/>
      <c r="H448" s="127"/>
      <c r="I448" s="5"/>
      <c r="J448" s="6"/>
      <c r="K448" s="5"/>
      <c r="L448" s="5"/>
      <c r="M448" s="8"/>
      <c r="N448" s="5"/>
      <c r="O448" s="5"/>
      <c r="P448" s="5"/>
    </row>
    <row r="449" spans="1:16" ht="27" customHeight="1">
      <c r="A449" s="5"/>
      <c r="B449" s="5"/>
      <c r="C449" s="5"/>
      <c r="D449" s="7"/>
      <c r="E449" s="6"/>
      <c r="F449" s="5"/>
      <c r="G449" s="5"/>
      <c r="H449" s="127"/>
      <c r="I449" s="5"/>
      <c r="J449" s="6"/>
      <c r="K449" s="5"/>
      <c r="L449" s="5"/>
      <c r="M449" s="8"/>
      <c r="N449" s="5"/>
      <c r="O449" s="5"/>
      <c r="P449" s="5"/>
    </row>
    <row r="450" spans="1:16" ht="27" customHeight="1">
      <c r="A450" s="5"/>
      <c r="B450" s="5"/>
      <c r="C450" s="5"/>
      <c r="D450" s="7"/>
      <c r="E450" s="6"/>
      <c r="F450" s="5"/>
      <c r="G450" s="5"/>
      <c r="H450" s="127"/>
      <c r="I450" s="5"/>
      <c r="J450" s="6"/>
      <c r="K450" s="5"/>
      <c r="L450" s="5"/>
      <c r="M450" s="8"/>
      <c r="N450" s="5"/>
      <c r="O450" s="5"/>
      <c r="P450" s="5"/>
    </row>
    <row r="451" spans="1:16" ht="27" customHeight="1">
      <c r="A451" s="5"/>
      <c r="B451" s="5"/>
      <c r="C451" s="5"/>
      <c r="D451" s="7"/>
      <c r="E451" s="6"/>
      <c r="F451" s="5"/>
      <c r="G451" s="5"/>
      <c r="H451" s="127"/>
      <c r="I451" s="5"/>
      <c r="J451" s="6"/>
      <c r="K451" s="5"/>
      <c r="L451" s="5"/>
      <c r="M451" s="8"/>
      <c r="N451" s="5"/>
      <c r="O451" s="5"/>
      <c r="P451" s="5"/>
    </row>
    <row r="452" spans="1:16" ht="27" customHeight="1">
      <c r="A452" s="5"/>
      <c r="B452" s="5"/>
      <c r="C452" s="5"/>
      <c r="D452" s="7"/>
      <c r="E452" s="6"/>
      <c r="F452" s="5"/>
      <c r="G452" s="5"/>
      <c r="H452" s="127"/>
      <c r="I452" s="5"/>
      <c r="J452" s="6"/>
      <c r="K452" s="5"/>
      <c r="L452" s="5"/>
      <c r="M452" s="8"/>
      <c r="N452" s="5"/>
      <c r="O452" s="5"/>
      <c r="P452" s="5"/>
    </row>
    <row r="453" spans="1:16" ht="27" customHeight="1">
      <c r="A453" s="5"/>
      <c r="B453" s="5"/>
      <c r="C453" s="5"/>
      <c r="D453" s="7"/>
      <c r="E453" s="6"/>
      <c r="F453" s="5"/>
      <c r="G453" s="5"/>
      <c r="H453" s="127"/>
      <c r="I453" s="5"/>
      <c r="J453" s="6"/>
      <c r="K453" s="5"/>
      <c r="L453" s="5"/>
      <c r="M453" s="8"/>
      <c r="N453" s="5"/>
      <c r="O453" s="5"/>
      <c r="P453" s="5"/>
    </row>
    <row r="454" spans="1:16" ht="27" customHeight="1">
      <c r="A454" s="5"/>
      <c r="B454" s="5"/>
      <c r="C454" s="5"/>
      <c r="D454" s="7"/>
      <c r="E454" s="6"/>
      <c r="F454" s="5"/>
      <c r="G454" s="5"/>
      <c r="H454" s="127"/>
      <c r="I454" s="5"/>
      <c r="J454" s="6"/>
      <c r="K454" s="5"/>
      <c r="L454" s="5"/>
      <c r="M454" s="8"/>
      <c r="N454" s="5"/>
      <c r="O454" s="5"/>
      <c r="P454" s="5"/>
    </row>
    <row r="455" spans="1:16" ht="27" customHeight="1">
      <c r="A455" s="5"/>
      <c r="B455" s="5"/>
      <c r="C455" s="5"/>
      <c r="D455" s="7"/>
      <c r="E455" s="6"/>
      <c r="F455" s="5"/>
      <c r="G455" s="5"/>
      <c r="H455" s="127"/>
      <c r="I455" s="5"/>
      <c r="J455" s="6"/>
      <c r="K455" s="5"/>
      <c r="L455" s="5"/>
      <c r="M455" s="8"/>
      <c r="N455" s="5"/>
      <c r="O455" s="5"/>
      <c r="P455" s="5"/>
    </row>
    <row r="456" spans="1:16" ht="27" customHeight="1">
      <c r="A456" s="5"/>
      <c r="B456" s="5"/>
      <c r="C456" s="5"/>
      <c r="D456" s="7"/>
      <c r="E456" s="6"/>
      <c r="F456" s="5"/>
      <c r="G456" s="5"/>
      <c r="H456" s="127"/>
      <c r="I456" s="5"/>
      <c r="J456" s="6"/>
      <c r="K456" s="5"/>
      <c r="L456" s="5"/>
      <c r="M456" s="8"/>
      <c r="N456" s="5"/>
      <c r="O456" s="5"/>
      <c r="P456" s="5"/>
    </row>
    <row r="457" spans="1:16" ht="27" customHeight="1">
      <c r="A457" s="5"/>
      <c r="B457" s="5"/>
      <c r="C457" s="5"/>
      <c r="D457" s="7"/>
      <c r="E457" s="6"/>
      <c r="F457" s="5"/>
      <c r="G457" s="5"/>
      <c r="H457" s="127"/>
      <c r="I457" s="5"/>
      <c r="J457" s="6"/>
      <c r="K457" s="5"/>
      <c r="L457" s="5"/>
      <c r="M457" s="8"/>
      <c r="N457" s="5"/>
      <c r="O457" s="5"/>
      <c r="P457" s="5"/>
    </row>
    <row r="458" spans="1:16" ht="27" customHeight="1">
      <c r="A458" s="5"/>
      <c r="B458" s="5"/>
      <c r="C458" s="5"/>
      <c r="D458" s="7"/>
      <c r="E458" s="6"/>
      <c r="F458" s="5"/>
      <c r="G458" s="5"/>
      <c r="H458" s="127"/>
      <c r="I458" s="5"/>
      <c r="J458" s="6"/>
      <c r="K458" s="5"/>
      <c r="L458" s="5"/>
      <c r="M458" s="8"/>
      <c r="N458" s="5"/>
      <c r="O458" s="5"/>
      <c r="P458" s="5"/>
    </row>
    <row r="459" spans="1:16" ht="27" customHeight="1">
      <c r="A459" s="5"/>
      <c r="B459" s="5"/>
      <c r="C459" s="5"/>
      <c r="D459" s="7"/>
      <c r="E459" s="6"/>
      <c r="F459" s="5"/>
      <c r="G459" s="5"/>
      <c r="H459" s="127"/>
      <c r="I459" s="5"/>
      <c r="J459" s="6"/>
      <c r="K459" s="5"/>
      <c r="L459" s="5"/>
      <c r="M459" s="8"/>
      <c r="N459" s="5"/>
      <c r="O459" s="5"/>
      <c r="P459" s="5"/>
    </row>
    <row r="460" spans="1:16" ht="27" customHeight="1">
      <c r="A460" s="5"/>
      <c r="B460" s="5"/>
      <c r="C460" s="5"/>
      <c r="D460" s="7"/>
      <c r="E460" s="6"/>
      <c r="F460" s="5"/>
      <c r="G460" s="5"/>
      <c r="H460" s="127"/>
      <c r="I460" s="5"/>
      <c r="J460" s="6"/>
      <c r="K460" s="5"/>
      <c r="L460" s="5"/>
      <c r="M460" s="8"/>
      <c r="N460" s="5"/>
      <c r="O460" s="5"/>
      <c r="P460" s="5"/>
    </row>
    <row r="461" spans="1:16" ht="27" customHeight="1">
      <c r="A461" s="5"/>
      <c r="B461" s="5"/>
      <c r="C461" s="5"/>
      <c r="D461" s="7"/>
      <c r="E461" s="6"/>
      <c r="F461" s="5"/>
      <c r="G461" s="5"/>
      <c r="H461" s="127"/>
      <c r="I461" s="5"/>
      <c r="J461" s="6"/>
      <c r="K461" s="5"/>
      <c r="L461" s="5"/>
      <c r="M461" s="8"/>
      <c r="N461" s="5"/>
      <c r="O461" s="5"/>
      <c r="P461" s="5"/>
    </row>
    <row r="462" spans="1:16" ht="27" customHeight="1">
      <c r="A462" s="5"/>
      <c r="B462" s="5"/>
      <c r="C462" s="5"/>
      <c r="D462" s="7"/>
      <c r="E462" s="6"/>
      <c r="F462" s="5"/>
      <c r="G462" s="5"/>
      <c r="H462" s="127"/>
      <c r="I462" s="5"/>
      <c r="J462" s="6"/>
      <c r="K462" s="5"/>
      <c r="L462" s="5"/>
      <c r="M462" s="8"/>
      <c r="N462" s="5"/>
      <c r="O462" s="5"/>
      <c r="P462" s="5"/>
    </row>
    <row r="463" spans="1:16" ht="27" customHeight="1">
      <c r="A463" s="5"/>
      <c r="B463" s="5"/>
      <c r="C463" s="5"/>
      <c r="D463" s="7"/>
      <c r="E463" s="6"/>
      <c r="F463" s="5"/>
      <c r="G463" s="5"/>
      <c r="H463" s="127"/>
      <c r="I463" s="5"/>
      <c r="J463" s="6"/>
      <c r="K463" s="5"/>
      <c r="L463" s="5"/>
      <c r="M463" s="8"/>
      <c r="N463" s="5"/>
      <c r="O463" s="5"/>
      <c r="P463" s="5"/>
    </row>
    <row r="464" spans="1:16" ht="27" customHeight="1">
      <c r="A464" s="5"/>
      <c r="B464" s="5"/>
      <c r="C464" s="5"/>
      <c r="D464" s="7"/>
      <c r="E464" s="6"/>
      <c r="F464" s="5"/>
      <c r="G464" s="5"/>
      <c r="H464" s="127"/>
      <c r="I464" s="5"/>
      <c r="J464" s="6"/>
      <c r="K464" s="5"/>
      <c r="L464" s="5"/>
      <c r="M464" s="8"/>
      <c r="N464" s="5"/>
      <c r="O464" s="5"/>
      <c r="P464" s="5"/>
    </row>
    <row r="465" spans="1:16" ht="27" customHeight="1">
      <c r="A465" s="5"/>
      <c r="B465" s="5"/>
      <c r="C465" s="5"/>
      <c r="D465" s="7"/>
      <c r="E465" s="6"/>
      <c r="F465" s="5"/>
      <c r="G465" s="5"/>
      <c r="H465" s="127"/>
      <c r="I465" s="5"/>
      <c r="J465" s="6"/>
      <c r="K465" s="5"/>
      <c r="L465" s="5"/>
      <c r="M465" s="8"/>
      <c r="N465" s="5"/>
      <c r="O465" s="5"/>
      <c r="P465" s="5"/>
    </row>
    <row r="466" spans="1:16" ht="27" customHeight="1">
      <c r="A466" s="5"/>
      <c r="B466" s="5"/>
      <c r="C466" s="5"/>
      <c r="D466" s="7"/>
      <c r="E466" s="6"/>
      <c r="F466" s="5"/>
      <c r="G466" s="5"/>
      <c r="H466" s="127"/>
      <c r="I466" s="5"/>
      <c r="J466" s="6"/>
      <c r="K466" s="5"/>
      <c r="L466" s="5"/>
      <c r="M466" s="8"/>
      <c r="N466" s="5"/>
      <c r="O466" s="5"/>
      <c r="P466" s="5"/>
    </row>
    <row r="467" spans="1:16" ht="27" customHeight="1">
      <c r="A467" s="5"/>
      <c r="B467" s="5"/>
      <c r="C467" s="5"/>
      <c r="D467" s="7"/>
      <c r="E467" s="6"/>
      <c r="F467" s="5"/>
      <c r="G467" s="5"/>
      <c r="H467" s="127"/>
      <c r="I467" s="5"/>
      <c r="J467" s="6"/>
      <c r="K467" s="5"/>
      <c r="L467" s="5"/>
      <c r="M467" s="8"/>
      <c r="N467" s="5"/>
      <c r="O467" s="5"/>
      <c r="P467" s="5"/>
    </row>
    <row r="468" spans="1:16" ht="27" customHeight="1">
      <c r="A468" s="5"/>
      <c r="B468" s="5"/>
      <c r="C468" s="5"/>
      <c r="D468" s="7"/>
      <c r="E468" s="6"/>
      <c r="F468" s="5"/>
      <c r="G468" s="5"/>
      <c r="H468" s="127"/>
      <c r="I468" s="5"/>
      <c r="J468" s="6"/>
      <c r="K468" s="5"/>
      <c r="L468" s="5"/>
      <c r="M468" s="8"/>
      <c r="N468" s="5"/>
      <c r="O468" s="5"/>
      <c r="P468" s="5"/>
    </row>
    <row r="469" spans="1:16" ht="27" customHeight="1">
      <c r="A469" s="5"/>
      <c r="B469" s="5"/>
      <c r="C469" s="5"/>
      <c r="D469" s="7"/>
      <c r="E469" s="6"/>
      <c r="F469" s="5"/>
      <c r="G469" s="5"/>
      <c r="H469" s="127"/>
      <c r="I469" s="5"/>
      <c r="J469" s="6"/>
      <c r="K469" s="5"/>
      <c r="L469" s="5"/>
      <c r="M469" s="8"/>
      <c r="N469" s="5"/>
      <c r="O469" s="5"/>
      <c r="P469" s="5"/>
    </row>
    <row r="470" spans="1:16" ht="27" customHeight="1">
      <c r="A470" s="5"/>
      <c r="B470" s="5"/>
      <c r="C470" s="5"/>
      <c r="D470" s="7"/>
      <c r="E470" s="6"/>
      <c r="F470" s="5"/>
      <c r="G470" s="5"/>
      <c r="H470" s="127"/>
      <c r="I470" s="5"/>
      <c r="J470" s="6"/>
      <c r="K470" s="5"/>
      <c r="L470" s="5"/>
      <c r="M470" s="8"/>
      <c r="N470" s="5"/>
      <c r="O470" s="5"/>
      <c r="P470" s="5"/>
    </row>
    <row r="471" spans="1:16" ht="27" customHeight="1">
      <c r="A471" s="5"/>
      <c r="B471" s="5"/>
      <c r="C471" s="5"/>
      <c r="D471" s="7"/>
      <c r="E471" s="6"/>
      <c r="F471" s="5"/>
      <c r="G471" s="5"/>
      <c r="H471" s="127"/>
      <c r="I471" s="5"/>
      <c r="J471" s="6"/>
      <c r="K471" s="5"/>
      <c r="L471" s="5"/>
      <c r="M471" s="8"/>
      <c r="N471" s="5"/>
      <c r="O471" s="5"/>
      <c r="P471" s="5"/>
    </row>
    <row r="472" spans="1:16" ht="27" customHeight="1">
      <c r="A472" s="5"/>
      <c r="B472" s="5"/>
      <c r="C472" s="5"/>
      <c r="D472" s="7"/>
      <c r="E472" s="6"/>
      <c r="F472" s="5"/>
      <c r="G472" s="5"/>
      <c r="H472" s="127"/>
      <c r="I472" s="5"/>
      <c r="J472" s="6"/>
      <c r="K472" s="5"/>
      <c r="L472" s="5"/>
      <c r="M472" s="8"/>
      <c r="N472" s="5"/>
      <c r="O472" s="5"/>
      <c r="P472" s="5"/>
    </row>
    <row r="473" spans="1:16" ht="27" customHeight="1">
      <c r="A473" s="5"/>
      <c r="B473" s="5"/>
      <c r="C473" s="5"/>
      <c r="D473" s="7"/>
      <c r="E473" s="6"/>
      <c r="F473" s="5"/>
      <c r="G473" s="5"/>
      <c r="H473" s="127"/>
      <c r="I473" s="5"/>
      <c r="J473" s="6"/>
      <c r="K473" s="5"/>
      <c r="L473" s="5"/>
      <c r="M473" s="8"/>
      <c r="N473" s="5"/>
      <c r="O473" s="5"/>
      <c r="P473" s="5"/>
    </row>
    <row r="474" spans="1:16" ht="27" customHeight="1">
      <c r="A474" s="5"/>
      <c r="B474" s="5"/>
      <c r="C474" s="5"/>
      <c r="D474" s="7"/>
      <c r="E474" s="6"/>
      <c r="F474" s="5"/>
      <c r="G474" s="5"/>
      <c r="H474" s="127"/>
      <c r="I474" s="5"/>
      <c r="J474" s="6"/>
      <c r="K474" s="5"/>
      <c r="L474" s="5"/>
      <c r="M474" s="8"/>
      <c r="N474" s="5"/>
      <c r="O474" s="5"/>
      <c r="P474" s="5"/>
    </row>
    <row r="475" spans="1:16" ht="27" customHeight="1">
      <c r="A475" s="5"/>
      <c r="B475" s="5"/>
      <c r="C475" s="5"/>
      <c r="D475" s="7"/>
      <c r="E475" s="6"/>
      <c r="F475" s="5"/>
      <c r="G475" s="5"/>
      <c r="H475" s="127"/>
      <c r="I475" s="5"/>
      <c r="J475" s="6"/>
      <c r="K475" s="5"/>
      <c r="L475" s="5"/>
      <c r="M475" s="8"/>
      <c r="N475" s="5"/>
      <c r="O475" s="5"/>
      <c r="P475" s="5"/>
    </row>
    <row r="476" spans="1:16" ht="27" customHeight="1">
      <c r="A476" s="5"/>
      <c r="B476" s="5"/>
      <c r="C476" s="5"/>
      <c r="D476" s="7"/>
      <c r="E476" s="6"/>
      <c r="F476" s="5"/>
      <c r="G476" s="5"/>
      <c r="H476" s="127"/>
      <c r="I476" s="5"/>
      <c r="J476" s="6"/>
      <c r="K476" s="5"/>
      <c r="L476" s="5"/>
      <c r="M476" s="8"/>
      <c r="N476" s="5"/>
      <c r="O476" s="5"/>
      <c r="P476" s="5"/>
    </row>
    <row r="477" spans="1:16" ht="27" customHeight="1">
      <c r="A477" s="5"/>
      <c r="B477" s="5"/>
      <c r="C477" s="5"/>
      <c r="D477" s="7"/>
      <c r="E477" s="6"/>
      <c r="F477" s="5"/>
      <c r="G477" s="5"/>
      <c r="H477" s="127"/>
      <c r="I477" s="5"/>
      <c r="J477" s="6"/>
      <c r="K477" s="5"/>
      <c r="L477" s="5"/>
      <c r="M477" s="8"/>
      <c r="N477" s="5"/>
      <c r="O477" s="5"/>
      <c r="P477" s="5"/>
    </row>
    <row r="478" spans="1:16" ht="27" customHeight="1">
      <c r="A478" s="5"/>
      <c r="B478" s="5"/>
      <c r="C478" s="5"/>
      <c r="D478" s="7"/>
      <c r="E478" s="6"/>
      <c r="F478" s="5"/>
      <c r="G478" s="5"/>
      <c r="H478" s="127"/>
      <c r="I478" s="5"/>
      <c r="J478" s="6"/>
      <c r="K478" s="5"/>
      <c r="L478" s="5"/>
      <c r="M478" s="8"/>
      <c r="N478" s="5"/>
      <c r="O478" s="5"/>
      <c r="P478" s="5"/>
    </row>
    <row r="479" spans="1:16" ht="27" customHeight="1">
      <c r="A479" s="5"/>
      <c r="B479" s="5"/>
      <c r="C479" s="5"/>
      <c r="D479" s="7"/>
      <c r="E479" s="6"/>
      <c r="F479" s="5"/>
      <c r="G479" s="5"/>
      <c r="H479" s="127"/>
      <c r="I479" s="5"/>
      <c r="J479" s="6"/>
      <c r="K479" s="5"/>
      <c r="L479" s="5"/>
      <c r="M479" s="8"/>
      <c r="N479" s="5"/>
      <c r="O479" s="5"/>
      <c r="P479" s="5"/>
    </row>
    <row r="480" spans="1:16" ht="27" customHeight="1">
      <c r="A480" s="5"/>
      <c r="B480" s="5"/>
      <c r="C480" s="5"/>
      <c r="D480" s="7"/>
      <c r="E480" s="6"/>
      <c r="F480" s="5"/>
      <c r="G480" s="5"/>
      <c r="H480" s="127"/>
      <c r="I480" s="5"/>
      <c r="J480" s="6"/>
      <c r="K480" s="5"/>
      <c r="L480" s="5"/>
      <c r="M480" s="8"/>
      <c r="N480" s="5"/>
      <c r="O480" s="5"/>
      <c r="P480" s="5"/>
    </row>
    <row r="481" spans="1:16" ht="27" customHeight="1">
      <c r="A481" s="5"/>
      <c r="B481" s="5"/>
      <c r="C481" s="5"/>
      <c r="D481" s="7"/>
      <c r="E481" s="6"/>
      <c r="F481" s="5"/>
      <c r="G481" s="5"/>
      <c r="H481" s="127"/>
      <c r="I481" s="5"/>
      <c r="J481" s="6"/>
      <c r="K481" s="5"/>
      <c r="L481" s="5"/>
      <c r="M481" s="8"/>
      <c r="N481" s="5"/>
      <c r="O481" s="5"/>
      <c r="P481" s="5"/>
    </row>
    <row r="482" spans="1:16" ht="27" customHeight="1">
      <c r="A482" s="5"/>
      <c r="B482" s="5"/>
      <c r="C482" s="5"/>
      <c r="D482" s="7"/>
      <c r="E482" s="6"/>
      <c r="F482" s="5"/>
      <c r="G482" s="5"/>
      <c r="H482" s="127"/>
      <c r="I482" s="5"/>
      <c r="J482" s="6"/>
      <c r="K482" s="5"/>
      <c r="L482" s="5"/>
      <c r="M482" s="8"/>
      <c r="N482" s="5"/>
      <c r="O482" s="5"/>
      <c r="P482" s="5"/>
    </row>
    <row r="483" spans="1:16" ht="27" customHeight="1">
      <c r="A483" s="5"/>
      <c r="B483" s="5"/>
      <c r="C483" s="5"/>
      <c r="D483" s="7"/>
      <c r="E483" s="6"/>
      <c r="F483" s="5"/>
      <c r="G483" s="5"/>
      <c r="H483" s="127"/>
      <c r="I483" s="5"/>
      <c r="J483" s="6"/>
      <c r="K483" s="5"/>
      <c r="L483" s="5"/>
      <c r="M483" s="8"/>
      <c r="N483" s="5"/>
      <c r="O483" s="5"/>
      <c r="P483" s="5"/>
    </row>
    <row r="484" spans="1:16" ht="27" customHeight="1">
      <c r="A484" s="5"/>
      <c r="B484" s="5"/>
      <c r="C484" s="5"/>
      <c r="D484" s="7"/>
      <c r="E484" s="6"/>
      <c r="F484" s="5"/>
      <c r="G484" s="5"/>
      <c r="H484" s="127"/>
      <c r="I484" s="5"/>
      <c r="J484" s="6"/>
      <c r="K484" s="5"/>
      <c r="L484" s="5"/>
      <c r="M484" s="8"/>
      <c r="N484" s="5"/>
      <c r="O484" s="5"/>
      <c r="P484" s="5"/>
    </row>
    <row r="485" spans="1:16" ht="27" customHeight="1">
      <c r="A485" s="5"/>
      <c r="B485" s="5"/>
      <c r="C485" s="5"/>
      <c r="D485" s="7"/>
      <c r="E485" s="6"/>
      <c r="F485" s="5"/>
      <c r="G485" s="5"/>
      <c r="H485" s="127"/>
      <c r="I485" s="5"/>
      <c r="J485" s="6"/>
      <c r="K485" s="5"/>
      <c r="L485" s="5"/>
      <c r="M485" s="8"/>
      <c r="N485" s="5"/>
      <c r="O485" s="5"/>
      <c r="P485" s="5"/>
    </row>
    <row r="486" spans="1:16" ht="27" customHeight="1">
      <c r="A486" s="5"/>
      <c r="B486" s="5"/>
      <c r="C486" s="5"/>
      <c r="D486" s="7"/>
      <c r="E486" s="6"/>
      <c r="F486" s="5"/>
      <c r="G486" s="5"/>
      <c r="H486" s="127"/>
      <c r="I486" s="5"/>
      <c r="J486" s="6"/>
      <c r="K486" s="5"/>
      <c r="L486" s="5"/>
      <c r="M486" s="8"/>
      <c r="N486" s="5"/>
      <c r="O486" s="5"/>
      <c r="P486" s="5"/>
    </row>
    <row r="487" spans="1:16" ht="27" customHeight="1">
      <c r="A487" s="5"/>
      <c r="B487" s="5"/>
      <c r="C487" s="5"/>
      <c r="D487" s="7"/>
      <c r="E487" s="6"/>
      <c r="F487" s="5"/>
      <c r="G487" s="5"/>
      <c r="H487" s="127"/>
      <c r="I487" s="5"/>
      <c r="J487" s="6"/>
      <c r="K487" s="5"/>
      <c r="L487" s="5"/>
      <c r="M487" s="8"/>
      <c r="N487" s="5"/>
      <c r="O487" s="5"/>
      <c r="P487" s="5"/>
    </row>
    <row r="488" spans="1:16" ht="27" customHeight="1">
      <c r="A488" s="5"/>
      <c r="B488" s="5"/>
      <c r="C488" s="5"/>
      <c r="D488" s="7"/>
      <c r="E488" s="6"/>
      <c r="F488" s="5"/>
      <c r="G488" s="5"/>
      <c r="H488" s="127"/>
      <c r="I488" s="5"/>
      <c r="J488" s="6"/>
      <c r="K488" s="5"/>
      <c r="L488" s="5"/>
      <c r="M488" s="8"/>
      <c r="N488" s="5"/>
      <c r="O488" s="5"/>
      <c r="P488" s="5"/>
    </row>
    <row r="489" spans="1:16" ht="27" customHeight="1">
      <c r="A489" s="5"/>
      <c r="B489" s="5"/>
      <c r="C489" s="5"/>
      <c r="D489" s="7"/>
      <c r="E489" s="6"/>
      <c r="F489" s="5"/>
      <c r="G489" s="5"/>
      <c r="H489" s="127"/>
      <c r="I489" s="5"/>
      <c r="J489" s="6"/>
      <c r="K489" s="5"/>
      <c r="L489" s="5"/>
      <c r="M489" s="8"/>
      <c r="N489" s="5"/>
      <c r="O489" s="5"/>
      <c r="P489" s="5"/>
    </row>
    <row r="490" spans="1:16" ht="27" customHeight="1">
      <c r="A490" s="5"/>
      <c r="B490" s="5"/>
      <c r="C490" s="5"/>
      <c r="D490" s="7"/>
      <c r="E490" s="6"/>
      <c r="F490" s="5"/>
      <c r="G490" s="5"/>
      <c r="H490" s="127"/>
      <c r="I490" s="5"/>
      <c r="J490" s="6"/>
      <c r="K490" s="5"/>
      <c r="L490" s="5"/>
      <c r="M490" s="8"/>
      <c r="N490" s="5"/>
      <c r="O490" s="5"/>
      <c r="P490" s="5"/>
    </row>
    <row r="491" spans="1:16" ht="27" customHeight="1">
      <c r="A491" s="5"/>
      <c r="B491" s="5"/>
      <c r="C491" s="5"/>
      <c r="D491" s="7"/>
      <c r="E491" s="6"/>
      <c r="F491" s="5"/>
      <c r="G491" s="5"/>
      <c r="H491" s="127"/>
      <c r="I491" s="5"/>
      <c r="J491" s="6"/>
      <c r="K491" s="5"/>
      <c r="L491" s="5"/>
      <c r="M491" s="8"/>
      <c r="N491" s="5"/>
      <c r="O491" s="5"/>
      <c r="P491" s="5"/>
    </row>
    <row r="492" spans="1:16" ht="27" customHeight="1">
      <c r="A492" s="5"/>
      <c r="B492" s="5"/>
      <c r="C492" s="5"/>
      <c r="D492" s="7"/>
      <c r="E492" s="6"/>
      <c r="F492" s="5"/>
      <c r="G492" s="5"/>
      <c r="H492" s="127"/>
      <c r="I492" s="5"/>
      <c r="J492" s="6"/>
      <c r="K492" s="5"/>
      <c r="L492" s="5"/>
      <c r="M492" s="8"/>
      <c r="N492" s="5"/>
      <c r="O492" s="5"/>
      <c r="P492" s="5"/>
    </row>
    <row r="493" spans="1:16" ht="27" customHeight="1">
      <c r="A493" s="5"/>
      <c r="B493" s="5"/>
      <c r="C493" s="5"/>
      <c r="D493" s="7"/>
      <c r="E493" s="6"/>
      <c r="F493" s="5"/>
      <c r="G493" s="5"/>
      <c r="H493" s="127"/>
      <c r="I493" s="5"/>
      <c r="J493" s="6"/>
      <c r="K493" s="5"/>
      <c r="L493" s="5"/>
      <c r="M493" s="8"/>
      <c r="N493" s="5"/>
      <c r="O493" s="5"/>
      <c r="P493" s="5"/>
    </row>
    <row r="494" spans="1:16" ht="27" customHeight="1">
      <c r="A494" s="5"/>
      <c r="B494" s="5"/>
      <c r="C494" s="5"/>
      <c r="D494" s="7"/>
      <c r="E494" s="6"/>
      <c r="F494" s="5"/>
      <c r="G494" s="5"/>
      <c r="H494" s="127"/>
      <c r="I494" s="5"/>
      <c r="J494" s="6"/>
      <c r="K494" s="5"/>
      <c r="L494" s="5"/>
      <c r="M494" s="8"/>
      <c r="N494" s="5"/>
      <c r="O494" s="5"/>
      <c r="P494" s="5"/>
    </row>
    <row r="495" spans="1:16" ht="27" customHeight="1">
      <c r="A495" s="5"/>
      <c r="B495" s="5"/>
      <c r="C495" s="5"/>
      <c r="D495" s="7"/>
      <c r="E495" s="6"/>
      <c r="F495" s="5"/>
      <c r="G495" s="5"/>
      <c r="H495" s="127"/>
      <c r="I495" s="5"/>
      <c r="J495" s="6"/>
      <c r="K495" s="5"/>
      <c r="L495" s="5"/>
      <c r="M495" s="8"/>
      <c r="N495" s="5"/>
      <c r="O495" s="5"/>
      <c r="P495" s="5"/>
    </row>
    <row r="496" spans="1:16" ht="27" customHeight="1">
      <c r="A496" s="5"/>
      <c r="B496" s="5"/>
      <c r="C496" s="5"/>
      <c r="D496" s="7"/>
      <c r="E496" s="6"/>
      <c r="F496" s="5"/>
      <c r="G496" s="5"/>
      <c r="H496" s="127"/>
      <c r="I496" s="5"/>
      <c r="J496" s="6"/>
      <c r="K496" s="5"/>
      <c r="L496" s="5"/>
      <c r="M496" s="8"/>
      <c r="N496" s="5"/>
      <c r="O496" s="5"/>
      <c r="P496" s="5"/>
    </row>
    <row r="497" spans="1:16" ht="27" customHeight="1">
      <c r="A497" s="5"/>
      <c r="B497" s="5"/>
      <c r="C497" s="5"/>
      <c r="D497" s="7"/>
      <c r="E497" s="6"/>
      <c r="F497" s="5"/>
      <c r="G497" s="5"/>
      <c r="H497" s="127"/>
      <c r="I497" s="5"/>
      <c r="J497" s="6"/>
      <c r="K497" s="5"/>
      <c r="L497" s="5"/>
      <c r="M497" s="8"/>
      <c r="N497" s="5"/>
      <c r="O497" s="5"/>
      <c r="P497" s="5"/>
    </row>
    <row r="498" spans="1:16" ht="27" customHeight="1">
      <c r="A498" s="5"/>
      <c r="B498" s="5"/>
      <c r="C498" s="5"/>
      <c r="D498" s="7"/>
      <c r="E498" s="6"/>
      <c r="F498" s="5"/>
      <c r="G498" s="5"/>
      <c r="H498" s="127"/>
      <c r="I498" s="5"/>
      <c r="J498" s="6"/>
      <c r="K498" s="5"/>
      <c r="L498" s="5"/>
      <c r="M498" s="8"/>
      <c r="N498" s="5"/>
      <c r="O498" s="5"/>
      <c r="P498" s="5"/>
    </row>
    <row r="499" spans="1:16" ht="27" customHeight="1">
      <c r="A499" s="5"/>
      <c r="B499" s="5"/>
      <c r="C499" s="5"/>
      <c r="D499" s="7"/>
      <c r="E499" s="6"/>
      <c r="F499" s="5"/>
      <c r="G499" s="5"/>
      <c r="H499" s="127"/>
      <c r="I499" s="5"/>
      <c r="J499" s="6"/>
      <c r="K499" s="5"/>
      <c r="L499" s="5"/>
      <c r="M499" s="8"/>
      <c r="N499" s="5"/>
      <c r="O499" s="5"/>
      <c r="P499" s="5"/>
    </row>
    <row r="500" spans="1:16" ht="27" customHeight="1">
      <c r="A500" s="5"/>
      <c r="B500" s="5"/>
      <c r="C500" s="5"/>
      <c r="D500" s="7"/>
      <c r="E500" s="6"/>
      <c r="F500" s="5"/>
      <c r="G500" s="5"/>
      <c r="H500" s="127"/>
      <c r="I500" s="5"/>
      <c r="J500" s="6"/>
      <c r="K500" s="5"/>
      <c r="L500" s="5"/>
      <c r="M500" s="8"/>
      <c r="N500" s="5"/>
      <c r="O500" s="5"/>
      <c r="P500" s="5"/>
    </row>
    <row r="501" spans="1:16" ht="27" customHeight="1">
      <c r="A501" s="5"/>
      <c r="B501" s="5"/>
      <c r="C501" s="5"/>
      <c r="D501" s="7"/>
      <c r="E501" s="6"/>
      <c r="F501" s="5"/>
      <c r="G501" s="5"/>
      <c r="H501" s="127"/>
      <c r="I501" s="5"/>
      <c r="J501" s="6"/>
      <c r="K501" s="5"/>
      <c r="L501" s="5"/>
      <c r="M501" s="8"/>
      <c r="N501" s="5"/>
      <c r="O501" s="5"/>
      <c r="P501" s="5"/>
    </row>
    <row r="502" spans="1:16" ht="27" customHeight="1">
      <c r="A502" s="5"/>
      <c r="B502" s="5"/>
      <c r="C502" s="5"/>
      <c r="D502" s="7"/>
      <c r="E502" s="6"/>
      <c r="F502" s="5"/>
      <c r="G502" s="5"/>
      <c r="H502" s="127"/>
      <c r="I502" s="5"/>
      <c r="J502" s="6"/>
      <c r="K502" s="5"/>
      <c r="L502" s="5"/>
      <c r="M502" s="8"/>
      <c r="N502" s="5"/>
      <c r="O502" s="5"/>
      <c r="P502" s="5"/>
    </row>
    <row r="503" spans="1:16" ht="27" customHeight="1">
      <c r="A503" s="5"/>
      <c r="B503" s="5"/>
      <c r="C503" s="5"/>
      <c r="D503" s="7"/>
      <c r="E503" s="6"/>
      <c r="F503" s="5"/>
      <c r="G503" s="5"/>
      <c r="H503" s="127"/>
      <c r="I503" s="5"/>
      <c r="J503" s="6"/>
      <c r="K503" s="5"/>
      <c r="L503" s="5"/>
      <c r="M503" s="8"/>
      <c r="N503" s="5"/>
      <c r="O503" s="5"/>
      <c r="P503" s="5"/>
    </row>
    <row r="504" spans="1:16" ht="27" customHeight="1">
      <c r="A504" s="5"/>
      <c r="B504" s="5"/>
      <c r="C504" s="5"/>
      <c r="D504" s="7"/>
      <c r="E504" s="6"/>
      <c r="F504" s="5"/>
      <c r="G504" s="5"/>
      <c r="H504" s="127"/>
      <c r="I504" s="5"/>
      <c r="J504" s="6"/>
      <c r="K504" s="5"/>
      <c r="L504" s="5"/>
      <c r="M504" s="8"/>
      <c r="N504" s="5"/>
      <c r="O504" s="5"/>
      <c r="P504" s="5"/>
    </row>
    <row r="505" spans="1:16" ht="27" customHeight="1">
      <c r="A505" s="5"/>
      <c r="B505" s="5"/>
      <c r="C505" s="5"/>
      <c r="D505" s="7"/>
      <c r="E505" s="6"/>
      <c r="F505" s="5"/>
      <c r="G505" s="5"/>
      <c r="H505" s="127"/>
      <c r="I505" s="5"/>
      <c r="J505" s="6"/>
      <c r="K505" s="5"/>
      <c r="L505" s="5"/>
      <c r="M505" s="8"/>
      <c r="N505" s="5"/>
      <c r="O505" s="5"/>
      <c r="P505" s="5"/>
    </row>
    <row r="506" spans="1:16" ht="27" customHeight="1">
      <c r="A506" s="5"/>
      <c r="B506" s="5"/>
      <c r="C506" s="5"/>
      <c r="D506" s="7"/>
      <c r="E506" s="6"/>
      <c r="F506" s="5"/>
      <c r="G506" s="5"/>
      <c r="H506" s="127"/>
      <c r="I506" s="5"/>
      <c r="J506" s="6"/>
      <c r="K506" s="5"/>
      <c r="L506" s="5"/>
      <c r="M506" s="8"/>
      <c r="N506" s="5"/>
      <c r="O506" s="5"/>
      <c r="P506" s="5"/>
    </row>
    <row r="507" spans="1:16" ht="27" customHeight="1">
      <c r="A507" s="5"/>
      <c r="B507" s="5"/>
      <c r="C507" s="5"/>
      <c r="D507" s="7"/>
      <c r="E507" s="6"/>
      <c r="F507" s="5"/>
      <c r="G507" s="5"/>
      <c r="H507" s="127"/>
      <c r="I507" s="5"/>
      <c r="J507" s="6"/>
      <c r="K507" s="5"/>
      <c r="L507" s="5"/>
      <c r="M507" s="8"/>
      <c r="N507" s="5"/>
      <c r="O507" s="5"/>
      <c r="P507" s="5"/>
    </row>
    <row r="508" spans="1:16" ht="27" customHeight="1">
      <c r="A508" s="5"/>
      <c r="B508" s="5"/>
      <c r="C508" s="5"/>
      <c r="D508" s="7"/>
      <c r="E508" s="6"/>
      <c r="F508" s="5"/>
      <c r="G508" s="5"/>
      <c r="H508" s="127"/>
      <c r="I508" s="5"/>
      <c r="J508" s="6"/>
      <c r="K508" s="5"/>
      <c r="L508" s="5"/>
      <c r="M508" s="8"/>
      <c r="N508" s="5"/>
      <c r="O508" s="5"/>
      <c r="P508" s="5"/>
    </row>
    <row r="509" spans="1:16" ht="27" customHeight="1">
      <c r="A509" s="5"/>
      <c r="B509" s="5"/>
      <c r="C509" s="5"/>
      <c r="D509" s="7"/>
      <c r="E509" s="6"/>
      <c r="F509" s="5"/>
      <c r="G509" s="5"/>
      <c r="H509" s="127"/>
      <c r="I509" s="5"/>
      <c r="J509" s="6"/>
      <c r="K509" s="5"/>
      <c r="L509" s="5"/>
      <c r="M509" s="8"/>
      <c r="N509" s="5"/>
      <c r="O509" s="5"/>
      <c r="P509" s="5"/>
    </row>
    <row r="510" spans="1:16" ht="27" customHeight="1">
      <c r="A510" s="5"/>
      <c r="B510" s="5"/>
      <c r="C510" s="5"/>
      <c r="D510" s="7"/>
      <c r="E510" s="6"/>
      <c r="F510" s="5"/>
      <c r="G510" s="5"/>
      <c r="H510" s="127"/>
      <c r="I510" s="5"/>
      <c r="J510" s="6"/>
      <c r="K510" s="5"/>
      <c r="L510" s="5"/>
      <c r="M510" s="8"/>
      <c r="N510" s="5"/>
      <c r="O510" s="5"/>
      <c r="P510" s="5"/>
    </row>
    <row r="511" spans="1:16" ht="27" customHeight="1">
      <c r="A511" s="5"/>
      <c r="B511" s="5"/>
      <c r="C511" s="5"/>
      <c r="D511" s="7"/>
      <c r="E511" s="6"/>
      <c r="F511" s="5"/>
      <c r="G511" s="5"/>
      <c r="H511" s="127"/>
      <c r="I511" s="5"/>
      <c r="J511" s="6"/>
      <c r="K511" s="5"/>
      <c r="L511" s="5"/>
      <c r="M511" s="8"/>
      <c r="N511" s="5"/>
      <c r="O511" s="5"/>
      <c r="P511" s="5"/>
    </row>
    <row r="512" spans="1:16" ht="27" customHeight="1">
      <c r="A512" s="5"/>
      <c r="B512" s="5"/>
      <c r="C512" s="5"/>
      <c r="D512" s="7"/>
      <c r="E512" s="6"/>
      <c r="F512" s="5"/>
      <c r="G512" s="5"/>
      <c r="H512" s="127"/>
      <c r="I512" s="5"/>
      <c r="J512" s="6"/>
      <c r="K512" s="5"/>
      <c r="L512" s="5"/>
      <c r="M512" s="8"/>
      <c r="N512" s="5"/>
      <c r="O512" s="5"/>
      <c r="P512" s="5"/>
    </row>
    <row r="513" spans="1:16" ht="27" customHeight="1">
      <c r="A513" s="5"/>
      <c r="B513" s="5"/>
      <c r="C513" s="5"/>
      <c r="D513" s="7"/>
      <c r="E513" s="6"/>
      <c r="F513" s="5"/>
      <c r="G513" s="5"/>
      <c r="H513" s="127"/>
      <c r="I513" s="5"/>
      <c r="J513" s="6"/>
      <c r="K513" s="5"/>
      <c r="L513" s="5"/>
      <c r="M513" s="8"/>
      <c r="N513" s="5"/>
      <c r="O513" s="5"/>
      <c r="P513" s="5"/>
    </row>
    <row r="514" spans="1:16" ht="27" customHeight="1">
      <c r="A514" s="5"/>
      <c r="B514" s="5"/>
      <c r="C514" s="5"/>
      <c r="D514" s="7"/>
      <c r="E514" s="6"/>
      <c r="F514" s="5"/>
      <c r="G514" s="5"/>
      <c r="H514" s="127"/>
      <c r="I514" s="5"/>
      <c r="J514" s="6"/>
      <c r="K514" s="5"/>
      <c r="L514" s="5"/>
      <c r="M514" s="8"/>
      <c r="N514" s="5"/>
      <c r="O514" s="5"/>
      <c r="P514" s="5"/>
    </row>
    <row r="515" spans="1:16" ht="27" customHeight="1">
      <c r="A515" s="5"/>
      <c r="B515" s="5"/>
      <c r="C515" s="5"/>
      <c r="D515" s="7"/>
      <c r="E515" s="6"/>
      <c r="F515" s="5"/>
      <c r="G515" s="5"/>
      <c r="H515" s="127"/>
      <c r="I515" s="5"/>
      <c r="J515" s="6"/>
      <c r="K515" s="5"/>
      <c r="L515" s="5"/>
      <c r="M515" s="8"/>
      <c r="N515" s="5"/>
      <c r="O515" s="5"/>
      <c r="P515" s="5"/>
    </row>
    <row r="516" spans="1:16" ht="27" customHeight="1">
      <c r="A516" s="5"/>
      <c r="B516" s="5"/>
      <c r="C516" s="5"/>
      <c r="D516" s="7"/>
      <c r="E516" s="6"/>
      <c r="F516" s="5"/>
      <c r="G516" s="5"/>
      <c r="H516" s="127"/>
      <c r="I516" s="5"/>
      <c r="J516" s="6"/>
      <c r="K516" s="5"/>
      <c r="L516" s="5"/>
      <c r="M516" s="8"/>
      <c r="N516" s="5"/>
      <c r="O516" s="5"/>
      <c r="P516" s="5"/>
    </row>
    <row r="517" spans="1:16" ht="27" customHeight="1">
      <c r="A517" s="5"/>
      <c r="B517" s="5"/>
      <c r="C517" s="5"/>
      <c r="D517" s="7"/>
      <c r="E517" s="6"/>
      <c r="F517" s="5"/>
      <c r="G517" s="5"/>
      <c r="H517" s="127"/>
      <c r="I517" s="5"/>
      <c r="J517" s="6"/>
      <c r="K517" s="5"/>
      <c r="L517" s="5"/>
      <c r="M517" s="8"/>
      <c r="N517" s="5"/>
      <c r="O517" s="5"/>
      <c r="P517" s="5"/>
    </row>
    <row r="518" spans="1:16" ht="27" customHeight="1">
      <c r="A518" s="5"/>
      <c r="B518" s="5"/>
      <c r="C518" s="5"/>
      <c r="D518" s="7"/>
      <c r="E518" s="6"/>
      <c r="F518" s="5"/>
      <c r="G518" s="5"/>
      <c r="H518" s="127"/>
      <c r="I518" s="5"/>
      <c r="J518" s="6"/>
      <c r="K518" s="5"/>
      <c r="L518" s="5"/>
      <c r="M518" s="8"/>
      <c r="N518" s="5"/>
      <c r="O518" s="5"/>
      <c r="P518" s="5"/>
    </row>
    <row r="519" spans="1:16" ht="27" customHeight="1">
      <c r="A519" s="5"/>
      <c r="B519" s="5"/>
      <c r="C519" s="5"/>
      <c r="D519" s="7"/>
      <c r="E519" s="6"/>
      <c r="F519" s="5"/>
      <c r="G519" s="5"/>
      <c r="H519" s="127"/>
      <c r="I519" s="5"/>
      <c r="J519" s="6"/>
      <c r="K519" s="5"/>
      <c r="L519" s="5"/>
      <c r="M519" s="8"/>
      <c r="N519" s="5"/>
      <c r="O519" s="5"/>
      <c r="P519" s="5"/>
    </row>
    <row r="520" spans="1:16" ht="27" customHeight="1">
      <c r="A520" s="5"/>
      <c r="B520" s="5"/>
      <c r="C520" s="5"/>
      <c r="D520" s="7"/>
      <c r="E520" s="6"/>
      <c r="F520" s="5"/>
      <c r="G520" s="5"/>
      <c r="H520" s="127"/>
      <c r="I520" s="5"/>
      <c r="J520" s="6"/>
      <c r="K520" s="5"/>
      <c r="L520" s="5"/>
      <c r="M520" s="8"/>
      <c r="N520" s="5"/>
      <c r="O520" s="5"/>
      <c r="P520" s="5"/>
    </row>
    <row r="521" spans="1:16" ht="27" customHeight="1">
      <c r="A521" s="5"/>
      <c r="B521" s="5"/>
      <c r="C521" s="5"/>
      <c r="D521" s="7"/>
      <c r="E521" s="6"/>
      <c r="F521" s="5"/>
      <c r="G521" s="5"/>
      <c r="H521" s="127"/>
      <c r="I521" s="5"/>
      <c r="J521" s="6"/>
      <c r="K521" s="5"/>
      <c r="L521" s="5"/>
      <c r="M521" s="8"/>
      <c r="N521" s="5"/>
      <c r="O521" s="5"/>
      <c r="P521" s="5"/>
    </row>
    <row r="522" spans="1:16" ht="27" customHeight="1">
      <c r="A522" s="5"/>
      <c r="B522" s="5"/>
      <c r="C522" s="5"/>
      <c r="D522" s="7"/>
      <c r="E522" s="6"/>
      <c r="F522" s="5"/>
      <c r="G522" s="5"/>
      <c r="H522" s="127"/>
      <c r="I522" s="5"/>
      <c r="J522" s="6"/>
      <c r="K522" s="5"/>
      <c r="L522" s="5"/>
      <c r="M522" s="8"/>
      <c r="N522" s="5"/>
      <c r="O522" s="5"/>
      <c r="P522" s="5"/>
    </row>
    <row r="523" spans="1:16" ht="27" customHeight="1">
      <c r="A523" s="5"/>
      <c r="B523" s="5"/>
      <c r="C523" s="5"/>
      <c r="D523" s="7"/>
      <c r="E523" s="6"/>
      <c r="F523" s="5"/>
      <c r="G523" s="5"/>
      <c r="H523" s="127"/>
      <c r="I523" s="5"/>
      <c r="J523" s="6"/>
      <c r="K523" s="5"/>
      <c r="L523" s="5"/>
      <c r="M523" s="8"/>
      <c r="N523" s="5"/>
      <c r="O523" s="5"/>
      <c r="P523" s="5"/>
    </row>
    <row r="524" spans="1:16" ht="27" customHeight="1">
      <c r="A524" s="5"/>
      <c r="B524" s="5"/>
      <c r="C524" s="5"/>
      <c r="D524" s="7"/>
      <c r="E524" s="6"/>
      <c r="F524" s="5"/>
      <c r="G524" s="5"/>
      <c r="H524" s="127"/>
      <c r="I524" s="5"/>
      <c r="J524" s="6"/>
      <c r="K524" s="5"/>
      <c r="L524" s="5"/>
      <c r="M524" s="8"/>
      <c r="N524" s="5"/>
      <c r="O524" s="5"/>
      <c r="P524" s="5"/>
    </row>
    <row r="525" spans="1:16" ht="27" customHeight="1">
      <c r="A525" s="5"/>
      <c r="B525" s="5"/>
      <c r="C525" s="5"/>
      <c r="D525" s="7"/>
      <c r="E525" s="6"/>
      <c r="F525" s="5"/>
      <c r="G525" s="5"/>
      <c r="H525" s="127"/>
      <c r="I525" s="5"/>
      <c r="J525" s="6"/>
      <c r="K525" s="5"/>
      <c r="L525" s="5"/>
      <c r="M525" s="8"/>
      <c r="N525" s="5"/>
      <c r="O525" s="5"/>
      <c r="P525" s="5"/>
    </row>
    <row r="526" spans="1:16" ht="27" customHeight="1">
      <c r="A526" s="5"/>
      <c r="B526" s="5"/>
      <c r="C526" s="5"/>
      <c r="D526" s="7"/>
      <c r="E526" s="6"/>
      <c r="F526" s="5"/>
      <c r="G526" s="5"/>
      <c r="H526" s="127"/>
      <c r="I526" s="5"/>
      <c r="J526" s="6"/>
      <c r="K526" s="5"/>
      <c r="L526" s="5"/>
      <c r="M526" s="8"/>
      <c r="N526" s="5"/>
      <c r="O526" s="5"/>
      <c r="P526" s="5"/>
    </row>
    <row r="527" spans="1:16" ht="27" customHeight="1">
      <c r="A527" s="5"/>
      <c r="B527" s="5"/>
      <c r="C527" s="5"/>
      <c r="D527" s="7"/>
      <c r="E527" s="6"/>
      <c r="F527" s="5"/>
      <c r="G527" s="5"/>
      <c r="H527" s="127"/>
      <c r="I527" s="5"/>
      <c r="J527" s="6"/>
      <c r="K527" s="5"/>
      <c r="L527" s="5"/>
      <c r="M527" s="8"/>
      <c r="N527" s="5"/>
      <c r="O527" s="5"/>
      <c r="P527" s="5"/>
    </row>
    <row r="528" spans="1:16" ht="27" customHeight="1">
      <c r="A528" s="5"/>
      <c r="B528" s="5"/>
      <c r="C528" s="5"/>
      <c r="D528" s="7"/>
      <c r="E528" s="6"/>
      <c r="F528" s="5"/>
      <c r="G528" s="5"/>
      <c r="H528" s="127"/>
      <c r="I528" s="5"/>
      <c r="J528" s="6"/>
      <c r="K528" s="5"/>
      <c r="L528" s="5"/>
      <c r="M528" s="8"/>
      <c r="N528" s="5"/>
      <c r="O528" s="5"/>
      <c r="P528" s="5"/>
    </row>
    <row r="529" spans="1:16" ht="27" customHeight="1">
      <c r="A529" s="5"/>
      <c r="B529" s="5"/>
      <c r="C529" s="5"/>
      <c r="D529" s="7"/>
      <c r="E529" s="6"/>
      <c r="F529" s="5"/>
      <c r="G529" s="5"/>
      <c r="H529" s="127"/>
      <c r="I529" s="5"/>
      <c r="J529" s="6"/>
      <c r="K529" s="5"/>
      <c r="L529" s="5"/>
      <c r="M529" s="8"/>
      <c r="N529" s="5"/>
      <c r="O529" s="5"/>
      <c r="P529" s="5"/>
    </row>
    <row r="530" spans="1:16" ht="27" customHeight="1">
      <c r="A530" s="5"/>
      <c r="B530" s="5"/>
      <c r="C530" s="5"/>
      <c r="D530" s="7"/>
      <c r="E530" s="6"/>
      <c r="F530" s="5"/>
      <c r="G530" s="5"/>
      <c r="H530" s="127"/>
      <c r="I530" s="5"/>
      <c r="J530" s="6"/>
      <c r="K530" s="5"/>
      <c r="L530" s="5"/>
      <c r="M530" s="8"/>
      <c r="N530" s="5"/>
      <c r="O530" s="5"/>
      <c r="P530" s="5"/>
    </row>
    <row r="531" spans="1:16" ht="27" customHeight="1">
      <c r="A531" s="5"/>
      <c r="B531" s="5"/>
      <c r="C531" s="5"/>
      <c r="D531" s="7"/>
      <c r="E531" s="6"/>
      <c r="F531" s="5"/>
      <c r="G531" s="5"/>
      <c r="H531" s="127"/>
      <c r="I531" s="5"/>
      <c r="J531" s="6"/>
      <c r="K531" s="5"/>
      <c r="L531" s="5"/>
      <c r="M531" s="8"/>
      <c r="N531" s="5"/>
      <c r="O531" s="5"/>
      <c r="P531" s="5"/>
    </row>
    <row r="532" spans="1:16" ht="27" customHeight="1">
      <c r="A532" s="5"/>
      <c r="B532" s="5"/>
      <c r="C532" s="5"/>
      <c r="D532" s="7"/>
      <c r="E532" s="6"/>
      <c r="F532" s="5"/>
      <c r="G532" s="5"/>
      <c r="H532" s="127"/>
      <c r="I532" s="5"/>
      <c r="J532" s="6"/>
      <c r="K532" s="5"/>
      <c r="L532" s="5"/>
      <c r="M532" s="8"/>
      <c r="N532" s="5"/>
      <c r="O532" s="5"/>
      <c r="P532" s="5"/>
    </row>
    <row r="533" spans="1:16" ht="27" customHeight="1">
      <c r="A533" s="5"/>
      <c r="B533" s="5"/>
      <c r="C533" s="5"/>
      <c r="D533" s="7"/>
      <c r="E533" s="6"/>
      <c r="F533" s="5"/>
      <c r="G533" s="5"/>
      <c r="H533" s="127"/>
      <c r="I533" s="5"/>
      <c r="J533" s="6"/>
      <c r="K533" s="5"/>
      <c r="L533" s="5"/>
      <c r="M533" s="8"/>
      <c r="N533" s="5"/>
      <c r="O533" s="5"/>
      <c r="P533" s="5"/>
    </row>
    <row r="534" spans="1:16" ht="27" customHeight="1">
      <c r="A534" s="5"/>
      <c r="B534" s="5"/>
      <c r="C534" s="5"/>
      <c r="D534" s="7"/>
      <c r="E534" s="6"/>
      <c r="F534" s="5"/>
      <c r="G534" s="5"/>
      <c r="H534" s="127"/>
      <c r="I534" s="5"/>
      <c r="J534" s="6"/>
      <c r="K534" s="5"/>
      <c r="L534" s="5"/>
      <c r="M534" s="8"/>
      <c r="N534" s="5"/>
      <c r="O534" s="5"/>
      <c r="P534" s="5"/>
    </row>
    <row r="535" spans="1:16" ht="27" customHeight="1">
      <c r="A535" s="5"/>
      <c r="B535" s="5"/>
      <c r="C535" s="5"/>
      <c r="D535" s="7"/>
      <c r="E535" s="6"/>
      <c r="F535" s="5"/>
      <c r="G535" s="5"/>
      <c r="H535" s="127"/>
      <c r="I535" s="5"/>
      <c r="J535" s="6"/>
      <c r="K535" s="5"/>
      <c r="L535" s="5"/>
      <c r="M535" s="8"/>
      <c r="N535" s="5"/>
      <c r="O535" s="5"/>
      <c r="P535" s="5"/>
    </row>
    <row r="536" spans="1:16" ht="27" customHeight="1">
      <c r="A536" s="5"/>
      <c r="B536" s="5"/>
      <c r="C536" s="5"/>
      <c r="D536" s="7"/>
      <c r="E536" s="6"/>
      <c r="F536" s="5"/>
      <c r="G536" s="5"/>
      <c r="H536" s="127"/>
      <c r="I536" s="5"/>
      <c r="J536" s="6"/>
      <c r="K536" s="5"/>
      <c r="L536" s="5"/>
      <c r="M536" s="8"/>
      <c r="N536" s="5"/>
      <c r="O536" s="5"/>
      <c r="P536" s="5"/>
    </row>
    <row r="537" spans="1:16" ht="27" customHeight="1">
      <c r="A537" s="5"/>
      <c r="B537" s="5"/>
      <c r="C537" s="5"/>
      <c r="D537" s="7"/>
      <c r="E537" s="6"/>
      <c r="F537" s="5"/>
      <c r="G537" s="5"/>
      <c r="H537" s="127"/>
      <c r="I537" s="5"/>
      <c r="J537" s="6"/>
      <c r="K537" s="5"/>
      <c r="L537" s="5"/>
      <c r="M537" s="8"/>
      <c r="N537" s="5"/>
      <c r="O537" s="5"/>
      <c r="P537" s="5"/>
    </row>
    <row r="538" spans="1:16" ht="27" customHeight="1">
      <c r="A538" s="5"/>
      <c r="B538" s="5"/>
      <c r="C538" s="5"/>
      <c r="D538" s="7"/>
      <c r="E538" s="6"/>
      <c r="F538" s="5"/>
      <c r="G538" s="5"/>
      <c r="H538" s="127"/>
      <c r="I538" s="5"/>
      <c r="J538" s="6"/>
      <c r="K538" s="5"/>
      <c r="L538" s="5"/>
      <c r="M538" s="8"/>
      <c r="N538" s="5"/>
      <c r="O538" s="5"/>
      <c r="P538" s="5"/>
    </row>
    <row r="539" spans="1:16" ht="27" customHeight="1">
      <c r="A539" s="5"/>
      <c r="B539" s="5"/>
      <c r="C539" s="5"/>
      <c r="D539" s="7"/>
      <c r="E539" s="6"/>
      <c r="F539" s="5"/>
      <c r="G539" s="5"/>
      <c r="H539" s="127"/>
      <c r="I539" s="5"/>
      <c r="J539" s="6"/>
      <c r="K539" s="5"/>
      <c r="L539" s="5"/>
      <c r="M539" s="8"/>
      <c r="N539" s="5"/>
      <c r="O539" s="5"/>
      <c r="P539" s="5"/>
    </row>
    <row r="540" spans="1:16" ht="27" customHeight="1">
      <c r="A540" s="5"/>
      <c r="B540" s="5"/>
      <c r="C540" s="5"/>
      <c r="D540" s="7"/>
      <c r="E540" s="6"/>
      <c r="F540" s="5"/>
      <c r="G540" s="5"/>
      <c r="H540" s="127"/>
      <c r="I540" s="5"/>
      <c r="J540" s="6"/>
      <c r="K540" s="5"/>
      <c r="L540" s="5"/>
      <c r="M540" s="8"/>
      <c r="N540" s="5"/>
      <c r="O540" s="5"/>
      <c r="P540" s="5"/>
    </row>
    <row r="541" spans="1:16" ht="27" customHeight="1">
      <c r="A541" s="5"/>
      <c r="B541" s="5"/>
      <c r="C541" s="5"/>
      <c r="D541" s="7"/>
      <c r="E541" s="6"/>
      <c r="F541" s="5"/>
      <c r="G541" s="5"/>
      <c r="H541" s="127"/>
      <c r="I541" s="5"/>
      <c r="J541" s="6"/>
      <c r="K541" s="5"/>
      <c r="L541" s="5"/>
      <c r="M541" s="8"/>
      <c r="N541" s="5"/>
      <c r="O541" s="5"/>
      <c r="P541" s="5"/>
    </row>
    <row r="542" spans="1:16" ht="27" customHeight="1">
      <c r="A542" s="5"/>
      <c r="B542" s="5"/>
      <c r="C542" s="5"/>
      <c r="D542" s="7"/>
      <c r="E542" s="6"/>
      <c r="F542" s="5"/>
      <c r="G542" s="5"/>
      <c r="H542" s="127"/>
      <c r="I542" s="5"/>
      <c r="J542" s="6"/>
      <c r="K542" s="5"/>
      <c r="L542" s="5"/>
      <c r="M542" s="8"/>
      <c r="N542" s="5"/>
      <c r="O542" s="5"/>
      <c r="P542" s="5"/>
    </row>
    <row r="543" spans="1:16" ht="27" customHeight="1">
      <c r="A543" s="5"/>
      <c r="B543" s="5"/>
      <c r="C543" s="5"/>
      <c r="D543" s="7"/>
      <c r="E543" s="6"/>
      <c r="F543" s="5"/>
      <c r="G543" s="5"/>
      <c r="H543" s="127"/>
      <c r="I543" s="5"/>
      <c r="J543" s="6"/>
      <c r="K543" s="5"/>
      <c r="L543" s="5"/>
      <c r="M543" s="8"/>
      <c r="N543" s="5"/>
      <c r="O543" s="5"/>
      <c r="P543" s="5"/>
    </row>
    <row r="544" spans="1:16" ht="27" customHeight="1">
      <c r="A544" s="5"/>
      <c r="B544" s="5"/>
      <c r="C544" s="5"/>
      <c r="D544" s="7"/>
      <c r="E544" s="6"/>
      <c r="F544" s="5"/>
      <c r="G544" s="5"/>
      <c r="H544" s="127"/>
      <c r="I544" s="5"/>
      <c r="J544" s="6"/>
      <c r="K544" s="5"/>
      <c r="L544" s="5"/>
      <c r="M544" s="8"/>
      <c r="N544" s="5"/>
      <c r="O544" s="5"/>
      <c r="P544" s="5"/>
    </row>
    <row r="545" spans="1:16" ht="27" customHeight="1">
      <c r="A545" s="5"/>
      <c r="B545" s="5"/>
      <c r="C545" s="5"/>
      <c r="D545" s="7"/>
      <c r="E545" s="6"/>
      <c r="F545" s="5"/>
      <c r="G545" s="5"/>
      <c r="H545" s="127"/>
      <c r="I545" s="5"/>
      <c r="J545" s="6"/>
      <c r="K545" s="5"/>
      <c r="L545" s="5"/>
      <c r="M545" s="8"/>
      <c r="N545" s="5"/>
      <c r="O545" s="5"/>
      <c r="P545" s="5"/>
    </row>
    <row r="546" spans="1:16" ht="27" customHeight="1">
      <c r="A546" s="5"/>
      <c r="B546" s="5"/>
      <c r="C546" s="5"/>
      <c r="D546" s="7"/>
      <c r="E546" s="6"/>
      <c r="F546" s="5"/>
      <c r="G546" s="5"/>
      <c r="H546" s="127"/>
      <c r="I546" s="5"/>
      <c r="J546" s="6"/>
      <c r="K546" s="5"/>
      <c r="L546" s="5"/>
      <c r="M546" s="8"/>
      <c r="N546" s="5"/>
      <c r="O546" s="5"/>
      <c r="P546" s="5"/>
    </row>
    <row r="547" spans="1:16" ht="27" customHeight="1">
      <c r="A547" s="5"/>
      <c r="B547" s="5"/>
      <c r="C547" s="5"/>
      <c r="D547" s="7"/>
      <c r="E547" s="6"/>
      <c r="F547" s="5"/>
      <c r="G547" s="5"/>
      <c r="H547" s="127"/>
      <c r="I547" s="5"/>
      <c r="J547" s="6"/>
      <c r="K547" s="5"/>
      <c r="L547" s="5"/>
      <c r="M547" s="8"/>
      <c r="N547" s="5"/>
      <c r="O547" s="5"/>
      <c r="P547" s="5"/>
    </row>
    <row r="548" spans="1:16" ht="27" customHeight="1">
      <c r="A548" s="5"/>
      <c r="B548" s="5"/>
      <c r="C548" s="5"/>
      <c r="D548" s="7"/>
      <c r="E548" s="6"/>
      <c r="F548" s="5"/>
      <c r="G548" s="5"/>
      <c r="H548" s="127"/>
      <c r="I548" s="5"/>
      <c r="J548" s="6"/>
      <c r="K548" s="5"/>
      <c r="L548" s="5"/>
      <c r="M548" s="8"/>
      <c r="N548" s="5"/>
      <c r="O548" s="5"/>
      <c r="P548" s="5"/>
    </row>
    <row r="549" spans="1:16" ht="27" customHeight="1">
      <c r="A549" s="5"/>
      <c r="B549" s="5"/>
      <c r="C549" s="5"/>
      <c r="D549" s="7"/>
      <c r="E549" s="6"/>
      <c r="F549" s="5"/>
      <c r="G549" s="5"/>
      <c r="H549" s="127"/>
      <c r="I549" s="5"/>
      <c r="J549" s="6"/>
      <c r="K549" s="5"/>
      <c r="L549" s="5"/>
      <c r="M549" s="8"/>
      <c r="N549" s="5"/>
      <c r="O549" s="5"/>
      <c r="P549" s="5"/>
    </row>
    <row r="550" spans="1:16" ht="27" customHeight="1">
      <c r="A550" s="5"/>
      <c r="B550" s="5"/>
      <c r="C550" s="5"/>
      <c r="D550" s="7"/>
      <c r="E550" s="6"/>
      <c r="F550" s="5"/>
      <c r="G550" s="5"/>
      <c r="H550" s="127"/>
      <c r="I550" s="5"/>
      <c r="J550" s="6"/>
      <c r="K550" s="5"/>
      <c r="L550" s="5"/>
      <c r="M550" s="8"/>
      <c r="N550" s="5"/>
      <c r="O550" s="5"/>
      <c r="P550" s="5"/>
    </row>
    <row r="551" spans="1:16" ht="27" customHeight="1">
      <c r="A551" s="5"/>
      <c r="B551" s="5"/>
      <c r="C551" s="5"/>
      <c r="D551" s="7"/>
      <c r="E551" s="6"/>
      <c r="F551" s="5"/>
      <c r="G551" s="5"/>
      <c r="H551" s="127"/>
      <c r="I551" s="5"/>
      <c r="J551" s="6"/>
      <c r="K551" s="5"/>
      <c r="L551" s="5"/>
      <c r="M551" s="8"/>
      <c r="N551" s="5"/>
      <c r="O551" s="5"/>
      <c r="P551" s="5"/>
    </row>
    <row r="552" spans="1:16" ht="27" customHeight="1">
      <c r="A552" s="5"/>
      <c r="B552" s="5"/>
      <c r="C552" s="5"/>
      <c r="D552" s="7"/>
      <c r="E552" s="6"/>
      <c r="F552" s="5"/>
      <c r="G552" s="5"/>
      <c r="H552" s="127"/>
      <c r="I552" s="5"/>
      <c r="J552" s="6"/>
      <c r="K552" s="5"/>
      <c r="L552" s="5"/>
      <c r="M552" s="8"/>
      <c r="N552" s="5"/>
      <c r="O552" s="5"/>
      <c r="P552" s="5"/>
    </row>
    <row r="553" spans="1:16" ht="27" customHeight="1">
      <c r="A553" s="5"/>
      <c r="B553" s="5"/>
      <c r="C553" s="5"/>
      <c r="D553" s="7"/>
      <c r="E553" s="6"/>
      <c r="F553" s="5"/>
      <c r="G553" s="5"/>
      <c r="H553" s="127"/>
      <c r="I553" s="5"/>
      <c r="J553" s="6"/>
      <c r="K553" s="5"/>
      <c r="L553" s="5"/>
      <c r="M553" s="8"/>
      <c r="N553" s="5"/>
      <c r="O553" s="5"/>
      <c r="P553" s="5"/>
    </row>
    <row r="554" spans="1:16" ht="27" customHeight="1">
      <c r="A554" s="5"/>
      <c r="B554" s="5"/>
      <c r="C554" s="5"/>
      <c r="D554" s="7"/>
      <c r="E554" s="6"/>
      <c r="F554" s="5"/>
      <c r="G554" s="5"/>
      <c r="H554" s="127"/>
      <c r="I554" s="5"/>
      <c r="J554" s="6"/>
      <c r="K554" s="5"/>
      <c r="L554" s="5"/>
      <c r="M554" s="8"/>
      <c r="N554" s="5"/>
      <c r="O554" s="5"/>
      <c r="P554" s="5"/>
    </row>
    <row r="555" spans="1:16" ht="27" customHeight="1">
      <c r="A555" s="5"/>
      <c r="B555" s="5"/>
      <c r="C555" s="5"/>
      <c r="D555" s="7"/>
      <c r="E555" s="6"/>
      <c r="F555" s="5"/>
      <c r="G555" s="5"/>
      <c r="H555" s="127"/>
      <c r="I555" s="5"/>
      <c r="J555" s="6"/>
      <c r="K555" s="5"/>
      <c r="L555" s="5"/>
      <c r="M555" s="8"/>
      <c r="N555" s="5"/>
      <c r="O555" s="5"/>
      <c r="P555" s="5"/>
    </row>
    <row r="556" spans="1:16" ht="27" customHeight="1">
      <c r="A556" s="5"/>
      <c r="B556" s="5"/>
      <c r="C556" s="5"/>
      <c r="D556" s="7"/>
      <c r="E556" s="6"/>
      <c r="F556" s="5"/>
      <c r="G556" s="5"/>
      <c r="H556" s="127"/>
      <c r="I556" s="5"/>
      <c r="J556" s="6"/>
      <c r="K556" s="5"/>
      <c r="L556" s="5"/>
      <c r="M556" s="8"/>
      <c r="N556" s="5"/>
      <c r="O556" s="5"/>
      <c r="P556" s="5"/>
    </row>
    <row r="557" spans="1:16" ht="27" customHeight="1">
      <c r="A557" s="5"/>
      <c r="B557" s="5"/>
      <c r="C557" s="5"/>
      <c r="D557" s="7"/>
      <c r="E557" s="6"/>
      <c r="F557" s="5"/>
      <c r="G557" s="5"/>
      <c r="H557" s="127"/>
      <c r="I557" s="5"/>
      <c r="J557" s="6"/>
      <c r="K557" s="5"/>
      <c r="L557" s="5"/>
      <c r="M557" s="8"/>
      <c r="N557" s="5"/>
      <c r="O557" s="5"/>
      <c r="P557" s="5"/>
    </row>
    <row r="558" spans="1:16" ht="27" customHeight="1">
      <c r="A558" s="5"/>
      <c r="B558" s="5"/>
      <c r="C558" s="5"/>
      <c r="D558" s="7"/>
      <c r="E558" s="6"/>
      <c r="F558" s="5"/>
      <c r="G558" s="5"/>
      <c r="H558" s="127"/>
      <c r="I558" s="5"/>
      <c r="J558" s="6"/>
      <c r="K558" s="5"/>
      <c r="L558" s="5"/>
      <c r="M558" s="8"/>
      <c r="N558" s="5"/>
      <c r="O558" s="5"/>
      <c r="P558" s="5"/>
    </row>
    <row r="559" spans="1:16" ht="27" customHeight="1">
      <c r="A559" s="5"/>
      <c r="B559" s="5"/>
      <c r="C559" s="5"/>
      <c r="D559" s="7"/>
      <c r="E559" s="6"/>
      <c r="F559" s="5"/>
      <c r="G559" s="5"/>
      <c r="H559" s="127"/>
      <c r="I559" s="5"/>
      <c r="J559" s="6"/>
      <c r="K559" s="5"/>
      <c r="L559" s="5"/>
      <c r="M559" s="8"/>
      <c r="N559" s="5"/>
      <c r="O559" s="5"/>
      <c r="P559" s="5"/>
    </row>
    <row r="560" spans="1:16" ht="27" customHeight="1">
      <c r="A560" s="5"/>
      <c r="B560" s="5"/>
      <c r="C560" s="5"/>
      <c r="D560" s="7"/>
      <c r="E560" s="6"/>
      <c r="F560" s="5"/>
      <c r="G560" s="5"/>
      <c r="H560" s="127"/>
      <c r="I560" s="5"/>
      <c r="J560" s="6"/>
      <c r="K560" s="5"/>
      <c r="L560" s="5"/>
      <c r="M560" s="8"/>
      <c r="N560" s="5"/>
      <c r="O560" s="5"/>
      <c r="P560" s="5"/>
    </row>
    <row r="561" spans="1:16" ht="27" customHeight="1">
      <c r="A561" s="5"/>
      <c r="B561" s="5"/>
      <c r="C561" s="5"/>
      <c r="D561" s="7"/>
      <c r="E561" s="6"/>
      <c r="F561" s="5"/>
      <c r="G561" s="5"/>
      <c r="H561" s="127"/>
      <c r="I561" s="5"/>
      <c r="J561" s="6"/>
      <c r="K561" s="5"/>
      <c r="L561" s="5"/>
      <c r="M561" s="8"/>
      <c r="N561" s="5"/>
      <c r="O561" s="5"/>
      <c r="P561" s="5"/>
    </row>
    <row r="562" spans="1:16" ht="27" customHeight="1">
      <c r="A562" s="5"/>
      <c r="B562" s="5"/>
      <c r="C562" s="5"/>
      <c r="D562" s="7"/>
      <c r="E562" s="6"/>
      <c r="F562" s="5"/>
      <c r="G562" s="5"/>
      <c r="H562" s="127"/>
      <c r="I562" s="5"/>
      <c r="J562" s="6"/>
      <c r="K562" s="5"/>
      <c r="L562" s="5"/>
      <c r="M562" s="8"/>
      <c r="N562" s="5"/>
      <c r="O562" s="5"/>
      <c r="P562" s="5"/>
    </row>
    <row r="563" spans="1:16" ht="27" customHeight="1">
      <c r="A563" s="5"/>
      <c r="B563" s="5"/>
      <c r="C563" s="5"/>
      <c r="D563" s="7"/>
      <c r="E563" s="6"/>
      <c r="F563" s="5"/>
      <c r="G563" s="5"/>
      <c r="H563" s="127"/>
      <c r="I563" s="5"/>
      <c r="J563" s="6"/>
      <c r="K563" s="5"/>
      <c r="L563" s="5"/>
      <c r="M563" s="8"/>
      <c r="N563" s="5"/>
      <c r="O563" s="5"/>
      <c r="P563" s="5"/>
    </row>
    <row r="564" spans="1:16" ht="27" customHeight="1">
      <c r="A564" s="5"/>
      <c r="B564" s="5"/>
      <c r="C564" s="5"/>
      <c r="D564" s="7"/>
      <c r="E564" s="6"/>
      <c r="F564" s="5"/>
      <c r="G564" s="5"/>
      <c r="H564" s="127"/>
      <c r="I564" s="5"/>
      <c r="J564" s="6"/>
      <c r="K564" s="5"/>
      <c r="L564" s="5"/>
      <c r="M564" s="8"/>
      <c r="N564" s="5"/>
      <c r="O564" s="5"/>
      <c r="P564" s="5"/>
    </row>
    <row r="565" spans="1:16" ht="27" customHeight="1">
      <c r="A565" s="5"/>
      <c r="B565" s="5"/>
      <c r="C565" s="5"/>
      <c r="D565" s="7"/>
      <c r="E565" s="6"/>
      <c r="F565" s="5"/>
      <c r="G565" s="5"/>
      <c r="H565" s="127"/>
      <c r="I565" s="5"/>
      <c r="J565" s="6"/>
      <c r="K565" s="5"/>
      <c r="L565" s="5"/>
      <c r="M565" s="8"/>
      <c r="N565" s="5"/>
      <c r="O565" s="5"/>
      <c r="P565" s="5"/>
    </row>
    <row r="566" spans="1:16" ht="27" customHeight="1">
      <c r="A566" s="5"/>
      <c r="B566" s="5"/>
      <c r="C566" s="5"/>
      <c r="D566" s="7"/>
      <c r="E566" s="6"/>
      <c r="F566" s="5"/>
      <c r="G566" s="5"/>
      <c r="H566" s="127"/>
      <c r="I566" s="5"/>
      <c r="J566" s="6"/>
      <c r="K566" s="5"/>
      <c r="L566" s="5"/>
      <c r="M566" s="8"/>
      <c r="N566" s="5"/>
      <c r="O566" s="5"/>
      <c r="P566" s="5"/>
    </row>
    <row r="567" spans="1:16" ht="27" customHeight="1">
      <c r="A567" s="5"/>
      <c r="B567" s="5"/>
      <c r="C567" s="5"/>
      <c r="D567" s="7"/>
      <c r="E567" s="6"/>
      <c r="F567" s="5"/>
      <c r="G567" s="5"/>
      <c r="H567" s="127"/>
      <c r="I567" s="5"/>
      <c r="J567" s="6"/>
      <c r="K567" s="5"/>
      <c r="L567" s="5"/>
      <c r="M567" s="8"/>
      <c r="N567" s="5"/>
      <c r="O567" s="5"/>
      <c r="P567" s="5"/>
    </row>
    <row r="568" spans="1:16" ht="27" customHeight="1">
      <c r="A568" s="5"/>
      <c r="B568" s="5"/>
      <c r="C568" s="5"/>
      <c r="D568" s="7"/>
      <c r="E568" s="6"/>
      <c r="F568" s="5"/>
      <c r="G568" s="5"/>
      <c r="H568" s="127"/>
      <c r="I568" s="5"/>
      <c r="J568" s="6"/>
      <c r="K568" s="5"/>
      <c r="L568" s="5"/>
      <c r="M568" s="8"/>
      <c r="N568" s="5"/>
      <c r="O568" s="5"/>
      <c r="P568" s="5"/>
    </row>
    <row r="569" spans="1:16" ht="27" customHeight="1">
      <c r="A569" s="5"/>
      <c r="B569" s="5"/>
      <c r="C569" s="5"/>
      <c r="D569" s="7"/>
      <c r="E569" s="6"/>
      <c r="F569" s="5"/>
      <c r="G569" s="5"/>
      <c r="H569" s="127"/>
      <c r="I569" s="5"/>
      <c r="J569" s="6"/>
      <c r="K569" s="5"/>
      <c r="L569" s="5"/>
      <c r="M569" s="8"/>
      <c r="N569" s="5"/>
      <c r="O569" s="5"/>
      <c r="P569" s="5"/>
    </row>
    <row r="570" spans="1:16" ht="27" customHeight="1">
      <c r="A570" s="5"/>
      <c r="B570" s="5"/>
      <c r="C570" s="5"/>
      <c r="D570" s="7"/>
      <c r="E570" s="6"/>
      <c r="F570" s="5"/>
      <c r="G570" s="5"/>
      <c r="H570" s="127"/>
      <c r="I570" s="5"/>
      <c r="J570" s="6"/>
      <c r="K570" s="5"/>
      <c r="L570" s="5"/>
      <c r="M570" s="8"/>
      <c r="N570" s="5"/>
      <c r="O570" s="5"/>
      <c r="P570" s="5"/>
    </row>
    <row r="571" spans="1:16" ht="27" customHeight="1">
      <c r="A571" s="5"/>
      <c r="B571" s="5"/>
      <c r="C571" s="5"/>
      <c r="D571" s="7"/>
      <c r="E571" s="6"/>
      <c r="F571" s="5"/>
      <c r="G571" s="5"/>
      <c r="H571" s="127"/>
      <c r="I571" s="5"/>
      <c r="J571" s="6"/>
      <c r="K571" s="5"/>
      <c r="L571" s="5"/>
      <c r="M571" s="8"/>
      <c r="N571" s="5"/>
      <c r="O571" s="5"/>
      <c r="P571" s="5"/>
    </row>
    <row r="572" spans="1:16" ht="27" customHeight="1">
      <c r="A572" s="5"/>
      <c r="B572" s="5"/>
      <c r="C572" s="5"/>
      <c r="D572" s="7"/>
      <c r="E572" s="6"/>
      <c r="F572" s="5"/>
      <c r="G572" s="5"/>
      <c r="H572" s="127"/>
      <c r="I572" s="5"/>
      <c r="J572" s="6"/>
      <c r="K572" s="5"/>
      <c r="L572" s="5"/>
      <c r="M572" s="8"/>
      <c r="N572" s="5"/>
      <c r="O572" s="5"/>
      <c r="P572" s="5"/>
    </row>
    <row r="573" spans="1:16" ht="27" customHeight="1">
      <c r="A573" s="5"/>
      <c r="B573" s="5"/>
      <c r="C573" s="5"/>
      <c r="D573" s="7"/>
      <c r="E573" s="6"/>
      <c r="F573" s="5"/>
      <c r="G573" s="5"/>
      <c r="H573" s="127"/>
      <c r="I573" s="5"/>
      <c r="J573" s="6"/>
      <c r="K573" s="5"/>
      <c r="L573" s="5"/>
      <c r="M573" s="8"/>
      <c r="N573" s="5"/>
      <c r="O573" s="5"/>
      <c r="P573" s="5"/>
    </row>
    <row r="574" spans="1:16" ht="27" customHeight="1">
      <c r="A574" s="5"/>
      <c r="B574" s="5"/>
      <c r="C574" s="5"/>
      <c r="D574" s="7"/>
      <c r="E574" s="6"/>
      <c r="F574" s="5"/>
      <c r="G574" s="5"/>
      <c r="H574" s="127"/>
      <c r="I574" s="5"/>
      <c r="J574" s="6"/>
      <c r="K574" s="5"/>
      <c r="L574" s="5"/>
      <c r="M574" s="8"/>
      <c r="N574" s="5"/>
      <c r="O574" s="5"/>
      <c r="P574" s="5"/>
    </row>
    <row r="575" spans="1:16" ht="27" customHeight="1">
      <c r="A575" s="5"/>
      <c r="B575" s="5"/>
      <c r="C575" s="5"/>
      <c r="D575" s="7"/>
      <c r="E575" s="6"/>
      <c r="F575" s="5"/>
      <c r="G575" s="5"/>
      <c r="H575" s="127"/>
      <c r="I575" s="5"/>
      <c r="J575" s="6"/>
      <c r="K575" s="5"/>
      <c r="L575" s="5"/>
      <c r="M575" s="8"/>
      <c r="N575" s="5"/>
      <c r="O575" s="5"/>
      <c r="P575" s="5"/>
    </row>
    <row r="576" spans="1:16" ht="27" customHeight="1">
      <c r="A576" s="5"/>
      <c r="B576" s="5"/>
      <c r="C576" s="5"/>
      <c r="D576" s="7"/>
      <c r="E576" s="6"/>
      <c r="F576" s="5"/>
      <c r="G576" s="5"/>
      <c r="H576" s="127"/>
      <c r="I576" s="5"/>
      <c r="J576" s="6"/>
      <c r="K576" s="5"/>
      <c r="L576" s="5"/>
      <c r="M576" s="8"/>
      <c r="N576" s="5"/>
      <c r="O576" s="5"/>
      <c r="P576" s="5"/>
    </row>
    <row r="577" spans="1:16" ht="27" customHeight="1">
      <c r="A577" s="5"/>
      <c r="B577" s="5"/>
      <c r="C577" s="5"/>
      <c r="D577" s="7"/>
      <c r="E577" s="6"/>
      <c r="F577" s="5"/>
      <c r="G577" s="5"/>
      <c r="H577" s="127"/>
      <c r="I577" s="5"/>
      <c r="J577" s="6"/>
      <c r="K577" s="5"/>
      <c r="L577" s="5"/>
      <c r="M577" s="8"/>
      <c r="N577" s="5"/>
      <c r="O577" s="5"/>
      <c r="P577" s="5"/>
    </row>
    <row r="578" spans="1:16" ht="27" customHeight="1">
      <c r="A578" s="5"/>
      <c r="B578" s="5"/>
      <c r="C578" s="5"/>
      <c r="D578" s="7"/>
      <c r="E578" s="6"/>
      <c r="F578" s="5"/>
      <c r="G578" s="5"/>
      <c r="H578" s="127"/>
      <c r="I578" s="5"/>
      <c r="J578" s="6"/>
      <c r="K578" s="5"/>
      <c r="L578" s="5"/>
      <c r="M578" s="8"/>
      <c r="N578" s="5"/>
      <c r="O578" s="5"/>
      <c r="P578" s="5"/>
    </row>
    <row r="579" spans="1:16" ht="27" customHeight="1">
      <c r="A579" s="5"/>
      <c r="B579" s="5"/>
      <c r="C579" s="5"/>
      <c r="D579" s="7"/>
      <c r="E579" s="6"/>
      <c r="F579" s="5"/>
      <c r="G579" s="5"/>
      <c r="H579" s="127"/>
      <c r="I579" s="5"/>
      <c r="J579" s="6"/>
      <c r="K579" s="5"/>
      <c r="L579" s="5"/>
      <c r="M579" s="8"/>
      <c r="N579" s="5"/>
      <c r="O579" s="5"/>
      <c r="P579" s="5"/>
    </row>
    <row r="580" spans="1:16" ht="27" customHeight="1">
      <c r="A580" s="5"/>
      <c r="B580" s="5"/>
      <c r="C580" s="5"/>
      <c r="D580" s="7"/>
      <c r="E580" s="6"/>
      <c r="F580" s="5"/>
      <c r="G580" s="5"/>
      <c r="H580" s="127"/>
      <c r="I580" s="5"/>
      <c r="J580" s="6"/>
      <c r="K580" s="5"/>
      <c r="L580" s="5"/>
      <c r="M580" s="8"/>
      <c r="N580" s="5"/>
      <c r="O580" s="5"/>
      <c r="P580" s="5"/>
    </row>
    <row r="581" spans="1:16" ht="27" customHeight="1">
      <c r="A581" s="5"/>
      <c r="B581" s="5"/>
      <c r="C581" s="5"/>
      <c r="D581" s="7"/>
      <c r="E581" s="6"/>
      <c r="F581" s="5"/>
      <c r="G581" s="5"/>
      <c r="H581" s="127"/>
      <c r="I581" s="5"/>
      <c r="J581" s="6"/>
      <c r="K581" s="5"/>
      <c r="L581" s="5"/>
      <c r="M581" s="8"/>
      <c r="N581" s="5"/>
      <c r="O581" s="5"/>
      <c r="P581" s="5"/>
    </row>
    <row r="582" spans="1:16" ht="27" customHeight="1">
      <c r="A582" s="5"/>
      <c r="B582" s="5"/>
      <c r="C582" s="5"/>
      <c r="D582" s="7"/>
      <c r="E582" s="6"/>
      <c r="F582" s="5"/>
      <c r="G582" s="5"/>
      <c r="H582" s="127"/>
      <c r="I582" s="5"/>
      <c r="J582" s="6"/>
      <c r="K582" s="5"/>
      <c r="L582" s="5"/>
      <c r="M582" s="8"/>
      <c r="N582" s="5"/>
      <c r="O582" s="5"/>
      <c r="P582" s="5"/>
    </row>
    <row r="583" spans="1:16" ht="27" customHeight="1">
      <c r="A583" s="5"/>
      <c r="B583" s="5"/>
      <c r="C583" s="5"/>
      <c r="D583" s="7"/>
      <c r="E583" s="6"/>
      <c r="F583" s="5"/>
      <c r="G583" s="5"/>
      <c r="H583" s="127"/>
      <c r="I583" s="5"/>
      <c r="J583" s="6"/>
      <c r="K583" s="5"/>
      <c r="L583" s="5"/>
      <c r="M583" s="8"/>
      <c r="N583" s="5"/>
      <c r="O583" s="5"/>
      <c r="P583" s="5"/>
    </row>
    <row r="584" spans="1:16" ht="27" customHeight="1">
      <c r="A584" s="5"/>
      <c r="B584" s="5"/>
      <c r="C584" s="5"/>
      <c r="D584" s="7"/>
      <c r="E584" s="6"/>
      <c r="F584" s="5"/>
      <c r="G584" s="5"/>
      <c r="H584" s="127"/>
      <c r="I584" s="5"/>
      <c r="J584" s="6"/>
      <c r="K584" s="5"/>
      <c r="L584" s="5"/>
      <c r="M584" s="8"/>
      <c r="N584" s="5"/>
      <c r="O584" s="5"/>
      <c r="P584" s="5"/>
    </row>
    <row r="585" spans="1:16" ht="27" customHeight="1">
      <c r="A585" s="5"/>
      <c r="B585" s="5"/>
      <c r="C585" s="5"/>
      <c r="D585" s="7"/>
      <c r="E585" s="6"/>
      <c r="F585" s="5"/>
      <c r="G585" s="5"/>
      <c r="H585" s="127"/>
      <c r="I585" s="5"/>
      <c r="J585" s="6"/>
      <c r="K585" s="5"/>
      <c r="L585" s="5"/>
      <c r="M585" s="8"/>
      <c r="N585" s="5"/>
      <c r="O585" s="5"/>
      <c r="P585" s="5"/>
    </row>
    <row r="586" spans="1:16" ht="27" customHeight="1">
      <c r="A586" s="5"/>
      <c r="B586" s="5"/>
      <c r="C586" s="5"/>
      <c r="D586" s="7"/>
      <c r="E586" s="6"/>
      <c r="F586" s="5"/>
      <c r="G586" s="5"/>
      <c r="H586" s="127"/>
      <c r="I586" s="5"/>
      <c r="J586" s="6"/>
      <c r="K586" s="5"/>
      <c r="L586" s="5"/>
      <c r="M586" s="8"/>
      <c r="N586" s="5"/>
      <c r="O586" s="5"/>
      <c r="P586" s="5"/>
    </row>
    <row r="587" spans="1:16" ht="27" customHeight="1">
      <c r="A587" s="5"/>
      <c r="B587" s="5"/>
      <c r="C587" s="5"/>
      <c r="D587" s="7"/>
      <c r="E587" s="6"/>
      <c r="F587" s="5"/>
      <c r="G587" s="5"/>
      <c r="H587" s="127"/>
      <c r="I587" s="5"/>
      <c r="J587" s="6"/>
      <c r="K587" s="5"/>
      <c r="L587" s="5"/>
      <c r="M587" s="8"/>
      <c r="N587" s="5"/>
      <c r="O587" s="5"/>
      <c r="P587" s="5"/>
    </row>
    <row r="588" spans="1:16" ht="27" customHeight="1">
      <c r="A588" s="5"/>
      <c r="B588" s="5"/>
      <c r="C588" s="5"/>
      <c r="D588" s="7"/>
      <c r="E588" s="6"/>
      <c r="F588" s="5"/>
      <c r="G588" s="5"/>
      <c r="H588" s="127"/>
      <c r="I588" s="5"/>
      <c r="J588" s="6"/>
      <c r="K588" s="5"/>
      <c r="L588" s="5"/>
      <c r="M588" s="8"/>
      <c r="N588" s="5"/>
      <c r="O588" s="5"/>
      <c r="P588" s="5"/>
    </row>
    <row r="589" spans="1:16" ht="27" customHeight="1">
      <c r="A589" s="5"/>
      <c r="B589" s="5"/>
      <c r="C589" s="5"/>
      <c r="D589" s="7"/>
      <c r="E589" s="6"/>
      <c r="F589" s="5"/>
      <c r="G589" s="5"/>
      <c r="H589" s="127"/>
      <c r="I589" s="5"/>
      <c r="J589" s="6"/>
      <c r="K589" s="5"/>
      <c r="L589" s="5"/>
      <c r="M589" s="8"/>
      <c r="N589" s="5"/>
      <c r="O589" s="5"/>
      <c r="P589" s="5"/>
    </row>
    <row r="590" spans="1:16" ht="27" customHeight="1">
      <c r="A590" s="5"/>
      <c r="B590" s="5"/>
      <c r="C590" s="5"/>
      <c r="D590" s="7"/>
      <c r="E590" s="6"/>
      <c r="F590" s="5"/>
      <c r="G590" s="5"/>
      <c r="H590" s="127"/>
      <c r="I590" s="5"/>
      <c r="J590" s="6"/>
      <c r="K590" s="5"/>
      <c r="L590" s="5"/>
      <c r="M590" s="8"/>
      <c r="N590" s="5"/>
      <c r="O590" s="5"/>
      <c r="P590" s="5"/>
    </row>
    <row r="591" spans="1:16" ht="27" customHeight="1">
      <c r="A591" s="5"/>
      <c r="B591" s="5"/>
      <c r="C591" s="5"/>
      <c r="D591" s="7"/>
      <c r="E591" s="6"/>
      <c r="F591" s="5"/>
      <c r="G591" s="5"/>
      <c r="H591" s="127"/>
      <c r="I591" s="5"/>
      <c r="J591" s="6"/>
      <c r="K591" s="5"/>
      <c r="L591" s="5"/>
      <c r="M591" s="8"/>
      <c r="N591" s="5"/>
      <c r="O591" s="5"/>
      <c r="P591" s="5"/>
    </row>
    <row r="592" spans="1:16" ht="27" customHeight="1">
      <c r="A592" s="5"/>
      <c r="B592" s="5"/>
      <c r="C592" s="5"/>
      <c r="D592" s="7"/>
      <c r="E592" s="6"/>
      <c r="F592" s="5"/>
      <c r="G592" s="5"/>
      <c r="H592" s="127"/>
      <c r="I592" s="5"/>
      <c r="J592" s="6"/>
      <c r="K592" s="5"/>
      <c r="L592" s="5"/>
      <c r="M592" s="8"/>
      <c r="N592" s="5"/>
      <c r="O592" s="5"/>
      <c r="P592" s="5"/>
    </row>
    <row r="593" spans="1:16" ht="27" customHeight="1">
      <c r="A593" s="5"/>
      <c r="B593" s="5"/>
      <c r="C593" s="5"/>
      <c r="D593" s="7"/>
      <c r="E593" s="6"/>
      <c r="F593" s="5"/>
      <c r="G593" s="5"/>
      <c r="H593" s="127"/>
      <c r="I593" s="5"/>
      <c r="J593" s="6"/>
      <c r="K593" s="5"/>
      <c r="L593" s="5"/>
      <c r="M593" s="8"/>
      <c r="N593" s="5"/>
      <c r="O593" s="5"/>
      <c r="P593" s="5"/>
    </row>
    <row r="594" spans="1:16" ht="27" customHeight="1">
      <c r="A594" s="5"/>
      <c r="B594" s="5"/>
      <c r="C594" s="5"/>
      <c r="D594" s="7"/>
      <c r="E594" s="6"/>
      <c r="F594" s="5"/>
      <c r="G594" s="5"/>
      <c r="H594" s="127"/>
      <c r="I594" s="5"/>
      <c r="J594" s="6"/>
      <c r="K594" s="5"/>
      <c r="L594" s="5"/>
      <c r="M594" s="8"/>
      <c r="N594" s="5"/>
      <c r="O594" s="5"/>
      <c r="P594" s="5"/>
    </row>
    <row r="595" spans="1:16" ht="27" customHeight="1">
      <c r="A595" s="5"/>
      <c r="B595" s="5"/>
      <c r="C595" s="5"/>
      <c r="D595" s="7"/>
      <c r="E595" s="6"/>
      <c r="F595" s="5"/>
      <c r="G595" s="5"/>
      <c r="H595" s="127"/>
      <c r="I595" s="5"/>
      <c r="J595" s="6"/>
      <c r="K595" s="5"/>
      <c r="L595" s="5"/>
      <c r="M595" s="8"/>
      <c r="N595" s="5"/>
      <c r="O595" s="5"/>
      <c r="P595" s="5"/>
    </row>
    <row r="596" spans="1:16" ht="27" customHeight="1">
      <c r="A596" s="5"/>
      <c r="B596" s="5"/>
      <c r="C596" s="5"/>
      <c r="D596" s="7"/>
      <c r="E596" s="6"/>
      <c r="F596" s="5"/>
      <c r="G596" s="5"/>
      <c r="H596" s="127"/>
      <c r="I596" s="5"/>
      <c r="J596" s="6"/>
      <c r="K596" s="5"/>
      <c r="L596" s="5"/>
      <c r="M596" s="8"/>
      <c r="N596" s="5"/>
      <c r="O596" s="5"/>
      <c r="P596" s="5"/>
    </row>
    <row r="597" spans="1:16" ht="27" customHeight="1">
      <c r="A597" s="5"/>
      <c r="B597" s="5"/>
      <c r="C597" s="5"/>
      <c r="D597" s="7"/>
      <c r="E597" s="6"/>
      <c r="F597" s="5"/>
      <c r="G597" s="5"/>
      <c r="H597" s="127"/>
      <c r="I597" s="5"/>
      <c r="J597" s="6"/>
      <c r="K597" s="5"/>
      <c r="L597" s="5"/>
      <c r="M597" s="8"/>
      <c r="N597" s="5"/>
      <c r="O597" s="5"/>
      <c r="P597" s="5"/>
    </row>
    <row r="598" spans="1:16" ht="27" customHeight="1">
      <c r="A598" s="5"/>
      <c r="B598" s="5"/>
      <c r="C598" s="5"/>
      <c r="D598" s="7"/>
      <c r="E598" s="6"/>
      <c r="F598" s="5"/>
      <c r="G598" s="5"/>
      <c r="H598" s="127"/>
      <c r="I598" s="5"/>
      <c r="J598" s="6"/>
      <c r="K598" s="5"/>
      <c r="L598" s="5"/>
      <c r="M598" s="8"/>
      <c r="N598" s="5"/>
      <c r="O598" s="5"/>
      <c r="P598" s="5"/>
    </row>
    <row r="599" spans="1:16" ht="27" customHeight="1">
      <c r="A599" s="5"/>
      <c r="B599" s="5"/>
      <c r="C599" s="5"/>
      <c r="D599" s="7"/>
      <c r="E599" s="6"/>
      <c r="F599" s="5"/>
      <c r="G599" s="5"/>
      <c r="H599" s="127"/>
      <c r="I599" s="5"/>
      <c r="J599" s="6"/>
      <c r="K599" s="5"/>
      <c r="L599" s="5"/>
      <c r="M599" s="8"/>
      <c r="N599" s="5"/>
      <c r="O599" s="5"/>
      <c r="P599" s="5"/>
    </row>
    <row r="600" spans="1:16" ht="27" customHeight="1">
      <c r="A600" s="5"/>
      <c r="B600" s="5"/>
      <c r="C600" s="5"/>
      <c r="D600" s="7"/>
      <c r="E600" s="6"/>
      <c r="F600" s="5"/>
      <c r="G600" s="5"/>
      <c r="H600" s="127"/>
      <c r="I600" s="5"/>
      <c r="J600" s="6"/>
      <c r="K600" s="5"/>
      <c r="L600" s="5"/>
      <c r="M600" s="8"/>
      <c r="N600" s="5"/>
      <c r="O600" s="5"/>
      <c r="P600" s="5"/>
    </row>
    <row r="601" spans="1:16" ht="27" customHeight="1">
      <c r="A601" s="5"/>
      <c r="B601" s="5"/>
      <c r="C601" s="5"/>
      <c r="D601" s="7"/>
      <c r="E601" s="6"/>
      <c r="F601" s="5"/>
      <c r="G601" s="5"/>
      <c r="H601" s="127"/>
      <c r="I601" s="5"/>
      <c r="J601" s="6"/>
      <c r="K601" s="5"/>
      <c r="L601" s="5"/>
      <c r="M601" s="8"/>
      <c r="N601" s="5"/>
      <c r="O601" s="5"/>
      <c r="P601" s="5"/>
    </row>
    <row r="602" spans="1:16" ht="27" customHeight="1">
      <c r="A602" s="5"/>
      <c r="B602" s="5"/>
      <c r="C602" s="5"/>
      <c r="D602" s="7"/>
      <c r="E602" s="6"/>
      <c r="F602" s="5"/>
      <c r="G602" s="5"/>
      <c r="H602" s="127"/>
      <c r="I602" s="5"/>
      <c r="J602" s="6"/>
      <c r="K602" s="5"/>
      <c r="L602" s="5"/>
      <c r="M602" s="8"/>
      <c r="N602" s="5"/>
      <c r="O602" s="5"/>
      <c r="P602" s="5"/>
    </row>
    <row r="603" spans="1:16" ht="27" customHeight="1">
      <c r="A603" s="5"/>
      <c r="B603" s="5"/>
      <c r="C603" s="5"/>
      <c r="D603" s="7"/>
      <c r="E603" s="6"/>
      <c r="F603" s="5"/>
      <c r="G603" s="5"/>
      <c r="H603" s="127"/>
      <c r="I603" s="5"/>
      <c r="J603" s="6"/>
      <c r="K603" s="5"/>
      <c r="L603" s="5"/>
      <c r="M603" s="8"/>
      <c r="N603" s="5"/>
      <c r="O603" s="5"/>
      <c r="P603" s="5"/>
    </row>
    <row r="604" spans="1:16" ht="27" customHeight="1">
      <c r="A604" s="5"/>
      <c r="B604" s="5"/>
      <c r="C604" s="5"/>
      <c r="D604" s="7"/>
      <c r="E604" s="6"/>
      <c r="F604" s="5"/>
      <c r="G604" s="5"/>
      <c r="H604" s="127"/>
      <c r="I604" s="5"/>
      <c r="J604" s="6"/>
      <c r="K604" s="5"/>
      <c r="L604" s="5"/>
      <c r="M604" s="8"/>
      <c r="N604" s="5"/>
      <c r="O604" s="5"/>
      <c r="P604" s="5"/>
    </row>
    <row r="605" spans="1:16" ht="27" customHeight="1">
      <c r="A605" s="5"/>
      <c r="B605" s="5"/>
      <c r="C605" s="5"/>
      <c r="D605" s="7"/>
      <c r="E605" s="6"/>
      <c r="F605" s="5"/>
      <c r="G605" s="5"/>
      <c r="H605" s="127"/>
      <c r="I605" s="5"/>
      <c r="J605" s="6"/>
      <c r="K605" s="5"/>
      <c r="L605" s="5"/>
      <c r="M605" s="8"/>
      <c r="N605" s="5"/>
      <c r="O605" s="5"/>
      <c r="P605" s="5"/>
    </row>
    <row r="606" spans="1:16" ht="27" customHeight="1">
      <c r="A606" s="5"/>
      <c r="B606" s="5"/>
      <c r="C606" s="5"/>
      <c r="D606" s="7"/>
      <c r="E606" s="6"/>
      <c r="F606" s="5"/>
      <c r="G606" s="5"/>
      <c r="H606" s="127"/>
      <c r="I606" s="5"/>
      <c r="J606" s="6"/>
      <c r="K606" s="5"/>
      <c r="L606" s="5"/>
      <c r="M606" s="8"/>
      <c r="N606" s="5"/>
      <c r="O606" s="5"/>
      <c r="P606" s="5"/>
    </row>
    <row r="607" spans="1:16" ht="27" customHeight="1">
      <c r="A607" s="5"/>
      <c r="B607" s="5"/>
      <c r="C607" s="5"/>
      <c r="D607" s="7"/>
      <c r="E607" s="6"/>
      <c r="F607" s="5"/>
      <c r="G607" s="5"/>
      <c r="H607" s="127"/>
      <c r="I607" s="5"/>
      <c r="J607" s="6"/>
      <c r="K607" s="5"/>
      <c r="L607" s="5"/>
      <c r="M607" s="8"/>
      <c r="N607" s="5"/>
      <c r="O607" s="5"/>
      <c r="P607" s="5"/>
    </row>
    <row r="608" spans="1:16" ht="27" customHeight="1">
      <c r="A608" s="5"/>
      <c r="B608" s="5"/>
      <c r="C608" s="5"/>
      <c r="D608" s="7"/>
      <c r="E608" s="6"/>
      <c r="F608" s="5"/>
      <c r="G608" s="5"/>
      <c r="H608" s="127"/>
      <c r="I608" s="5"/>
      <c r="J608" s="6"/>
      <c r="K608" s="5"/>
      <c r="L608" s="5"/>
      <c r="M608" s="8"/>
      <c r="N608" s="5"/>
      <c r="O608" s="5"/>
      <c r="P608" s="5"/>
    </row>
    <row r="609" spans="1:16" ht="27" customHeight="1">
      <c r="A609" s="5"/>
      <c r="B609" s="5"/>
      <c r="C609" s="5"/>
      <c r="D609" s="7"/>
      <c r="E609" s="6"/>
      <c r="F609" s="5"/>
      <c r="G609" s="5"/>
      <c r="H609" s="127"/>
      <c r="I609" s="5"/>
      <c r="J609" s="6"/>
      <c r="K609" s="5"/>
      <c r="L609" s="5"/>
      <c r="M609" s="8"/>
      <c r="N609" s="5"/>
      <c r="O609" s="5"/>
      <c r="P609" s="5"/>
    </row>
    <row r="610" spans="1:16" ht="27" customHeight="1">
      <c r="A610" s="5"/>
      <c r="B610" s="5"/>
      <c r="C610" s="5"/>
      <c r="D610" s="7"/>
      <c r="E610" s="6"/>
      <c r="F610" s="5"/>
      <c r="G610" s="5"/>
      <c r="H610" s="127"/>
      <c r="I610" s="5"/>
      <c r="J610" s="6"/>
      <c r="K610" s="5"/>
      <c r="L610" s="5"/>
      <c r="M610" s="8"/>
      <c r="N610" s="5"/>
      <c r="O610" s="5"/>
      <c r="P610" s="5"/>
    </row>
    <row r="611" spans="1:16" ht="27" customHeight="1">
      <c r="A611" s="5"/>
      <c r="B611" s="5"/>
      <c r="C611" s="5"/>
      <c r="D611" s="7"/>
      <c r="E611" s="6"/>
      <c r="F611" s="5"/>
      <c r="G611" s="5"/>
      <c r="H611" s="127"/>
      <c r="I611" s="5"/>
      <c r="J611" s="6"/>
      <c r="K611" s="5"/>
      <c r="L611" s="5"/>
      <c r="M611" s="8"/>
      <c r="N611" s="5"/>
      <c r="O611" s="5"/>
      <c r="P611" s="5"/>
    </row>
    <row r="612" spans="1:16" ht="27" customHeight="1">
      <c r="A612" s="5"/>
      <c r="B612" s="5"/>
      <c r="C612" s="5"/>
      <c r="D612" s="7"/>
      <c r="E612" s="6"/>
      <c r="F612" s="5"/>
      <c r="G612" s="5"/>
      <c r="H612" s="127"/>
      <c r="I612" s="5"/>
      <c r="J612" s="6"/>
      <c r="K612" s="5"/>
      <c r="L612" s="5"/>
      <c r="M612" s="8"/>
      <c r="N612" s="5"/>
      <c r="O612" s="5"/>
      <c r="P612" s="5"/>
    </row>
    <row r="613" spans="1:16" ht="27" customHeight="1">
      <c r="A613" s="5"/>
      <c r="B613" s="5"/>
      <c r="C613" s="5"/>
      <c r="D613" s="7"/>
      <c r="E613" s="6"/>
      <c r="F613" s="5"/>
      <c r="G613" s="5"/>
      <c r="H613" s="127"/>
      <c r="I613" s="5"/>
      <c r="J613" s="6"/>
      <c r="K613" s="5"/>
      <c r="L613" s="5"/>
      <c r="M613" s="8"/>
      <c r="N613" s="5"/>
      <c r="O613" s="5"/>
      <c r="P613" s="5"/>
    </row>
    <row r="614" spans="1:16" ht="27" customHeight="1">
      <c r="A614" s="5"/>
      <c r="B614" s="5"/>
      <c r="C614" s="5"/>
      <c r="D614" s="7"/>
      <c r="E614" s="6"/>
      <c r="F614" s="5"/>
      <c r="G614" s="5"/>
      <c r="H614" s="127"/>
      <c r="I614" s="5"/>
      <c r="J614" s="6"/>
      <c r="K614" s="5"/>
      <c r="L614" s="5"/>
      <c r="M614" s="8"/>
      <c r="N614" s="5"/>
      <c r="O614" s="5"/>
      <c r="P614" s="5"/>
    </row>
    <row r="615" spans="1:16" ht="27" customHeight="1">
      <c r="A615" s="5"/>
      <c r="B615" s="5"/>
      <c r="C615" s="5"/>
      <c r="D615" s="7"/>
      <c r="E615" s="6"/>
      <c r="F615" s="5"/>
      <c r="G615" s="5"/>
      <c r="H615" s="127"/>
      <c r="I615" s="5"/>
      <c r="J615" s="6"/>
      <c r="K615" s="5"/>
      <c r="L615" s="5"/>
      <c r="M615" s="8"/>
      <c r="N615" s="5"/>
      <c r="O615" s="5"/>
      <c r="P615" s="5"/>
    </row>
    <row r="616" spans="1:16" ht="27" customHeight="1">
      <c r="A616" s="5"/>
      <c r="B616" s="5"/>
      <c r="C616" s="5"/>
      <c r="D616" s="7"/>
      <c r="E616" s="6"/>
      <c r="F616" s="5"/>
      <c r="G616" s="5"/>
      <c r="H616" s="127"/>
      <c r="I616" s="5"/>
      <c r="J616" s="6"/>
      <c r="K616" s="5"/>
      <c r="L616" s="5"/>
      <c r="M616" s="8"/>
      <c r="N616" s="5"/>
      <c r="O616" s="5"/>
      <c r="P616" s="5"/>
    </row>
    <row r="617" spans="1:16" ht="27" customHeight="1">
      <c r="A617" s="5"/>
      <c r="B617" s="5"/>
      <c r="C617" s="5"/>
      <c r="D617" s="7"/>
      <c r="E617" s="6"/>
      <c r="F617" s="5"/>
      <c r="G617" s="5"/>
      <c r="H617" s="127"/>
      <c r="I617" s="5"/>
      <c r="J617" s="6"/>
      <c r="K617" s="5"/>
      <c r="L617" s="5"/>
      <c r="M617" s="8"/>
      <c r="N617" s="5"/>
      <c r="O617" s="5"/>
      <c r="P617" s="5"/>
    </row>
    <row r="618" spans="1:16" ht="27" customHeight="1">
      <c r="A618" s="5"/>
      <c r="B618" s="5"/>
      <c r="C618" s="5"/>
      <c r="D618" s="7"/>
      <c r="E618" s="6"/>
      <c r="F618" s="5"/>
      <c r="G618" s="5"/>
      <c r="H618" s="127"/>
      <c r="I618" s="5"/>
      <c r="J618" s="6"/>
      <c r="K618" s="5"/>
      <c r="L618" s="5"/>
      <c r="M618" s="8"/>
      <c r="N618" s="5"/>
      <c r="O618" s="5"/>
      <c r="P618" s="5"/>
    </row>
    <row r="619" spans="1:16" ht="27" customHeight="1">
      <c r="A619" s="5"/>
      <c r="B619" s="5"/>
      <c r="C619" s="5"/>
      <c r="D619" s="7"/>
      <c r="E619" s="6"/>
      <c r="F619" s="5"/>
      <c r="G619" s="5"/>
      <c r="H619" s="127"/>
      <c r="I619" s="5"/>
      <c r="J619" s="6"/>
      <c r="K619" s="5"/>
      <c r="L619" s="5"/>
      <c r="M619" s="8"/>
      <c r="N619" s="5"/>
      <c r="O619" s="5"/>
      <c r="P619" s="5"/>
    </row>
    <row r="620" spans="1:16" ht="27" customHeight="1">
      <c r="A620" s="5"/>
      <c r="B620" s="5"/>
      <c r="C620" s="5"/>
      <c r="D620" s="7"/>
      <c r="E620" s="6"/>
      <c r="F620" s="5"/>
      <c r="G620" s="5"/>
      <c r="H620" s="127"/>
      <c r="I620" s="5"/>
      <c r="J620" s="6"/>
      <c r="K620" s="5"/>
      <c r="L620" s="5"/>
      <c r="M620" s="8"/>
      <c r="N620" s="5"/>
      <c r="O620" s="5"/>
      <c r="P620" s="5"/>
    </row>
    <row r="621" spans="1:16" ht="27" customHeight="1">
      <c r="A621" s="5"/>
      <c r="B621" s="5"/>
      <c r="C621" s="5"/>
      <c r="D621" s="7"/>
      <c r="E621" s="6"/>
      <c r="F621" s="5"/>
      <c r="G621" s="5"/>
      <c r="H621" s="127"/>
      <c r="I621" s="5"/>
      <c r="J621" s="6"/>
      <c r="K621" s="5"/>
      <c r="L621" s="5"/>
      <c r="M621" s="8"/>
      <c r="N621" s="5"/>
      <c r="O621" s="5"/>
      <c r="P621" s="5"/>
    </row>
    <row r="622" spans="1:16" ht="27" customHeight="1">
      <c r="A622" s="5"/>
      <c r="B622" s="5"/>
      <c r="C622" s="5"/>
      <c r="D622" s="7"/>
      <c r="E622" s="6"/>
      <c r="F622" s="5"/>
      <c r="G622" s="5"/>
      <c r="H622" s="127"/>
      <c r="I622" s="5"/>
      <c r="J622" s="6"/>
      <c r="K622" s="5"/>
      <c r="L622" s="5"/>
      <c r="M622" s="8"/>
      <c r="N622" s="5"/>
      <c r="O622" s="5"/>
      <c r="P622" s="5"/>
    </row>
    <row r="623" spans="1:16" ht="27" customHeight="1">
      <c r="A623" s="5"/>
      <c r="B623" s="5"/>
      <c r="C623" s="5"/>
      <c r="D623" s="7"/>
      <c r="E623" s="6"/>
      <c r="F623" s="5"/>
      <c r="G623" s="5"/>
      <c r="H623" s="127"/>
      <c r="I623" s="5"/>
      <c r="J623" s="6"/>
      <c r="K623" s="5"/>
      <c r="L623" s="5"/>
      <c r="M623" s="8"/>
      <c r="N623" s="5"/>
      <c r="O623" s="5"/>
      <c r="P623" s="5"/>
    </row>
    <row r="624" spans="1:16" ht="27" customHeight="1">
      <c r="A624" s="5"/>
      <c r="B624" s="5"/>
      <c r="C624" s="5"/>
      <c r="D624" s="7"/>
      <c r="E624" s="6"/>
      <c r="F624" s="5"/>
      <c r="G624" s="5"/>
      <c r="H624" s="127"/>
      <c r="I624" s="5"/>
      <c r="J624" s="6"/>
      <c r="K624" s="5"/>
      <c r="L624" s="5"/>
      <c r="M624" s="8"/>
      <c r="N624" s="5"/>
      <c r="O624" s="5"/>
      <c r="P624" s="5"/>
    </row>
    <row r="625" spans="1:16" ht="27" customHeight="1">
      <c r="A625" s="5"/>
      <c r="B625" s="5"/>
      <c r="C625" s="5"/>
      <c r="D625" s="7"/>
      <c r="E625" s="6"/>
      <c r="F625" s="5"/>
      <c r="G625" s="5"/>
      <c r="H625" s="127"/>
      <c r="I625" s="5"/>
      <c r="J625" s="6"/>
      <c r="K625" s="5"/>
      <c r="L625" s="5"/>
      <c r="M625" s="8"/>
      <c r="N625" s="5"/>
      <c r="O625" s="5"/>
      <c r="P625" s="5"/>
    </row>
    <row r="626" spans="1:16" ht="27" customHeight="1">
      <c r="A626" s="5"/>
      <c r="B626" s="5"/>
      <c r="C626" s="5"/>
      <c r="D626" s="7"/>
      <c r="E626" s="6"/>
      <c r="F626" s="5"/>
      <c r="G626" s="5"/>
      <c r="H626" s="127"/>
      <c r="I626" s="5"/>
      <c r="J626" s="6"/>
      <c r="K626" s="5"/>
      <c r="L626" s="5"/>
      <c r="M626" s="8"/>
      <c r="N626" s="5"/>
      <c r="O626" s="5"/>
      <c r="P626" s="5"/>
    </row>
    <row r="627" spans="1:16" ht="27" customHeight="1">
      <c r="A627" s="5"/>
      <c r="B627" s="5"/>
      <c r="C627" s="5"/>
      <c r="D627" s="7"/>
      <c r="E627" s="6"/>
      <c r="F627" s="5"/>
      <c r="G627" s="5"/>
      <c r="H627" s="127"/>
      <c r="I627" s="5"/>
      <c r="J627" s="6"/>
      <c r="K627" s="5"/>
      <c r="L627" s="5"/>
      <c r="M627" s="8"/>
      <c r="N627" s="5"/>
      <c r="O627" s="5"/>
      <c r="P627" s="5"/>
    </row>
    <row r="628" spans="1:16" ht="27" customHeight="1">
      <c r="A628" s="5"/>
      <c r="B628" s="5"/>
      <c r="C628" s="5"/>
      <c r="D628" s="7"/>
      <c r="E628" s="6"/>
      <c r="F628" s="5"/>
      <c r="G628" s="5"/>
      <c r="H628" s="127"/>
      <c r="I628" s="5"/>
      <c r="J628" s="6"/>
      <c r="K628" s="5"/>
      <c r="L628" s="5"/>
      <c r="M628" s="8"/>
      <c r="N628" s="5"/>
      <c r="O628" s="5"/>
      <c r="P628" s="5"/>
    </row>
    <row r="629" spans="1:16" ht="27" customHeight="1">
      <c r="A629" s="5"/>
      <c r="B629" s="5"/>
      <c r="C629" s="5"/>
      <c r="D629" s="7"/>
      <c r="E629" s="6"/>
      <c r="F629" s="5"/>
      <c r="G629" s="5"/>
      <c r="H629" s="127"/>
      <c r="I629" s="5"/>
      <c r="J629" s="6"/>
      <c r="K629" s="5"/>
      <c r="L629" s="5"/>
      <c r="M629" s="8"/>
      <c r="N629" s="5"/>
      <c r="O629" s="5"/>
      <c r="P629" s="5"/>
    </row>
    <row r="630" spans="1:16" ht="27" customHeight="1">
      <c r="A630" s="5"/>
      <c r="B630" s="5"/>
      <c r="C630" s="5"/>
      <c r="D630" s="7"/>
      <c r="E630" s="6"/>
      <c r="F630" s="5"/>
      <c r="G630" s="5"/>
      <c r="H630" s="127"/>
      <c r="I630" s="5"/>
      <c r="J630" s="6"/>
      <c r="K630" s="5"/>
      <c r="L630" s="5"/>
      <c r="M630" s="8"/>
      <c r="N630" s="5"/>
      <c r="O630" s="5"/>
      <c r="P630" s="5"/>
    </row>
    <row r="631" spans="1:16" ht="27" customHeight="1">
      <c r="A631" s="5"/>
      <c r="B631" s="5"/>
      <c r="C631" s="5"/>
      <c r="D631" s="7"/>
      <c r="E631" s="6"/>
      <c r="F631" s="5"/>
      <c r="G631" s="5"/>
      <c r="H631" s="127"/>
      <c r="I631" s="5"/>
      <c r="J631" s="6"/>
      <c r="K631" s="5"/>
      <c r="L631" s="5"/>
      <c r="M631" s="8"/>
      <c r="N631" s="5"/>
      <c r="O631" s="5"/>
      <c r="P631" s="5"/>
    </row>
    <row r="632" spans="1:16" ht="27" customHeight="1">
      <c r="A632" s="5"/>
      <c r="B632" s="5"/>
      <c r="C632" s="5"/>
      <c r="D632" s="7"/>
      <c r="E632" s="6"/>
      <c r="F632" s="5"/>
      <c r="G632" s="5"/>
      <c r="H632" s="127"/>
      <c r="I632" s="5"/>
      <c r="J632" s="6"/>
      <c r="K632" s="5"/>
      <c r="L632" s="5"/>
      <c r="M632" s="8"/>
      <c r="N632" s="5"/>
      <c r="O632" s="5"/>
      <c r="P632" s="5"/>
    </row>
    <row r="633" spans="1:16" ht="27" customHeight="1">
      <c r="A633" s="5"/>
      <c r="B633" s="5"/>
      <c r="C633" s="5"/>
      <c r="D633" s="7"/>
      <c r="E633" s="6"/>
      <c r="F633" s="5"/>
      <c r="G633" s="5"/>
      <c r="H633" s="127"/>
      <c r="I633" s="5"/>
      <c r="J633" s="6"/>
      <c r="K633" s="5"/>
      <c r="L633" s="5"/>
      <c r="M633" s="8"/>
      <c r="N633" s="5"/>
      <c r="O633" s="5"/>
      <c r="P633" s="5"/>
    </row>
    <row r="634" spans="1:16" ht="27" customHeight="1">
      <c r="A634" s="5"/>
      <c r="B634" s="5"/>
      <c r="C634" s="5"/>
      <c r="D634" s="7"/>
      <c r="E634" s="6"/>
      <c r="F634" s="5"/>
      <c r="G634" s="5"/>
      <c r="H634" s="127"/>
      <c r="I634" s="5"/>
      <c r="J634" s="6"/>
      <c r="K634" s="5"/>
      <c r="L634" s="5"/>
      <c r="M634" s="8"/>
      <c r="N634" s="5"/>
      <c r="O634" s="5"/>
      <c r="P634" s="5"/>
    </row>
    <row r="635" spans="1:16" ht="27" customHeight="1">
      <c r="A635" s="5"/>
      <c r="B635" s="5"/>
      <c r="C635" s="5"/>
      <c r="D635" s="7"/>
      <c r="E635" s="6"/>
      <c r="F635" s="5"/>
      <c r="G635" s="5"/>
      <c r="H635" s="127"/>
      <c r="I635" s="5"/>
      <c r="J635" s="6"/>
      <c r="K635" s="5"/>
      <c r="L635" s="5"/>
      <c r="M635" s="8"/>
      <c r="N635" s="5"/>
      <c r="O635" s="5"/>
      <c r="P635" s="5"/>
    </row>
    <row r="636" spans="1:16" ht="27" customHeight="1">
      <c r="A636" s="5"/>
      <c r="B636" s="5"/>
      <c r="C636" s="5"/>
      <c r="D636" s="7"/>
      <c r="E636" s="6"/>
      <c r="F636" s="5"/>
      <c r="G636" s="5"/>
      <c r="H636" s="127"/>
      <c r="I636" s="5"/>
      <c r="J636" s="6"/>
      <c r="K636" s="5"/>
      <c r="L636" s="5"/>
      <c r="M636" s="8"/>
      <c r="N636" s="5"/>
      <c r="O636" s="5"/>
      <c r="P636" s="5"/>
    </row>
    <row r="637" spans="1:16" ht="27" customHeight="1">
      <c r="A637" s="5"/>
      <c r="B637" s="5"/>
      <c r="C637" s="5"/>
      <c r="D637" s="7"/>
      <c r="E637" s="6"/>
      <c r="F637" s="5"/>
      <c r="G637" s="5"/>
      <c r="H637" s="127"/>
      <c r="I637" s="5"/>
      <c r="J637" s="6"/>
      <c r="K637" s="5"/>
      <c r="L637" s="5"/>
      <c r="M637" s="8"/>
      <c r="N637" s="5"/>
      <c r="O637" s="5"/>
      <c r="P637" s="5"/>
    </row>
    <row r="638" spans="1:16" ht="27" customHeight="1">
      <c r="A638" s="5"/>
      <c r="B638" s="5"/>
      <c r="C638" s="5"/>
      <c r="D638" s="7"/>
      <c r="E638" s="6"/>
      <c r="F638" s="5"/>
      <c r="G638" s="5"/>
      <c r="H638" s="127"/>
      <c r="I638" s="5"/>
      <c r="J638" s="6"/>
      <c r="K638" s="5"/>
      <c r="L638" s="5"/>
      <c r="M638" s="8"/>
      <c r="N638" s="5"/>
      <c r="O638" s="5"/>
      <c r="P638" s="5"/>
    </row>
    <row r="639" spans="1:16" ht="27" customHeight="1">
      <c r="A639" s="5"/>
      <c r="B639" s="5"/>
      <c r="C639" s="5"/>
      <c r="D639" s="7"/>
      <c r="E639" s="6"/>
      <c r="F639" s="5"/>
      <c r="G639" s="5"/>
      <c r="H639" s="127"/>
      <c r="I639" s="5"/>
      <c r="J639" s="6"/>
      <c r="K639" s="5"/>
      <c r="L639" s="5"/>
      <c r="M639" s="8"/>
      <c r="N639" s="5"/>
      <c r="O639" s="5"/>
      <c r="P639" s="5"/>
    </row>
    <row r="640" spans="1:16" ht="27" customHeight="1">
      <c r="A640" s="5"/>
      <c r="B640" s="5"/>
      <c r="C640" s="5"/>
      <c r="D640" s="7"/>
      <c r="E640" s="6"/>
      <c r="F640" s="5"/>
      <c r="G640" s="5"/>
      <c r="H640" s="127"/>
      <c r="I640" s="5"/>
      <c r="J640" s="6"/>
      <c r="K640" s="5"/>
      <c r="L640" s="5"/>
      <c r="M640" s="8"/>
      <c r="N640" s="5"/>
      <c r="O640" s="5"/>
      <c r="P640" s="5"/>
    </row>
    <row r="641" spans="1:16" ht="27" customHeight="1">
      <c r="A641" s="5"/>
      <c r="B641" s="5"/>
      <c r="C641" s="5"/>
      <c r="D641" s="7"/>
      <c r="E641" s="6"/>
      <c r="F641" s="5"/>
      <c r="G641" s="5"/>
      <c r="H641" s="127"/>
      <c r="I641" s="5"/>
      <c r="J641" s="6"/>
      <c r="K641" s="5"/>
      <c r="L641" s="5"/>
      <c r="M641" s="8"/>
      <c r="N641" s="5"/>
      <c r="O641" s="5"/>
      <c r="P641" s="5"/>
    </row>
    <row r="642" spans="1:16" ht="27" customHeight="1">
      <c r="A642" s="5"/>
      <c r="B642" s="5"/>
      <c r="C642" s="5"/>
      <c r="D642" s="7"/>
      <c r="E642" s="6"/>
      <c r="F642" s="5"/>
      <c r="G642" s="5"/>
      <c r="H642" s="127"/>
      <c r="I642" s="5"/>
      <c r="J642" s="6"/>
      <c r="K642" s="5"/>
      <c r="L642" s="5"/>
      <c r="M642" s="8"/>
      <c r="N642" s="5"/>
      <c r="O642" s="5"/>
      <c r="P642" s="5"/>
    </row>
    <row r="643" spans="1:16" ht="27" customHeight="1">
      <c r="A643" s="5"/>
      <c r="B643" s="5"/>
      <c r="C643" s="5"/>
      <c r="D643" s="7"/>
      <c r="E643" s="6"/>
      <c r="F643" s="5"/>
      <c r="G643" s="5"/>
      <c r="H643" s="127"/>
      <c r="I643" s="5"/>
      <c r="J643" s="6"/>
      <c r="K643" s="5"/>
      <c r="L643" s="5"/>
      <c r="M643" s="8"/>
      <c r="N643" s="5"/>
      <c r="O643" s="5"/>
      <c r="P643" s="5"/>
    </row>
    <row r="644" spans="1:16" ht="27" customHeight="1">
      <c r="A644" s="5"/>
      <c r="B644" s="5"/>
      <c r="C644" s="5"/>
      <c r="D644" s="7"/>
      <c r="E644" s="6"/>
      <c r="F644" s="5"/>
      <c r="G644" s="5"/>
      <c r="H644" s="127"/>
      <c r="I644" s="5"/>
      <c r="J644" s="6"/>
      <c r="K644" s="5"/>
      <c r="L644" s="5"/>
      <c r="M644" s="8"/>
      <c r="N644" s="5"/>
      <c r="O644" s="5"/>
      <c r="P644" s="5"/>
    </row>
    <row r="645" spans="1:16" ht="27" customHeight="1">
      <c r="A645" s="5"/>
      <c r="B645" s="5"/>
      <c r="C645" s="5"/>
      <c r="D645" s="7"/>
      <c r="E645" s="6"/>
      <c r="F645" s="5"/>
      <c r="G645" s="5"/>
      <c r="H645" s="127"/>
      <c r="I645" s="5"/>
      <c r="J645" s="6"/>
      <c r="K645" s="5"/>
      <c r="L645" s="5"/>
      <c r="M645" s="8"/>
      <c r="N645" s="5"/>
      <c r="O645" s="5"/>
      <c r="P645" s="5"/>
    </row>
    <row r="646" spans="1:16" ht="27" customHeight="1">
      <c r="A646" s="5"/>
      <c r="B646" s="5"/>
      <c r="C646" s="5"/>
      <c r="D646" s="7"/>
      <c r="E646" s="6"/>
      <c r="F646" s="5"/>
      <c r="G646" s="5"/>
      <c r="H646" s="127"/>
      <c r="I646" s="5"/>
      <c r="J646" s="6"/>
      <c r="K646" s="5"/>
      <c r="L646" s="5"/>
      <c r="M646" s="8"/>
      <c r="N646" s="5"/>
      <c r="O646" s="5"/>
      <c r="P646" s="5"/>
    </row>
    <row r="647" spans="1:16" ht="27" customHeight="1">
      <c r="A647" s="5"/>
      <c r="B647" s="5"/>
      <c r="C647" s="5"/>
      <c r="D647" s="7"/>
      <c r="E647" s="6"/>
      <c r="F647" s="5"/>
      <c r="G647" s="5"/>
      <c r="H647" s="127"/>
      <c r="I647" s="5"/>
      <c r="J647" s="6"/>
      <c r="K647" s="5"/>
      <c r="L647" s="5"/>
      <c r="M647" s="8"/>
      <c r="N647" s="5"/>
      <c r="O647" s="5"/>
      <c r="P647" s="5"/>
    </row>
    <row r="648" spans="1:16" ht="27" customHeight="1">
      <c r="A648" s="5"/>
      <c r="B648" s="5"/>
      <c r="C648" s="5"/>
      <c r="D648" s="7"/>
      <c r="E648" s="6"/>
      <c r="F648" s="5"/>
      <c r="G648" s="5"/>
      <c r="H648" s="127"/>
      <c r="I648" s="5"/>
      <c r="J648" s="6"/>
      <c r="K648" s="5"/>
      <c r="L648" s="5"/>
      <c r="M648" s="8"/>
      <c r="N648" s="5"/>
      <c r="O648" s="5"/>
      <c r="P648" s="5"/>
    </row>
    <row r="649" spans="1:16" ht="27" customHeight="1">
      <c r="A649" s="5"/>
      <c r="B649" s="5"/>
      <c r="C649" s="5"/>
      <c r="D649" s="7"/>
      <c r="E649" s="6"/>
      <c r="F649" s="5"/>
      <c r="G649" s="5"/>
      <c r="H649" s="127"/>
      <c r="I649" s="5"/>
      <c r="J649" s="6"/>
      <c r="K649" s="5"/>
      <c r="L649" s="5"/>
      <c r="M649" s="8"/>
      <c r="N649" s="5"/>
      <c r="O649" s="5"/>
      <c r="P649" s="5"/>
    </row>
    <row r="650" spans="1:16" ht="27" customHeight="1">
      <c r="A650" s="5"/>
      <c r="B650" s="5"/>
      <c r="C650" s="5"/>
      <c r="D650" s="7"/>
      <c r="E650" s="6"/>
      <c r="F650" s="5"/>
      <c r="G650" s="5"/>
      <c r="H650" s="127"/>
      <c r="I650" s="5"/>
      <c r="J650" s="6"/>
      <c r="K650" s="5"/>
      <c r="L650" s="5"/>
      <c r="M650" s="8"/>
      <c r="N650" s="5"/>
      <c r="O650" s="5"/>
      <c r="P650" s="5"/>
    </row>
    <row r="651" spans="1:16" ht="27" customHeight="1">
      <c r="A651" s="5"/>
      <c r="B651" s="5"/>
      <c r="C651" s="5"/>
      <c r="D651" s="7"/>
      <c r="E651" s="6"/>
      <c r="F651" s="5"/>
      <c r="G651" s="5"/>
      <c r="H651" s="127"/>
      <c r="I651" s="5"/>
      <c r="J651" s="6"/>
      <c r="K651" s="5"/>
      <c r="L651" s="5"/>
      <c r="M651" s="8"/>
      <c r="N651" s="5"/>
      <c r="O651" s="5"/>
      <c r="P651" s="5"/>
    </row>
    <row r="652" spans="1:16" ht="27" customHeight="1">
      <c r="A652" s="5"/>
      <c r="B652" s="5"/>
      <c r="C652" s="5"/>
      <c r="D652" s="7"/>
      <c r="E652" s="6"/>
      <c r="F652" s="5"/>
      <c r="G652" s="5"/>
      <c r="H652" s="127"/>
      <c r="I652" s="5"/>
      <c r="J652" s="6"/>
      <c r="K652" s="5"/>
      <c r="L652" s="5"/>
      <c r="M652" s="8"/>
      <c r="N652" s="5"/>
      <c r="O652" s="5"/>
      <c r="P652" s="5"/>
    </row>
    <row r="653" spans="1:16" ht="27" customHeight="1">
      <c r="A653" s="5"/>
      <c r="B653" s="5"/>
      <c r="C653" s="5"/>
      <c r="D653" s="7"/>
      <c r="E653" s="6"/>
      <c r="F653" s="5"/>
      <c r="G653" s="5"/>
      <c r="H653" s="127"/>
      <c r="I653" s="5"/>
      <c r="J653" s="6"/>
      <c r="K653" s="5"/>
      <c r="L653" s="5"/>
      <c r="M653" s="8"/>
      <c r="N653" s="5"/>
      <c r="O653" s="5"/>
      <c r="P653" s="5"/>
    </row>
    <row r="654" spans="1:16" ht="27" customHeight="1">
      <c r="A654" s="5"/>
      <c r="B654" s="5"/>
      <c r="C654" s="5"/>
      <c r="D654" s="7"/>
      <c r="E654" s="6"/>
      <c r="F654" s="5"/>
      <c r="G654" s="5"/>
      <c r="H654" s="127"/>
      <c r="I654" s="5"/>
      <c r="J654" s="6"/>
      <c r="K654" s="5"/>
      <c r="L654" s="5"/>
      <c r="M654" s="8"/>
      <c r="N654" s="5"/>
      <c r="O654" s="5"/>
      <c r="P654" s="5"/>
    </row>
    <row r="655" spans="1:16" ht="27" customHeight="1">
      <c r="A655" s="5"/>
      <c r="B655" s="5"/>
      <c r="C655" s="5"/>
      <c r="D655" s="7"/>
      <c r="E655" s="6"/>
      <c r="F655" s="5"/>
      <c r="G655" s="5"/>
      <c r="H655" s="127"/>
      <c r="I655" s="5"/>
      <c r="J655" s="6"/>
      <c r="K655" s="5"/>
      <c r="L655" s="5"/>
      <c r="M655" s="8"/>
      <c r="N655" s="5"/>
      <c r="O655" s="5"/>
      <c r="P655" s="5"/>
    </row>
    <row r="656" spans="1:16" ht="27" customHeight="1">
      <c r="A656" s="5"/>
      <c r="B656" s="5"/>
      <c r="C656" s="5"/>
      <c r="D656" s="7"/>
      <c r="E656" s="6"/>
      <c r="F656" s="5"/>
      <c r="G656" s="5"/>
      <c r="H656" s="127"/>
      <c r="I656" s="5"/>
      <c r="J656" s="6"/>
      <c r="K656" s="5"/>
      <c r="L656" s="5"/>
      <c r="M656" s="8"/>
      <c r="N656" s="5"/>
      <c r="O656" s="5"/>
      <c r="P656" s="5"/>
    </row>
    <row r="657" spans="1:16" ht="27" customHeight="1">
      <c r="A657" s="5"/>
      <c r="B657" s="5"/>
      <c r="C657" s="5"/>
      <c r="D657" s="7"/>
      <c r="E657" s="6"/>
      <c r="F657" s="5"/>
      <c r="G657" s="5"/>
      <c r="H657" s="127"/>
      <c r="I657" s="5"/>
      <c r="J657" s="6"/>
      <c r="K657" s="5"/>
      <c r="L657" s="5"/>
      <c r="M657" s="8"/>
      <c r="N657" s="5"/>
      <c r="O657" s="5"/>
      <c r="P657" s="5"/>
    </row>
    <row r="658" spans="1:16" ht="27" customHeight="1">
      <c r="A658" s="5"/>
      <c r="B658" s="5"/>
      <c r="C658" s="5"/>
      <c r="D658" s="7"/>
      <c r="E658" s="6"/>
      <c r="F658" s="5"/>
      <c r="G658" s="5"/>
      <c r="H658" s="127"/>
      <c r="I658" s="5"/>
      <c r="J658" s="6"/>
      <c r="K658" s="5"/>
      <c r="L658" s="5"/>
      <c r="M658" s="8"/>
      <c r="N658" s="5"/>
      <c r="O658" s="5"/>
      <c r="P658" s="5"/>
    </row>
    <row r="659" spans="1:16" ht="27" customHeight="1">
      <c r="A659" s="5"/>
      <c r="B659" s="5"/>
      <c r="C659" s="5"/>
      <c r="D659" s="7"/>
      <c r="E659" s="6"/>
      <c r="F659" s="5"/>
      <c r="G659" s="5"/>
      <c r="H659" s="127"/>
      <c r="I659" s="5"/>
      <c r="J659" s="6"/>
      <c r="K659" s="5"/>
      <c r="L659" s="5"/>
      <c r="M659" s="8"/>
      <c r="N659" s="5"/>
      <c r="O659" s="5"/>
      <c r="P659" s="5"/>
    </row>
    <row r="660" spans="1:16" ht="27" customHeight="1">
      <c r="A660" s="5"/>
      <c r="B660" s="5"/>
      <c r="C660" s="5"/>
      <c r="D660" s="7"/>
      <c r="E660" s="6"/>
      <c r="F660" s="5"/>
      <c r="G660" s="5"/>
      <c r="H660" s="127"/>
      <c r="I660" s="5"/>
      <c r="J660" s="6"/>
      <c r="K660" s="5"/>
      <c r="L660" s="5"/>
      <c r="M660" s="8"/>
      <c r="N660" s="5"/>
      <c r="O660" s="5"/>
      <c r="P660" s="5"/>
    </row>
    <row r="661" spans="1:16" ht="27" customHeight="1">
      <c r="A661" s="5"/>
      <c r="B661" s="5"/>
      <c r="C661" s="5"/>
      <c r="D661" s="7"/>
      <c r="E661" s="6"/>
      <c r="F661" s="5"/>
      <c r="G661" s="5"/>
      <c r="H661" s="127"/>
      <c r="I661" s="5"/>
      <c r="J661" s="6"/>
      <c r="K661" s="5"/>
      <c r="L661" s="5"/>
      <c r="M661" s="8"/>
      <c r="N661" s="5"/>
      <c r="O661" s="5"/>
      <c r="P661" s="5"/>
    </row>
    <row r="662" spans="1:16" ht="27" customHeight="1">
      <c r="A662" s="5"/>
      <c r="B662" s="5"/>
      <c r="C662" s="5"/>
      <c r="D662" s="7"/>
      <c r="E662" s="6"/>
      <c r="F662" s="5"/>
      <c r="G662" s="5"/>
      <c r="H662" s="127"/>
      <c r="I662" s="5"/>
      <c r="J662" s="6"/>
      <c r="K662" s="5"/>
      <c r="L662" s="5"/>
      <c r="M662" s="8"/>
      <c r="N662" s="5"/>
      <c r="O662" s="5"/>
      <c r="P662" s="5"/>
    </row>
    <row r="663" spans="1:16" ht="27" customHeight="1">
      <c r="A663" s="5"/>
      <c r="B663" s="5"/>
      <c r="C663" s="5"/>
      <c r="D663" s="7"/>
      <c r="E663" s="6"/>
      <c r="F663" s="5"/>
      <c r="G663" s="5"/>
      <c r="H663" s="127"/>
      <c r="I663" s="5"/>
      <c r="J663" s="6"/>
      <c r="K663" s="5"/>
      <c r="L663" s="5"/>
      <c r="M663" s="8"/>
      <c r="N663" s="5"/>
      <c r="O663" s="5"/>
      <c r="P663" s="5"/>
    </row>
    <row r="664" spans="1:16" ht="27" customHeight="1">
      <c r="A664" s="5"/>
      <c r="B664" s="5"/>
      <c r="C664" s="5"/>
      <c r="D664" s="7"/>
      <c r="E664" s="6"/>
      <c r="F664" s="5"/>
      <c r="G664" s="5"/>
      <c r="H664" s="127"/>
      <c r="I664" s="5"/>
      <c r="J664" s="6"/>
      <c r="K664" s="5"/>
      <c r="L664" s="5"/>
      <c r="M664" s="8"/>
      <c r="N664" s="5"/>
      <c r="O664" s="5"/>
      <c r="P664" s="5"/>
    </row>
    <row r="665" spans="1:16" ht="27" customHeight="1">
      <c r="A665" s="5"/>
      <c r="B665" s="5"/>
      <c r="C665" s="5"/>
      <c r="D665" s="7"/>
      <c r="E665" s="6"/>
      <c r="F665" s="5"/>
      <c r="G665" s="5"/>
      <c r="H665" s="127"/>
      <c r="I665" s="5"/>
      <c r="J665" s="6"/>
      <c r="K665" s="5"/>
      <c r="L665" s="5"/>
      <c r="M665" s="8"/>
      <c r="N665" s="5"/>
      <c r="O665" s="5"/>
      <c r="P665" s="5"/>
    </row>
    <row r="666" spans="1:16" ht="27" customHeight="1">
      <c r="A666" s="5"/>
      <c r="B666" s="5"/>
      <c r="C666" s="5"/>
      <c r="D666" s="7"/>
      <c r="E666" s="6"/>
      <c r="F666" s="5"/>
      <c r="G666" s="5"/>
      <c r="H666" s="127"/>
      <c r="I666" s="5"/>
      <c r="J666" s="6"/>
      <c r="K666" s="5"/>
      <c r="L666" s="5"/>
      <c r="M666" s="8"/>
      <c r="N666" s="5"/>
      <c r="O666" s="5"/>
      <c r="P666" s="5"/>
    </row>
    <row r="667" spans="1:16" ht="27" customHeight="1">
      <c r="A667" s="5"/>
      <c r="B667" s="5"/>
      <c r="C667" s="5"/>
      <c r="D667" s="7"/>
      <c r="E667" s="6"/>
      <c r="F667" s="5"/>
      <c r="G667" s="5"/>
      <c r="H667" s="127"/>
      <c r="I667" s="5"/>
      <c r="J667" s="6"/>
      <c r="K667" s="5"/>
      <c r="L667" s="5"/>
      <c r="M667" s="8"/>
      <c r="N667" s="5"/>
      <c r="O667" s="5"/>
      <c r="P667" s="5"/>
    </row>
    <row r="668" spans="1:16" ht="27" customHeight="1">
      <c r="A668" s="5"/>
      <c r="B668" s="5"/>
      <c r="C668" s="5"/>
      <c r="D668" s="7"/>
      <c r="E668" s="6"/>
      <c r="F668" s="5"/>
      <c r="G668" s="5"/>
      <c r="H668" s="127"/>
      <c r="I668" s="5"/>
      <c r="J668" s="6"/>
      <c r="K668" s="5"/>
      <c r="L668" s="5"/>
      <c r="M668" s="8"/>
      <c r="N668" s="5"/>
      <c r="O668" s="5"/>
      <c r="P668" s="5"/>
    </row>
    <row r="669" spans="1:16" ht="27" customHeight="1">
      <c r="A669" s="5"/>
      <c r="B669" s="5"/>
      <c r="C669" s="5"/>
      <c r="D669" s="7"/>
      <c r="E669" s="6"/>
      <c r="F669" s="5"/>
      <c r="G669" s="5"/>
      <c r="H669" s="127"/>
      <c r="I669" s="5"/>
      <c r="J669" s="6"/>
      <c r="K669" s="5"/>
      <c r="L669" s="5"/>
      <c r="M669" s="8"/>
      <c r="N669" s="5"/>
      <c r="O669" s="5"/>
      <c r="P669" s="5"/>
    </row>
    <row r="670" spans="1:16" ht="27" customHeight="1">
      <c r="A670" s="5"/>
      <c r="B670" s="5"/>
      <c r="C670" s="5"/>
      <c r="D670" s="7"/>
      <c r="E670" s="6"/>
      <c r="F670" s="5"/>
      <c r="G670" s="5"/>
      <c r="H670" s="127"/>
      <c r="I670" s="5"/>
      <c r="J670" s="6"/>
      <c r="K670" s="5"/>
      <c r="L670" s="5"/>
      <c r="M670" s="8"/>
      <c r="N670" s="5"/>
      <c r="O670" s="5"/>
      <c r="P670" s="5"/>
    </row>
    <row r="671" spans="1:16" ht="27" customHeight="1">
      <c r="A671" s="5"/>
      <c r="B671" s="5"/>
      <c r="C671" s="5"/>
      <c r="D671" s="7"/>
      <c r="E671" s="6"/>
      <c r="F671" s="5"/>
      <c r="G671" s="5"/>
      <c r="H671" s="127"/>
      <c r="I671" s="5"/>
      <c r="J671" s="6"/>
      <c r="K671" s="5"/>
      <c r="L671" s="5"/>
      <c r="M671" s="8"/>
      <c r="N671" s="5"/>
      <c r="O671" s="5"/>
      <c r="P671" s="5"/>
    </row>
    <row r="672" spans="1:16" ht="27" customHeight="1">
      <c r="A672" s="5"/>
      <c r="B672" s="5"/>
      <c r="C672" s="5"/>
      <c r="D672" s="7"/>
      <c r="E672" s="6"/>
      <c r="F672" s="5"/>
      <c r="G672" s="5"/>
      <c r="H672" s="127"/>
      <c r="I672" s="5"/>
      <c r="J672" s="6"/>
      <c r="K672" s="5"/>
      <c r="L672" s="5"/>
      <c r="M672" s="8"/>
      <c r="N672" s="5"/>
      <c r="O672" s="5"/>
      <c r="P672" s="5"/>
    </row>
    <row r="673" spans="1:16" ht="27" customHeight="1">
      <c r="A673" s="5"/>
      <c r="B673" s="5"/>
      <c r="C673" s="5"/>
      <c r="D673" s="7"/>
      <c r="E673" s="6"/>
      <c r="F673" s="5"/>
      <c r="G673" s="5"/>
      <c r="H673" s="127"/>
      <c r="I673" s="5"/>
      <c r="J673" s="6"/>
      <c r="K673" s="5"/>
      <c r="L673" s="5"/>
      <c r="M673" s="8"/>
      <c r="N673" s="5"/>
      <c r="O673" s="5"/>
      <c r="P673" s="5"/>
    </row>
    <row r="674" spans="1:16" ht="27" customHeight="1">
      <c r="A674" s="5"/>
      <c r="B674" s="5"/>
      <c r="C674" s="5"/>
      <c r="D674" s="7"/>
      <c r="E674" s="6"/>
      <c r="F674" s="5"/>
      <c r="G674" s="5"/>
      <c r="H674" s="127"/>
      <c r="I674" s="5"/>
      <c r="J674" s="6"/>
      <c r="K674" s="5"/>
      <c r="L674" s="5"/>
      <c r="M674" s="8"/>
      <c r="N674" s="5"/>
      <c r="O674" s="5"/>
      <c r="P674" s="5"/>
    </row>
    <row r="675" spans="1:16" ht="27" customHeight="1">
      <c r="A675" s="5"/>
      <c r="B675" s="5"/>
      <c r="C675" s="5"/>
      <c r="D675" s="7"/>
      <c r="E675" s="6"/>
      <c r="F675" s="5"/>
      <c r="G675" s="5"/>
      <c r="H675" s="127"/>
      <c r="I675" s="5"/>
      <c r="J675" s="6"/>
      <c r="K675" s="5"/>
      <c r="L675" s="5"/>
      <c r="M675" s="8"/>
      <c r="N675" s="5"/>
      <c r="O675" s="5"/>
      <c r="P675" s="5"/>
    </row>
    <row r="676" spans="1:16" ht="27" customHeight="1">
      <c r="A676" s="5"/>
      <c r="B676" s="5"/>
      <c r="C676" s="5"/>
      <c r="D676" s="7"/>
      <c r="E676" s="6"/>
      <c r="F676" s="5"/>
      <c r="G676" s="5"/>
      <c r="H676" s="127"/>
      <c r="I676" s="5"/>
      <c r="J676" s="6"/>
      <c r="K676" s="5"/>
      <c r="L676" s="5"/>
      <c r="M676" s="8"/>
      <c r="N676" s="5"/>
      <c r="O676" s="5"/>
      <c r="P676" s="5"/>
    </row>
    <row r="677" spans="1:16" ht="27" customHeight="1">
      <c r="A677" s="5"/>
      <c r="B677" s="5"/>
      <c r="C677" s="5"/>
      <c r="D677" s="7"/>
      <c r="E677" s="6"/>
      <c r="F677" s="5"/>
      <c r="G677" s="5"/>
      <c r="H677" s="127"/>
      <c r="I677" s="5"/>
      <c r="J677" s="6"/>
      <c r="K677" s="5"/>
      <c r="L677" s="5"/>
      <c r="M677" s="8"/>
      <c r="N677" s="5"/>
      <c r="O677" s="5"/>
      <c r="P677" s="5"/>
    </row>
    <row r="678" spans="1:16" ht="27" customHeight="1">
      <c r="A678" s="5"/>
      <c r="B678" s="5"/>
      <c r="C678" s="5"/>
      <c r="D678" s="7"/>
      <c r="E678" s="6"/>
      <c r="F678" s="5"/>
      <c r="G678" s="5"/>
      <c r="H678" s="127"/>
      <c r="I678" s="5"/>
      <c r="J678" s="6"/>
      <c r="K678" s="5"/>
      <c r="L678" s="5"/>
      <c r="M678" s="8"/>
      <c r="N678" s="5"/>
      <c r="O678" s="5"/>
      <c r="P678" s="5"/>
    </row>
    <row r="679" spans="1:16" ht="27" customHeight="1">
      <c r="A679" s="5"/>
      <c r="B679" s="5"/>
      <c r="C679" s="5"/>
      <c r="D679" s="7"/>
      <c r="E679" s="6"/>
      <c r="F679" s="5"/>
      <c r="G679" s="5"/>
      <c r="H679" s="127"/>
      <c r="I679" s="5"/>
      <c r="J679" s="6"/>
      <c r="K679" s="5"/>
      <c r="L679" s="5"/>
      <c r="M679" s="8"/>
      <c r="N679" s="5"/>
      <c r="O679" s="5"/>
      <c r="P679" s="5"/>
    </row>
    <row r="680" spans="1:16" ht="27" customHeight="1">
      <c r="A680" s="5"/>
      <c r="B680" s="5"/>
      <c r="C680" s="5"/>
      <c r="D680" s="7"/>
      <c r="E680" s="6"/>
      <c r="F680" s="5"/>
      <c r="G680" s="5"/>
      <c r="H680" s="127"/>
      <c r="I680" s="5"/>
      <c r="J680" s="6"/>
      <c r="K680" s="5"/>
      <c r="L680" s="5"/>
      <c r="M680" s="8"/>
      <c r="N680" s="5"/>
      <c r="O680" s="5"/>
      <c r="P680" s="5"/>
    </row>
    <row r="681" spans="1:16" ht="27" customHeight="1">
      <c r="A681" s="5"/>
      <c r="B681" s="5"/>
      <c r="C681" s="5"/>
      <c r="D681" s="7"/>
      <c r="E681" s="6"/>
      <c r="F681" s="5"/>
      <c r="G681" s="5"/>
      <c r="H681" s="127"/>
      <c r="I681" s="5"/>
      <c r="J681" s="6"/>
      <c r="K681" s="5"/>
      <c r="L681" s="5"/>
      <c r="M681" s="8"/>
      <c r="N681" s="5"/>
      <c r="O681" s="5"/>
      <c r="P681" s="5"/>
    </row>
    <row r="682" spans="1:16" ht="27" customHeight="1">
      <c r="A682" s="5"/>
      <c r="B682" s="5"/>
      <c r="C682" s="5"/>
      <c r="D682" s="7"/>
      <c r="E682" s="6"/>
      <c r="F682" s="5"/>
      <c r="G682" s="5"/>
      <c r="H682" s="127"/>
      <c r="I682" s="5"/>
      <c r="J682" s="6"/>
      <c r="K682" s="5"/>
      <c r="L682" s="5"/>
      <c r="M682" s="8"/>
      <c r="N682" s="5"/>
      <c r="O682" s="5"/>
      <c r="P682" s="5"/>
    </row>
    <row r="683" spans="1:16" ht="27" customHeight="1">
      <c r="A683" s="5"/>
      <c r="B683" s="5"/>
      <c r="C683" s="5"/>
      <c r="D683" s="7"/>
      <c r="E683" s="6"/>
      <c r="F683" s="5"/>
      <c r="G683" s="5"/>
      <c r="H683" s="127"/>
      <c r="I683" s="5"/>
      <c r="J683" s="6"/>
      <c r="K683" s="5"/>
      <c r="L683" s="5"/>
      <c r="M683" s="8"/>
      <c r="N683" s="5"/>
      <c r="O683" s="5"/>
      <c r="P683" s="5"/>
    </row>
    <row r="684" spans="1:16" ht="27" customHeight="1">
      <c r="A684" s="5"/>
      <c r="B684" s="5"/>
      <c r="C684" s="5"/>
      <c r="D684" s="7"/>
      <c r="E684" s="6"/>
      <c r="F684" s="5"/>
      <c r="G684" s="5"/>
      <c r="H684" s="127"/>
      <c r="I684" s="5"/>
      <c r="J684" s="6"/>
      <c r="K684" s="5"/>
      <c r="L684" s="5"/>
      <c r="M684" s="8"/>
      <c r="N684" s="5"/>
      <c r="O684" s="5"/>
      <c r="P684" s="5"/>
    </row>
    <row r="685" spans="1:16" ht="27" customHeight="1">
      <c r="A685" s="5"/>
      <c r="B685" s="5"/>
      <c r="C685" s="5"/>
      <c r="D685" s="7"/>
      <c r="E685" s="6"/>
      <c r="F685" s="5"/>
      <c r="G685" s="5"/>
      <c r="H685" s="127"/>
      <c r="I685" s="5"/>
      <c r="J685" s="6"/>
      <c r="K685" s="5"/>
      <c r="L685" s="5"/>
      <c r="M685" s="8"/>
      <c r="N685" s="5"/>
      <c r="O685" s="5"/>
      <c r="P685" s="5"/>
    </row>
    <row r="686" spans="1:16" ht="27" customHeight="1">
      <c r="A686" s="5"/>
      <c r="B686" s="5"/>
      <c r="C686" s="5"/>
      <c r="D686" s="7"/>
      <c r="E686" s="6"/>
      <c r="F686" s="5"/>
      <c r="G686" s="5"/>
      <c r="H686" s="127"/>
      <c r="I686" s="5"/>
      <c r="J686" s="6"/>
      <c r="K686" s="5"/>
      <c r="L686" s="5"/>
      <c r="M686" s="8"/>
      <c r="N686" s="5"/>
      <c r="O686" s="5"/>
      <c r="P686" s="5"/>
    </row>
    <row r="687" spans="1:16" ht="27" customHeight="1">
      <c r="A687" s="5"/>
      <c r="B687" s="5"/>
      <c r="C687" s="5"/>
      <c r="D687" s="7"/>
      <c r="E687" s="6"/>
      <c r="F687" s="5"/>
      <c r="G687" s="5"/>
      <c r="H687" s="127"/>
      <c r="I687" s="5"/>
      <c r="J687" s="6"/>
      <c r="K687" s="5"/>
      <c r="L687" s="5"/>
      <c r="M687" s="8"/>
      <c r="N687" s="5"/>
      <c r="O687" s="5"/>
      <c r="P687" s="5"/>
    </row>
    <row r="688" spans="1:16" ht="27" customHeight="1">
      <c r="A688" s="5"/>
      <c r="B688" s="5"/>
      <c r="C688" s="5"/>
      <c r="D688" s="7"/>
      <c r="E688" s="6"/>
      <c r="F688" s="5"/>
      <c r="G688" s="5"/>
      <c r="H688" s="127"/>
      <c r="I688" s="5"/>
      <c r="J688" s="6"/>
      <c r="K688" s="5"/>
      <c r="L688" s="5"/>
      <c r="M688" s="8"/>
      <c r="N688" s="5"/>
      <c r="O688" s="5"/>
      <c r="P688" s="5"/>
    </row>
    <row r="689" spans="1:16" ht="27" customHeight="1">
      <c r="A689" s="5"/>
      <c r="B689" s="5"/>
      <c r="C689" s="5"/>
      <c r="D689" s="7"/>
      <c r="E689" s="6"/>
      <c r="F689" s="5"/>
      <c r="G689" s="5"/>
      <c r="H689" s="127"/>
      <c r="I689" s="5"/>
      <c r="J689" s="6"/>
      <c r="K689" s="5"/>
      <c r="L689" s="5"/>
      <c r="M689" s="8"/>
      <c r="N689" s="5"/>
      <c r="O689" s="5"/>
      <c r="P689" s="5"/>
    </row>
    <row r="690" spans="1:16" ht="27" customHeight="1">
      <c r="A690" s="5"/>
      <c r="B690" s="5"/>
      <c r="C690" s="5"/>
      <c r="D690" s="7"/>
      <c r="E690" s="6"/>
      <c r="F690" s="5"/>
      <c r="G690" s="5"/>
      <c r="H690" s="127"/>
      <c r="I690" s="5"/>
      <c r="J690" s="6"/>
      <c r="K690" s="5"/>
      <c r="L690" s="5"/>
      <c r="M690" s="8"/>
      <c r="N690" s="5"/>
      <c r="O690" s="5"/>
      <c r="P690" s="5"/>
    </row>
    <row r="691" spans="1:16" ht="27" customHeight="1">
      <c r="A691" s="5"/>
      <c r="B691" s="5"/>
      <c r="C691" s="5"/>
      <c r="D691" s="7"/>
      <c r="E691" s="6"/>
      <c r="F691" s="5"/>
      <c r="G691" s="5"/>
      <c r="H691" s="127"/>
      <c r="I691" s="5"/>
      <c r="J691" s="6"/>
      <c r="K691" s="5"/>
      <c r="L691" s="5"/>
      <c r="M691" s="8"/>
      <c r="N691" s="5"/>
      <c r="O691" s="5"/>
      <c r="P691" s="5"/>
    </row>
    <row r="692" spans="1:16" ht="27" customHeight="1">
      <c r="A692" s="5"/>
      <c r="B692" s="5"/>
      <c r="C692" s="5"/>
      <c r="D692" s="7"/>
      <c r="E692" s="6"/>
      <c r="F692" s="5"/>
      <c r="G692" s="5"/>
      <c r="H692" s="127"/>
      <c r="I692" s="5"/>
      <c r="J692" s="6"/>
      <c r="K692" s="5"/>
      <c r="L692" s="5"/>
      <c r="M692" s="8"/>
      <c r="N692" s="5"/>
      <c r="O692" s="5"/>
      <c r="P692" s="5"/>
    </row>
    <row r="693" spans="1:16" ht="27" customHeight="1">
      <c r="A693" s="5"/>
      <c r="B693" s="5"/>
      <c r="C693" s="5"/>
      <c r="D693" s="7"/>
      <c r="E693" s="6"/>
      <c r="F693" s="5"/>
      <c r="G693" s="5"/>
      <c r="H693" s="127"/>
      <c r="I693" s="5"/>
      <c r="J693" s="6"/>
      <c r="K693" s="5"/>
      <c r="L693" s="5"/>
      <c r="M693" s="8"/>
      <c r="N693" s="5"/>
      <c r="O693" s="5"/>
      <c r="P693" s="5"/>
    </row>
    <row r="694" spans="1:16" ht="27" customHeight="1">
      <c r="A694" s="5"/>
      <c r="B694" s="5"/>
      <c r="C694" s="5"/>
      <c r="D694" s="7"/>
      <c r="E694" s="6"/>
      <c r="F694" s="5"/>
      <c r="G694" s="5"/>
      <c r="H694" s="127"/>
      <c r="I694" s="5"/>
      <c r="J694" s="6"/>
      <c r="K694" s="5"/>
      <c r="L694" s="5"/>
      <c r="M694" s="8"/>
      <c r="N694" s="5"/>
      <c r="O694" s="5"/>
      <c r="P694" s="5"/>
    </row>
    <row r="695" spans="1:16" ht="27" customHeight="1">
      <c r="A695" s="5"/>
      <c r="B695" s="5"/>
      <c r="C695" s="5"/>
      <c r="D695" s="7"/>
      <c r="E695" s="6"/>
      <c r="F695" s="5"/>
      <c r="G695" s="5"/>
      <c r="H695" s="127"/>
      <c r="I695" s="5"/>
      <c r="J695" s="6"/>
      <c r="K695" s="5"/>
      <c r="L695" s="5"/>
      <c r="M695" s="8"/>
      <c r="N695" s="5"/>
      <c r="O695" s="5"/>
      <c r="P695" s="5"/>
    </row>
    <row r="696" spans="1:16" ht="27" customHeight="1">
      <c r="A696" s="5"/>
      <c r="B696" s="5"/>
      <c r="C696" s="5"/>
      <c r="D696" s="7"/>
      <c r="E696" s="6"/>
      <c r="F696" s="5"/>
      <c r="G696" s="5"/>
      <c r="H696" s="127"/>
      <c r="I696" s="5"/>
      <c r="J696" s="6"/>
      <c r="K696" s="5"/>
      <c r="L696" s="5"/>
      <c r="M696" s="8"/>
      <c r="N696" s="5"/>
      <c r="O696" s="5"/>
      <c r="P696" s="5"/>
    </row>
    <row r="697" spans="1:16" ht="27" customHeight="1">
      <c r="A697" s="5"/>
      <c r="B697" s="5"/>
      <c r="C697" s="5"/>
      <c r="D697" s="7"/>
      <c r="E697" s="6"/>
      <c r="F697" s="5"/>
      <c r="G697" s="5"/>
      <c r="H697" s="127"/>
      <c r="I697" s="5"/>
      <c r="J697" s="6"/>
      <c r="K697" s="5"/>
      <c r="L697" s="5"/>
      <c r="M697" s="8"/>
      <c r="N697" s="5"/>
      <c r="O697" s="5"/>
      <c r="P697" s="5"/>
    </row>
    <row r="698" spans="1:16" ht="27" customHeight="1">
      <c r="A698" s="5"/>
      <c r="B698" s="5"/>
      <c r="C698" s="5"/>
      <c r="D698" s="7"/>
      <c r="E698" s="6"/>
      <c r="F698" s="5"/>
      <c r="G698" s="5"/>
      <c r="H698" s="127"/>
      <c r="I698" s="5"/>
      <c r="J698" s="6"/>
      <c r="K698" s="5"/>
      <c r="L698" s="5"/>
      <c r="M698" s="8"/>
      <c r="N698" s="5"/>
      <c r="O698" s="5"/>
      <c r="P698" s="5"/>
    </row>
    <row r="699" spans="1:16" ht="27" customHeight="1">
      <c r="A699" s="5"/>
      <c r="B699" s="5"/>
      <c r="C699" s="5"/>
      <c r="D699" s="7"/>
      <c r="E699" s="6"/>
      <c r="F699" s="5"/>
      <c r="G699" s="5"/>
      <c r="H699" s="127"/>
      <c r="I699" s="5"/>
      <c r="J699" s="6"/>
      <c r="K699" s="5"/>
      <c r="L699" s="5"/>
      <c r="M699" s="8"/>
      <c r="N699" s="5"/>
      <c r="O699" s="5"/>
      <c r="P699" s="5"/>
    </row>
    <row r="700" spans="1:16" ht="27" customHeight="1">
      <c r="A700" s="5"/>
      <c r="B700" s="5"/>
      <c r="C700" s="5"/>
      <c r="D700" s="7"/>
      <c r="E700" s="6"/>
      <c r="F700" s="5"/>
      <c r="G700" s="5"/>
      <c r="H700" s="127"/>
      <c r="I700" s="5"/>
      <c r="J700" s="6"/>
      <c r="K700" s="5"/>
      <c r="L700" s="5"/>
      <c r="M700" s="8"/>
      <c r="N700" s="5"/>
      <c r="O700" s="5"/>
      <c r="P700" s="5"/>
    </row>
    <row r="701" spans="1:16" ht="27" customHeight="1">
      <c r="A701" s="5"/>
      <c r="B701" s="5"/>
      <c r="C701" s="5"/>
      <c r="D701" s="7"/>
      <c r="E701" s="6"/>
      <c r="F701" s="5"/>
      <c r="G701" s="5"/>
      <c r="H701" s="127"/>
      <c r="I701" s="5"/>
      <c r="J701" s="6"/>
      <c r="K701" s="5"/>
      <c r="L701" s="5"/>
      <c r="M701" s="8"/>
      <c r="N701" s="5"/>
      <c r="O701" s="5"/>
      <c r="P701" s="5"/>
    </row>
    <row r="702" spans="1:16" ht="27" customHeight="1">
      <c r="A702" s="5"/>
      <c r="B702" s="5"/>
      <c r="C702" s="5"/>
      <c r="D702" s="7"/>
      <c r="E702" s="6"/>
      <c r="F702" s="5"/>
      <c r="G702" s="5"/>
      <c r="H702" s="127"/>
      <c r="I702" s="5"/>
      <c r="J702" s="6"/>
      <c r="K702" s="5"/>
      <c r="L702" s="5"/>
      <c r="M702" s="8"/>
      <c r="N702" s="5"/>
      <c r="O702" s="5"/>
      <c r="P702" s="5"/>
    </row>
    <row r="703" spans="1:16" ht="27" customHeight="1">
      <c r="A703" s="5"/>
      <c r="B703" s="5"/>
      <c r="C703" s="5"/>
      <c r="D703" s="7"/>
      <c r="E703" s="6"/>
      <c r="F703" s="5"/>
      <c r="G703" s="5"/>
      <c r="H703" s="127"/>
      <c r="I703" s="5"/>
      <c r="J703" s="6"/>
      <c r="K703" s="5"/>
      <c r="L703" s="5"/>
      <c r="M703" s="8"/>
      <c r="N703" s="5"/>
      <c r="O703" s="5"/>
      <c r="P703" s="5"/>
    </row>
    <row r="704" spans="1:16" ht="27" customHeight="1">
      <c r="A704" s="5"/>
      <c r="B704" s="5"/>
      <c r="C704" s="5"/>
      <c r="D704" s="7"/>
      <c r="E704" s="6"/>
      <c r="F704" s="5"/>
      <c r="G704" s="5"/>
      <c r="H704" s="127"/>
      <c r="I704" s="5"/>
      <c r="J704" s="6"/>
      <c r="K704" s="5"/>
      <c r="L704" s="5"/>
      <c r="M704" s="8"/>
      <c r="N704" s="5"/>
      <c r="O704" s="5"/>
      <c r="P704" s="5"/>
    </row>
    <row r="705" spans="1:16" ht="27" customHeight="1">
      <c r="A705" s="5"/>
      <c r="B705" s="5"/>
      <c r="C705" s="5"/>
      <c r="D705" s="7"/>
      <c r="E705" s="6"/>
      <c r="F705" s="5"/>
      <c r="G705" s="5"/>
      <c r="H705" s="127"/>
      <c r="I705" s="5"/>
      <c r="J705" s="6"/>
      <c r="K705" s="5"/>
      <c r="L705" s="5"/>
      <c r="M705" s="8"/>
      <c r="N705" s="5"/>
      <c r="O705" s="5"/>
      <c r="P705" s="5"/>
    </row>
    <row r="706" spans="1:16" ht="27" customHeight="1">
      <c r="A706" s="5"/>
      <c r="B706" s="5"/>
      <c r="C706" s="5"/>
      <c r="D706" s="7"/>
      <c r="E706" s="6"/>
      <c r="F706" s="5"/>
      <c r="G706" s="5"/>
      <c r="H706" s="127"/>
      <c r="I706" s="5"/>
      <c r="J706" s="6"/>
      <c r="K706" s="5"/>
      <c r="L706" s="5"/>
      <c r="M706" s="8"/>
      <c r="N706" s="5"/>
      <c r="O706" s="5"/>
      <c r="P706" s="5"/>
    </row>
    <row r="707" spans="1:16" ht="27" customHeight="1">
      <c r="A707" s="5"/>
      <c r="B707" s="5"/>
      <c r="C707" s="5"/>
      <c r="D707" s="7"/>
      <c r="E707" s="6"/>
      <c r="F707" s="5"/>
      <c r="G707" s="5"/>
      <c r="H707" s="127"/>
      <c r="I707" s="5"/>
      <c r="J707" s="6"/>
      <c r="K707" s="5"/>
      <c r="L707" s="5"/>
      <c r="M707" s="8"/>
      <c r="N707" s="5"/>
      <c r="O707" s="5"/>
      <c r="P707" s="5"/>
    </row>
    <row r="708" spans="1:16" ht="27" customHeight="1">
      <c r="A708" s="5"/>
      <c r="B708" s="5"/>
      <c r="C708" s="5"/>
      <c r="D708" s="7"/>
      <c r="E708" s="6"/>
      <c r="F708" s="5"/>
      <c r="G708" s="5"/>
      <c r="H708" s="127"/>
      <c r="I708" s="5"/>
      <c r="J708" s="6"/>
      <c r="K708" s="5"/>
      <c r="L708" s="5"/>
      <c r="M708" s="8"/>
      <c r="N708" s="5"/>
      <c r="O708" s="5"/>
      <c r="P708" s="5"/>
    </row>
    <row r="709" spans="1:16" ht="27" customHeight="1">
      <c r="A709" s="5"/>
      <c r="B709" s="5"/>
      <c r="C709" s="5"/>
      <c r="D709" s="7"/>
      <c r="E709" s="6"/>
      <c r="F709" s="5"/>
      <c r="G709" s="5"/>
      <c r="H709" s="127"/>
      <c r="I709" s="5"/>
      <c r="J709" s="6"/>
      <c r="K709" s="5"/>
      <c r="L709" s="5"/>
      <c r="M709" s="8"/>
      <c r="N709" s="5"/>
      <c r="O709" s="5"/>
      <c r="P709" s="5"/>
    </row>
    <row r="710" spans="1:16" ht="27" customHeight="1">
      <c r="A710" s="5"/>
      <c r="B710" s="5"/>
      <c r="C710" s="5"/>
      <c r="D710" s="7"/>
      <c r="E710" s="6"/>
      <c r="F710" s="5"/>
      <c r="G710" s="5"/>
      <c r="H710" s="127"/>
      <c r="I710" s="5"/>
      <c r="J710" s="6"/>
      <c r="K710" s="5"/>
      <c r="L710" s="5"/>
      <c r="M710" s="8"/>
      <c r="N710" s="5"/>
      <c r="O710" s="5"/>
      <c r="P710" s="5"/>
    </row>
    <row r="711" spans="1:16" ht="27" customHeight="1">
      <c r="A711" s="5"/>
      <c r="B711" s="5"/>
      <c r="C711" s="5"/>
      <c r="D711" s="7"/>
      <c r="E711" s="6"/>
      <c r="F711" s="5"/>
      <c r="G711" s="5"/>
      <c r="H711" s="127"/>
      <c r="I711" s="5"/>
      <c r="J711" s="6"/>
      <c r="K711" s="5"/>
      <c r="L711" s="5"/>
      <c r="M711" s="8"/>
      <c r="N711" s="5"/>
      <c r="O711" s="5"/>
      <c r="P711" s="5"/>
    </row>
    <row r="712" spans="1:16" ht="27" customHeight="1">
      <c r="A712" s="5"/>
      <c r="B712" s="5"/>
      <c r="C712" s="5"/>
      <c r="D712" s="7"/>
      <c r="E712" s="6"/>
      <c r="F712" s="5"/>
      <c r="G712" s="5"/>
      <c r="H712" s="127"/>
      <c r="I712" s="5"/>
      <c r="J712" s="6"/>
      <c r="K712" s="5"/>
      <c r="L712" s="5"/>
      <c r="M712" s="8"/>
      <c r="N712" s="5"/>
      <c r="O712" s="5"/>
      <c r="P712" s="5"/>
    </row>
    <row r="713" spans="1:16" ht="27" customHeight="1">
      <c r="A713" s="5"/>
      <c r="B713" s="5"/>
      <c r="C713" s="5"/>
      <c r="D713" s="7"/>
      <c r="E713" s="6"/>
      <c r="F713" s="5"/>
      <c r="G713" s="5"/>
      <c r="H713" s="127"/>
      <c r="I713" s="5"/>
      <c r="J713" s="6"/>
      <c r="K713" s="5"/>
      <c r="L713" s="5"/>
      <c r="M713" s="8"/>
      <c r="N713" s="5"/>
      <c r="O713" s="5"/>
      <c r="P713" s="5"/>
    </row>
    <row r="714" spans="1:16" ht="27" customHeight="1">
      <c r="A714" s="5"/>
      <c r="B714" s="5"/>
      <c r="C714" s="5"/>
      <c r="D714" s="7"/>
      <c r="E714" s="6"/>
      <c r="F714" s="5"/>
      <c r="G714" s="5"/>
      <c r="H714" s="127"/>
      <c r="I714" s="5"/>
      <c r="J714" s="6"/>
      <c r="K714" s="5"/>
      <c r="L714" s="5"/>
      <c r="M714" s="8"/>
      <c r="N714" s="5"/>
      <c r="O714" s="5"/>
      <c r="P714" s="5"/>
    </row>
    <row r="715" spans="1:16" ht="27" customHeight="1">
      <c r="A715" s="5"/>
      <c r="B715" s="5"/>
      <c r="C715" s="5"/>
      <c r="D715" s="7"/>
      <c r="E715" s="6"/>
      <c r="F715" s="5"/>
      <c r="G715" s="5"/>
      <c r="H715" s="127"/>
      <c r="I715" s="5"/>
      <c r="J715" s="6"/>
      <c r="K715" s="5"/>
      <c r="L715" s="5"/>
      <c r="M715" s="8"/>
      <c r="N715" s="5"/>
      <c r="O715" s="5"/>
      <c r="P715" s="5"/>
    </row>
    <row r="716" spans="1:16" ht="27" customHeight="1">
      <c r="A716" s="5"/>
      <c r="B716" s="5"/>
      <c r="C716" s="5"/>
      <c r="D716" s="7"/>
      <c r="E716" s="6"/>
      <c r="F716" s="5"/>
      <c r="G716" s="5"/>
      <c r="H716" s="127"/>
      <c r="I716" s="5"/>
      <c r="J716" s="6"/>
      <c r="K716" s="5"/>
      <c r="L716" s="5"/>
      <c r="M716" s="8"/>
      <c r="N716" s="5"/>
      <c r="O716" s="5"/>
      <c r="P716" s="5"/>
    </row>
    <row r="717" spans="1:16" ht="27" customHeight="1">
      <c r="A717" s="5"/>
      <c r="B717" s="5"/>
      <c r="C717" s="5"/>
      <c r="D717" s="7"/>
      <c r="E717" s="6"/>
      <c r="F717" s="5"/>
      <c r="G717" s="5"/>
      <c r="H717" s="127"/>
      <c r="I717" s="5"/>
      <c r="J717" s="6"/>
      <c r="K717" s="5"/>
      <c r="L717" s="5"/>
      <c r="M717" s="8"/>
      <c r="N717" s="5"/>
      <c r="O717" s="5"/>
      <c r="P717" s="5"/>
    </row>
    <row r="718" spans="1:16" ht="27" customHeight="1">
      <c r="A718" s="5"/>
      <c r="B718" s="5"/>
      <c r="C718" s="5"/>
      <c r="D718" s="7"/>
      <c r="E718" s="6"/>
      <c r="F718" s="5"/>
      <c r="G718" s="5"/>
      <c r="H718" s="127"/>
      <c r="I718" s="5"/>
      <c r="J718" s="6"/>
      <c r="K718" s="5"/>
      <c r="L718" s="5"/>
      <c r="M718" s="8"/>
      <c r="N718" s="5"/>
      <c r="O718" s="5"/>
      <c r="P718" s="5"/>
    </row>
    <row r="719" spans="1:16" ht="27" customHeight="1">
      <c r="A719" s="5"/>
      <c r="B719" s="5"/>
      <c r="C719" s="5"/>
      <c r="D719" s="7"/>
      <c r="E719" s="6"/>
      <c r="F719" s="5"/>
      <c r="G719" s="5"/>
      <c r="H719" s="127"/>
      <c r="I719" s="5"/>
      <c r="J719" s="6"/>
      <c r="K719" s="5"/>
      <c r="L719" s="5"/>
      <c r="M719" s="8"/>
      <c r="N719" s="5"/>
      <c r="O719" s="5"/>
      <c r="P719" s="5"/>
    </row>
    <row r="720" spans="1:16" ht="27" customHeight="1">
      <c r="A720" s="5"/>
      <c r="B720" s="5"/>
      <c r="C720" s="5"/>
      <c r="D720" s="7"/>
      <c r="E720" s="6"/>
      <c r="F720" s="5"/>
      <c r="G720" s="5"/>
      <c r="H720" s="127"/>
      <c r="I720" s="5"/>
      <c r="J720" s="6"/>
      <c r="K720" s="5"/>
      <c r="L720" s="5"/>
      <c r="M720" s="8"/>
      <c r="N720" s="5"/>
      <c r="O720" s="5"/>
      <c r="P720" s="5"/>
    </row>
    <row r="721" spans="1:16" ht="27" customHeight="1">
      <c r="A721" s="5"/>
      <c r="B721" s="5"/>
      <c r="C721" s="5"/>
      <c r="D721" s="7"/>
      <c r="E721" s="6"/>
      <c r="F721" s="5"/>
      <c r="G721" s="5"/>
      <c r="H721" s="127"/>
      <c r="I721" s="5"/>
      <c r="J721" s="6"/>
      <c r="K721" s="5"/>
      <c r="L721" s="5"/>
      <c r="M721" s="8"/>
      <c r="N721" s="5"/>
      <c r="O721" s="5"/>
      <c r="P721" s="5"/>
    </row>
    <row r="722" spans="1:16" ht="27" customHeight="1">
      <c r="A722" s="5"/>
      <c r="B722" s="5"/>
      <c r="C722" s="5"/>
      <c r="D722" s="7"/>
      <c r="E722" s="6"/>
      <c r="F722" s="5"/>
      <c r="G722" s="5"/>
      <c r="H722" s="127"/>
      <c r="I722" s="5"/>
      <c r="J722" s="6"/>
      <c r="K722" s="5"/>
      <c r="L722" s="5"/>
      <c r="M722" s="8"/>
      <c r="N722" s="5"/>
      <c r="O722" s="5"/>
      <c r="P722" s="5"/>
    </row>
    <row r="723" spans="1:16" ht="27" customHeight="1">
      <c r="A723" s="5"/>
      <c r="B723" s="5"/>
      <c r="C723" s="5"/>
      <c r="D723" s="7"/>
      <c r="E723" s="6"/>
      <c r="F723" s="5"/>
      <c r="G723" s="5"/>
      <c r="H723" s="127"/>
      <c r="I723" s="5"/>
      <c r="J723" s="6"/>
      <c r="K723" s="5"/>
      <c r="L723" s="5"/>
      <c r="M723" s="8"/>
      <c r="N723" s="5"/>
      <c r="O723" s="5"/>
      <c r="P723" s="5"/>
    </row>
    <row r="724" spans="1:16" ht="27" customHeight="1">
      <c r="A724" s="5"/>
      <c r="B724" s="5"/>
      <c r="C724" s="5"/>
      <c r="D724" s="7"/>
      <c r="E724" s="6"/>
      <c r="F724" s="5"/>
      <c r="G724" s="5"/>
      <c r="H724" s="127"/>
      <c r="I724" s="5"/>
      <c r="J724" s="6"/>
      <c r="K724" s="5"/>
      <c r="L724" s="5"/>
      <c r="M724" s="8"/>
      <c r="N724" s="5"/>
      <c r="O724" s="5"/>
      <c r="P724" s="5"/>
    </row>
    <row r="725" spans="1:16" ht="27" customHeight="1">
      <c r="A725" s="5"/>
      <c r="B725" s="5"/>
      <c r="C725" s="5"/>
      <c r="D725" s="7"/>
      <c r="E725" s="6"/>
      <c r="F725" s="5"/>
      <c r="G725" s="5"/>
      <c r="H725" s="127"/>
      <c r="I725" s="5"/>
      <c r="J725" s="6"/>
      <c r="K725" s="5"/>
      <c r="L725" s="5"/>
      <c r="M725" s="8"/>
      <c r="N725" s="5"/>
      <c r="O725" s="5"/>
      <c r="P725" s="5"/>
    </row>
    <row r="726" spans="1:16" ht="27" customHeight="1">
      <c r="A726" s="5"/>
      <c r="B726" s="5"/>
      <c r="C726" s="5"/>
      <c r="D726" s="7"/>
      <c r="E726" s="6"/>
      <c r="F726" s="5"/>
      <c r="G726" s="5"/>
      <c r="H726" s="127"/>
      <c r="I726" s="5"/>
      <c r="J726" s="6"/>
      <c r="K726" s="5"/>
      <c r="L726" s="5"/>
      <c r="M726" s="8"/>
      <c r="N726" s="5"/>
      <c r="O726" s="5"/>
      <c r="P726" s="5"/>
    </row>
    <row r="727" spans="1:16" ht="27" customHeight="1">
      <c r="A727" s="5"/>
      <c r="B727" s="5"/>
      <c r="C727" s="5"/>
      <c r="D727" s="7"/>
      <c r="E727" s="6"/>
      <c r="F727" s="5"/>
      <c r="G727" s="5"/>
      <c r="H727" s="127"/>
      <c r="I727" s="5"/>
      <c r="J727" s="6"/>
      <c r="K727" s="5"/>
      <c r="L727" s="5"/>
      <c r="M727" s="8"/>
      <c r="N727" s="5"/>
      <c r="O727" s="5"/>
      <c r="P727" s="5"/>
    </row>
    <row r="728" spans="1:16" ht="27" customHeight="1">
      <c r="A728" s="5"/>
      <c r="B728" s="5"/>
      <c r="C728" s="5"/>
      <c r="D728" s="7"/>
      <c r="E728" s="6"/>
      <c r="F728" s="5"/>
      <c r="G728" s="5"/>
      <c r="H728" s="127"/>
      <c r="I728" s="5"/>
      <c r="J728" s="6"/>
      <c r="K728" s="5"/>
      <c r="L728" s="5"/>
      <c r="M728" s="8"/>
      <c r="N728" s="5"/>
      <c r="O728" s="5"/>
      <c r="P728" s="5"/>
    </row>
    <row r="729" spans="1:16" ht="27" customHeight="1">
      <c r="A729" s="5"/>
      <c r="B729" s="5"/>
      <c r="C729" s="5"/>
      <c r="D729" s="7"/>
      <c r="E729" s="6"/>
      <c r="F729" s="5"/>
      <c r="G729" s="5"/>
      <c r="H729" s="127"/>
      <c r="I729" s="5"/>
      <c r="J729" s="6"/>
      <c r="K729" s="5"/>
      <c r="L729" s="5"/>
      <c r="M729" s="8"/>
      <c r="N729" s="5"/>
      <c r="O729" s="5"/>
      <c r="P729" s="5"/>
    </row>
    <row r="730" spans="1:16" ht="27" customHeight="1">
      <c r="A730" s="5"/>
      <c r="B730" s="5"/>
      <c r="C730" s="5"/>
      <c r="D730" s="7"/>
      <c r="E730" s="6"/>
      <c r="F730" s="5"/>
      <c r="G730" s="5"/>
      <c r="H730" s="127"/>
      <c r="I730" s="5"/>
      <c r="J730" s="6"/>
      <c r="K730" s="5"/>
      <c r="L730" s="5"/>
      <c r="M730" s="8"/>
      <c r="N730" s="5"/>
      <c r="O730" s="5"/>
      <c r="P730" s="5"/>
    </row>
    <row r="731" spans="1:16" ht="27" customHeight="1">
      <c r="A731" s="5"/>
      <c r="B731" s="5"/>
      <c r="C731" s="5"/>
      <c r="D731" s="7"/>
      <c r="E731" s="6"/>
      <c r="F731" s="5"/>
      <c r="G731" s="5"/>
      <c r="H731" s="127"/>
      <c r="I731" s="5"/>
      <c r="J731" s="6"/>
      <c r="K731" s="5"/>
      <c r="L731" s="5"/>
      <c r="M731" s="8"/>
      <c r="N731" s="5"/>
      <c r="O731" s="5"/>
      <c r="P731" s="5"/>
    </row>
    <row r="732" spans="1:16" ht="27" customHeight="1">
      <c r="A732" s="5"/>
      <c r="B732" s="5"/>
      <c r="C732" s="5"/>
      <c r="D732" s="7"/>
      <c r="E732" s="6"/>
      <c r="F732" s="5"/>
      <c r="G732" s="5"/>
      <c r="H732" s="127"/>
      <c r="I732" s="5"/>
      <c r="J732" s="6"/>
      <c r="K732" s="5"/>
      <c r="L732" s="5"/>
      <c r="M732" s="8"/>
      <c r="N732" s="5"/>
      <c r="O732" s="5"/>
      <c r="P732" s="5"/>
    </row>
    <row r="733" spans="1:16" ht="27" customHeight="1">
      <c r="A733" s="5"/>
      <c r="B733" s="5"/>
      <c r="C733" s="5"/>
      <c r="D733" s="7"/>
      <c r="E733" s="6"/>
      <c r="F733" s="5"/>
      <c r="G733" s="5"/>
      <c r="H733" s="127"/>
      <c r="I733" s="5"/>
      <c r="J733" s="6"/>
      <c r="K733" s="5"/>
      <c r="L733" s="5"/>
      <c r="M733" s="8"/>
      <c r="N733" s="5"/>
      <c r="O733" s="5"/>
      <c r="P733" s="5"/>
    </row>
    <row r="734" spans="1:16" ht="27" customHeight="1">
      <c r="A734" s="5"/>
      <c r="B734" s="5"/>
      <c r="C734" s="5"/>
      <c r="D734" s="7"/>
      <c r="E734" s="6"/>
      <c r="F734" s="5"/>
      <c r="G734" s="5"/>
      <c r="H734" s="127"/>
      <c r="I734" s="5"/>
      <c r="J734" s="6"/>
      <c r="K734" s="5"/>
      <c r="L734" s="5"/>
      <c r="M734" s="8"/>
      <c r="N734" s="5"/>
      <c r="O734" s="5"/>
      <c r="P734" s="5"/>
    </row>
    <row r="735" spans="1:16" ht="27" customHeight="1">
      <c r="A735" s="5"/>
      <c r="B735" s="5"/>
      <c r="C735" s="5"/>
      <c r="D735" s="7"/>
      <c r="E735" s="6"/>
      <c r="F735" s="5"/>
      <c r="G735" s="5"/>
      <c r="H735" s="127"/>
      <c r="I735" s="5"/>
      <c r="J735" s="6"/>
      <c r="K735" s="5"/>
      <c r="L735" s="5"/>
      <c r="M735" s="8"/>
      <c r="N735" s="5"/>
      <c r="O735" s="5"/>
      <c r="P735" s="5"/>
    </row>
    <row r="736" spans="1:16" ht="27" customHeight="1">
      <c r="A736" s="5"/>
      <c r="B736" s="5"/>
      <c r="C736" s="5"/>
      <c r="D736" s="7"/>
      <c r="E736" s="6"/>
      <c r="F736" s="5"/>
      <c r="G736" s="5"/>
      <c r="H736" s="127"/>
      <c r="I736" s="5"/>
      <c r="J736" s="6"/>
      <c r="K736" s="5"/>
      <c r="L736" s="5"/>
      <c r="M736" s="8"/>
      <c r="N736" s="5"/>
      <c r="O736" s="5"/>
      <c r="P736" s="5"/>
    </row>
    <row r="737" spans="1:16" ht="27" customHeight="1">
      <c r="A737" s="5"/>
      <c r="B737" s="5"/>
      <c r="C737" s="5"/>
      <c r="D737" s="7"/>
      <c r="E737" s="6"/>
      <c r="F737" s="5"/>
      <c r="G737" s="5"/>
      <c r="H737" s="127"/>
      <c r="I737" s="5"/>
      <c r="J737" s="6"/>
      <c r="K737" s="5"/>
      <c r="L737" s="5"/>
      <c r="M737" s="8"/>
      <c r="N737" s="5"/>
      <c r="O737" s="5"/>
      <c r="P737" s="5"/>
    </row>
    <row r="738" spans="1:16" ht="27" customHeight="1">
      <c r="A738" s="5"/>
      <c r="B738" s="5"/>
      <c r="C738" s="5"/>
      <c r="D738" s="7"/>
      <c r="E738" s="6"/>
      <c r="F738" s="5"/>
      <c r="G738" s="5"/>
      <c r="H738" s="127"/>
      <c r="I738" s="5"/>
      <c r="J738" s="6"/>
      <c r="K738" s="5"/>
      <c r="L738" s="5"/>
      <c r="M738" s="8"/>
      <c r="N738" s="5"/>
      <c r="O738" s="5"/>
      <c r="P738" s="5"/>
    </row>
    <row r="739" spans="1:16" ht="27" customHeight="1">
      <c r="A739" s="5"/>
      <c r="B739" s="5"/>
      <c r="C739" s="5"/>
      <c r="D739" s="7"/>
      <c r="E739" s="6"/>
      <c r="F739" s="5"/>
      <c r="G739" s="5"/>
      <c r="H739" s="127"/>
      <c r="I739" s="5"/>
      <c r="J739" s="6"/>
      <c r="K739" s="5"/>
      <c r="L739" s="5"/>
      <c r="M739" s="8"/>
      <c r="N739" s="5"/>
      <c r="O739" s="5"/>
      <c r="P739" s="5"/>
    </row>
    <row r="740" spans="1:16" ht="27" customHeight="1">
      <c r="A740" s="5"/>
      <c r="B740" s="5"/>
      <c r="C740" s="5"/>
      <c r="D740" s="7"/>
      <c r="E740" s="6"/>
      <c r="F740" s="5"/>
      <c r="G740" s="5"/>
      <c r="H740" s="127"/>
      <c r="I740" s="5"/>
      <c r="J740" s="6"/>
      <c r="K740" s="5"/>
      <c r="L740" s="5"/>
      <c r="M740" s="8"/>
      <c r="N740" s="5"/>
      <c r="O740" s="5"/>
      <c r="P740" s="5"/>
    </row>
    <row r="741" spans="1:16" ht="27" customHeight="1">
      <c r="A741" s="5"/>
      <c r="B741" s="5"/>
      <c r="C741" s="5"/>
      <c r="D741" s="7"/>
      <c r="E741" s="6"/>
      <c r="F741" s="5"/>
      <c r="G741" s="5"/>
      <c r="H741" s="127"/>
      <c r="I741" s="5"/>
      <c r="J741" s="6"/>
      <c r="K741" s="5"/>
      <c r="L741" s="5"/>
      <c r="M741" s="8"/>
      <c r="N741" s="5"/>
      <c r="O741" s="5"/>
      <c r="P741" s="5"/>
    </row>
    <row r="742" spans="1:16" ht="27" customHeight="1">
      <c r="A742" s="5"/>
      <c r="B742" s="5"/>
      <c r="C742" s="5"/>
      <c r="D742" s="7"/>
      <c r="E742" s="6"/>
      <c r="F742" s="5"/>
      <c r="G742" s="5"/>
      <c r="H742" s="127"/>
      <c r="I742" s="5"/>
      <c r="J742" s="6"/>
      <c r="K742" s="5"/>
      <c r="L742" s="5"/>
      <c r="M742" s="8"/>
      <c r="N742" s="5"/>
      <c r="O742" s="5"/>
      <c r="P742" s="5"/>
    </row>
    <row r="743" spans="1:16" ht="27" customHeight="1">
      <c r="A743" s="5"/>
      <c r="B743" s="5"/>
      <c r="C743" s="5"/>
      <c r="D743" s="7"/>
      <c r="E743" s="6"/>
      <c r="F743" s="5"/>
      <c r="G743" s="5"/>
      <c r="H743" s="127"/>
      <c r="I743" s="5"/>
      <c r="J743" s="6"/>
      <c r="K743" s="5"/>
      <c r="L743" s="5"/>
      <c r="M743" s="8"/>
      <c r="N743" s="5"/>
      <c r="O743" s="5"/>
      <c r="P743" s="5"/>
    </row>
    <row r="744" spans="1:16" ht="27" customHeight="1">
      <c r="A744" s="5"/>
      <c r="B744" s="5"/>
      <c r="C744" s="5"/>
      <c r="D744" s="7"/>
      <c r="E744" s="6"/>
      <c r="F744" s="5"/>
      <c r="G744" s="5"/>
      <c r="H744" s="127"/>
      <c r="I744" s="5"/>
      <c r="J744" s="6"/>
      <c r="K744" s="5"/>
      <c r="L744" s="5"/>
      <c r="M744" s="8"/>
      <c r="N744" s="5"/>
      <c r="O744" s="5"/>
      <c r="P744" s="5"/>
    </row>
    <row r="745" spans="1:16" ht="27" customHeight="1">
      <c r="A745" s="5"/>
      <c r="B745" s="5"/>
      <c r="C745" s="5"/>
      <c r="D745" s="7"/>
      <c r="E745" s="6"/>
      <c r="F745" s="5"/>
      <c r="G745" s="5"/>
      <c r="H745" s="127"/>
      <c r="I745" s="5"/>
      <c r="J745" s="6"/>
      <c r="K745" s="5"/>
      <c r="L745" s="5"/>
      <c r="M745" s="8"/>
      <c r="N745" s="5"/>
      <c r="O745" s="5"/>
      <c r="P745" s="5"/>
    </row>
    <row r="746" spans="1:16" ht="27" customHeight="1">
      <c r="A746" s="5"/>
      <c r="B746" s="5"/>
      <c r="C746" s="5"/>
      <c r="D746" s="7"/>
      <c r="E746" s="6"/>
      <c r="F746" s="5"/>
      <c r="G746" s="5"/>
      <c r="H746" s="127"/>
      <c r="I746" s="5"/>
      <c r="J746" s="6"/>
      <c r="K746" s="5"/>
      <c r="L746" s="5"/>
      <c r="M746" s="8"/>
      <c r="N746" s="5"/>
      <c r="O746" s="5"/>
      <c r="P746" s="5"/>
    </row>
    <row r="747" spans="1:16" ht="27" customHeight="1">
      <c r="A747" s="5"/>
      <c r="B747" s="5"/>
      <c r="C747" s="5"/>
      <c r="D747" s="7"/>
      <c r="E747" s="6"/>
      <c r="F747" s="5"/>
      <c r="G747" s="5"/>
      <c r="H747" s="127"/>
      <c r="I747" s="5"/>
      <c r="J747" s="6"/>
      <c r="K747" s="5"/>
      <c r="L747" s="5"/>
      <c r="M747" s="8"/>
      <c r="N747" s="5"/>
      <c r="O747" s="5"/>
      <c r="P747" s="5"/>
    </row>
    <row r="748" spans="1:16" ht="27" customHeight="1">
      <c r="A748" s="5"/>
      <c r="B748" s="5"/>
      <c r="C748" s="5"/>
      <c r="D748" s="7"/>
      <c r="E748" s="6"/>
      <c r="F748" s="5"/>
      <c r="G748" s="5"/>
      <c r="H748" s="127"/>
      <c r="I748" s="5"/>
      <c r="J748" s="6"/>
      <c r="K748" s="5"/>
      <c r="L748" s="5"/>
      <c r="M748" s="8"/>
      <c r="N748" s="5"/>
      <c r="O748" s="5"/>
      <c r="P748" s="5"/>
    </row>
    <row r="749" spans="1:16" ht="27" customHeight="1">
      <c r="A749" s="5"/>
      <c r="B749" s="5"/>
      <c r="C749" s="5"/>
      <c r="D749" s="7"/>
      <c r="E749" s="6"/>
      <c r="F749" s="5"/>
      <c r="G749" s="5"/>
      <c r="H749" s="127"/>
      <c r="I749" s="5"/>
      <c r="J749" s="6"/>
      <c r="K749" s="5"/>
      <c r="L749" s="5"/>
      <c r="M749" s="8"/>
      <c r="N749" s="5"/>
      <c r="O749" s="5"/>
      <c r="P749" s="5"/>
    </row>
    <row r="750" spans="1:16" ht="27" customHeight="1">
      <c r="A750" s="5"/>
      <c r="B750" s="5"/>
      <c r="C750" s="5"/>
      <c r="D750" s="7"/>
      <c r="E750" s="6"/>
      <c r="F750" s="5"/>
      <c r="G750" s="5"/>
      <c r="H750" s="127"/>
      <c r="I750" s="5"/>
      <c r="J750" s="6"/>
      <c r="K750" s="5"/>
      <c r="L750" s="5"/>
      <c r="M750" s="8"/>
      <c r="N750" s="5"/>
      <c r="O750" s="5"/>
      <c r="P750" s="5"/>
    </row>
    <row r="751" spans="1:16" ht="27" customHeight="1">
      <c r="A751" s="5"/>
      <c r="B751" s="5"/>
      <c r="C751" s="5"/>
      <c r="D751" s="7"/>
      <c r="E751" s="6"/>
      <c r="F751" s="5"/>
      <c r="G751" s="5"/>
      <c r="H751" s="127"/>
      <c r="I751" s="5"/>
      <c r="J751" s="6"/>
      <c r="K751" s="5"/>
      <c r="L751" s="5"/>
      <c r="M751" s="8"/>
      <c r="N751" s="5"/>
      <c r="O751" s="5"/>
      <c r="P751" s="5"/>
    </row>
    <row r="752" spans="1:16" ht="27" customHeight="1">
      <c r="A752" s="5"/>
      <c r="B752" s="5"/>
      <c r="C752" s="5"/>
      <c r="D752" s="7"/>
      <c r="E752" s="6"/>
      <c r="F752" s="5"/>
      <c r="G752" s="5"/>
      <c r="H752" s="127"/>
      <c r="I752" s="5"/>
      <c r="J752" s="6"/>
      <c r="K752" s="5"/>
      <c r="L752" s="5"/>
      <c r="M752" s="8"/>
      <c r="N752" s="5"/>
      <c r="O752" s="5"/>
      <c r="P752" s="5"/>
    </row>
    <row r="753" spans="1:16" ht="27" customHeight="1">
      <c r="A753" s="5"/>
      <c r="B753" s="5"/>
      <c r="C753" s="5"/>
      <c r="D753" s="7"/>
      <c r="E753" s="6"/>
      <c r="F753" s="5"/>
      <c r="G753" s="5"/>
      <c r="H753" s="127"/>
      <c r="I753" s="5"/>
      <c r="J753" s="6"/>
      <c r="K753" s="5"/>
      <c r="L753" s="5"/>
      <c r="M753" s="8"/>
      <c r="N753" s="5"/>
      <c r="O753" s="5"/>
      <c r="P753" s="5"/>
    </row>
    <row r="754" spans="1:16" ht="27" customHeight="1">
      <c r="A754" s="5"/>
      <c r="B754" s="5"/>
      <c r="C754" s="5"/>
      <c r="D754" s="7"/>
      <c r="E754" s="6"/>
      <c r="F754" s="5"/>
      <c r="G754" s="5"/>
      <c r="H754" s="127"/>
      <c r="I754" s="5"/>
      <c r="J754" s="6"/>
      <c r="K754" s="5"/>
      <c r="L754" s="5"/>
      <c r="M754" s="8"/>
      <c r="N754" s="5"/>
      <c r="O754" s="5"/>
      <c r="P754" s="5"/>
    </row>
    <row r="755" spans="1:16" ht="27" customHeight="1">
      <c r="A755" s="5"/>
      <c r="B755" s="5"/>
      <c r="C755" s="5"/>
      <c r="D755" s="7"/>
      <c r="E755" s="6"/>
      <c r="F755" s="5"/>
      <c r="G755" s="5"/>
      <c r="H755" s="127"/>
      <c r="I755" s="5"/>
      <c r="J755" s="6"/>
      <c r="K755" s="5"/>
      <c r="L755" s="5"/>
      <c r="M755" s="8"/>
      <c r="N755" s="5"/>
      <c r="O755" s="5"/>
      <c r="P755" s="5"/>
    </row>
    <row r="756" spans="1:16" ht="27" customHeight="1">
      <c r="A756" s="5"/>
      <c r="B756" s="5"/>
      <c r="C756" s="5"/>
      <c r="D756" s="7"/>
      <c r="E756" s="6"/>
      <c r="F756" s="5"/>
      <c r="G756" s="5"/>
      <c r="H756" s="127"/>
      <c r="I756" s="5"/>
      <c r="J756" s="6"/>
      <c r="K756" s="5"/>
      <c r="L756" s="5"/>
      <c r="M756" s="8"/>
      <c r="N756" s="5"/>
      <c r="O756" s="5"/>
      <c r="P756" s="5"/>
    </row>
    <row r="757" spans="1:16" ht="27" customHeight="1">
      <c r="A757" s="5"/>
      <c r="B757" s="5"/>
      <c r="C757" s="5"/>
      <c r="D757" s="7"/>
      <c r="E757" s="6"/>
      <c r="F757" s="5"/>
      <c r="G757" s="5"/>
      <c r="H757" s="127"/>
      <c r="I757" s="5"/>
      <c r="J757" s="6"/>
      <c r="K757" s="5"/>
      <c r="L757" s="5"/>
      <c r="M757" s="8"/>
      <c r="N757" s="5"/>
      <c r="O757" s="5"/>
      <c r="P757" s="5"/>
    </row>
    <row r="758" spans="1:16" ht="27" customHeight="1">
      <c r="A758" s="5"/>
      <c r="B758" s="5"/>
      <c r="C758" s="5"/>
      <c r="D758" s="7"/>
      <c r="E758" s="6"/>
      <c r="F758" s="5"/>
      <c r="G758" s="5"/>
      <c r="H758" s="127"/>
      <c r="I758" s="5"/>
      <c r="J758" s="6"/>
      <c r="K758" s="5"/>
      <c r="L758" s="5"/>
      <c r="M758" s="8"/>
      <c r="N758" s="5"/>
      <c r="O758" s="5"/>
      <c r="P758" s="5"/>
    </row>
    <row r="759" spans="1:16" ht="27" customHeight="1">
      <c r="A759" s="5"/>
      <c r="B759" s="5"/>
      <c r="C759" s="5"/>
      <c r="D759" s="7"/>
      <c r="E759" s="6"/>
      <c r="F759" s="5"/>
      <c r="G759" s="5"/>
      <c r="H759" s="127"/>
      <c r="I759" s="5"/>
      <c r="J759" s="6"/>
      <c r="K759" s="5"/>
      <c r="L759" s="5"/>
      <c r="M759" s="8"/>
      <c r="N759" s="5"/>
      <c r="O759" s="5"/>
      <c r="P759" s="5"/>
    </row>
    <row r="760" spans="1:16" ht="27" customHeight="1">
      <c r="A760" s="5"/>
      <c r="B760" s="5"/>
      <c r="C760" s="5"/>
      <c r="D760" s="7"/>
      <c r="E760" s="6"/>
      <c r="F760" s="5"/>
      <c r="G760" s="5"/>
      <c r="H760" s="127"/>
      <c r="I760" s="5"/>
      <c r="J760" s="6"/>
      <c r="K760" s="5"/>
      <c r="L760" s="5"/>
      <c r="M760" s="8"/>
      <c r="N760" s="5"/>
      <c r="O760" s="5"/>
      <c r="P760" s="5"/>
    </row>
    <row r="761" spans="1:16" ht="27" customHeight="1">
      <c r="A761" s="5"/>
      <c r="B761" s="5"/>
      <c r="C761" s="5"/>
      <c r="D761" s="7"/>
      <c r="E761" s="6"/>
      <c r="F761" s="5"/>
      <c r="G761" s="5"/>
      <c r="H761" s="127"/>
      <c r="I761" s="5"/>
      <c r="J761" s="6"/>
      <c r="K761" s="5"/>
      <c r="L761" s="5"/>
      <c r="M761" s="8"/>
      <c r="N761" s="5"/>
      <c r="O761" s="5"/>
      <c r="P761" s="5"/>
    </row>
    <row r="762" spans="1:16" ht="27" customHeight="1">
      <c r="A762" s="5"/>
      <c r="B762" s="5"/>
      <c r="C762" s="5"/>
      <c r="D762" s="7"/>
      <c r="E762" s="6"/>
      <c r="F762" s="5"/>
      <c r="G762" s="5"/>
      <c r="H762" s="127"/>
      <c r="I762" s="5"/>
      <c r="J762" s="6"/>
      <c r="K762" s="5"/>
      <c r="L762" s="5"/>
      <c r="M762" s="8"/>
      <c r="N762" s="5"/>
      <c r="O762" s="5"/>
      <c r="P762" s="5"/>
    </row>
    <row r="763" spans="1:16" ht="27" customHeight="1">
      <c r="A763" s="5"/>
      <c r="B763" s="5"/>
      <c r="C763" s="5"/>
      <c r="D763" s="7"/>
      <c r="E763" s="6"/>
      <c r="F763" s="5"/>
      <c r="G763" s="5"/>
      <c r="H763" s="127"/>
      <c r="I763" s="5"/>
      <c r="J763" s="6"/>
      <c r="K763" s="5"/>
      <c r="L763" s="5"/>
      <c r="M763" s="8"/>
      <c r="N763" s="5"/>
      <c r="O763" s="5"/>
      <c r="P763" s="5"/>
    </row>
    <row r="764" spans="1:16" ht="27" customHeight="1">
      <c r="A764" s="5"/>
      <c r="B764" s="5"/>
      <c r="C764" s="5"/>
      <c r="D764" s="7"/>
      <c r="E764" s="6"/>
      <c r="F764" s="5"/>
      <c r="G764" s="5"/>
      <c r="H764" s="127"/>
      <c r="I764" s="5"/>
      <c r="J764" s="6"/>
      <c r="K764" s="5"/>
      <c r="L764" s="5"/>
      <c r="M764" s="8"/>
      <c r="N764" s="5"/>
      <c r="O764" s="5"/>
      <c r="P764" s="5"/>
    </row>
    <row r="765" spans="1:16" ht="27" customHeight="1">
      <c r="A765" s="5"/>
      <c r="B765" s="5"/>
      <c r="C765" s="5"/>
      <c r="D765" s="7"/>
      <c r="E765" s="6"/>
      <c r="F765" s="5"/>
      <c r="G765" s="5"/>
      <c r="H765" s="127"/>
      <c r="I765" s="5"/>
      <c r="J765" s="6"/>
      <c r="K765" s="5"/>
      <c r="L765" s="5"/>
      <c r="M765" s="8"/>
      <c r="N765" s="5"/>
      <c r="O765" s="5"/>
      <c r="P765" s="5"/>
    </row>
    <row r="766" spans="1:16" ht="27" customHeight="1">
      <c r="A766" s="5"/>
      <c r="B766" s="5"/>
      <c r="C766" s="5"/>
      <c r="D766" s="7"/>
      <c r="E766" s="6"/>
      <c r="F766" s="5"/>
      <c r="G766" s="5"/>
      <c r="H766" s="127"/>
      <c r="I766" s="5"/>
      <c r="J766" s="6"/>
      <c r="K766" s="5"/>
      <c r="L766" s="5"/>
      <c r="M766" s="8"/>
      <c r="N766" s="5"/>
      <c r="O766" s="5"/>
      <c r="P766" s="5"/>
    </row>
    <row r="767" spans="1:16" ht="27" customHeight="1">
      <c r="A767" s="5"/>
      <c r="B767" s="5"/>
      <c r="C767" s="5"/>
      <c r="D767" s="7"/>
      <c r="E767" s="6"/>
      <c r="F767" s="5"/>
      <c r="G767" s="5"/>
      <c r="H767" s="127"/>
      <c r="I767" s="5"/>
      <c r="J767" s="6"/>
      <c r="K767" s="5"/>
      <c r="L767" s="5"/>
      <c r="M767" s="8"/>
      <c r="N767" s="5"/>
      <c r="O767" s="5"/>
      <c r="P767" s="5"/>
    </row>
    <row r="768" spans="1:16" ht="27" customHeight="1">
      <c r="A768" s="5"/>
      <c r="B768" s="5"/>
      <c r="C768" s="5"/>
      <c r="D768" s="7"/>
      <c r="E768" s="6"/>
      <c r="F768" s="5"/>
      <c r="G768" s="5"/>
      <c r="H768" s="127"/>
      <c r="I768" s="5"/>
      <c r="J768" s="6"/>
      <c r="K768" s="5"/>
      <c r="L768" s="5"/>
      <c r="M768" s="8"/>
      <c r="N768" s="5"/>
      <c r="O768" s="5"/>
      <c r="P768" s="5"/>
    </row>
    <row r="769" spans="1:16" ht="27" customHeight="1">
      <c r="A769" s="5"/>
      <c r="B769" s="5"/>
      <c r="C769" s="5"/>
      <c r="D769" s="7"/>
      <c r="E769" s="6"/>
      <c r="F769" s="5"/>
      <c r="G769" s="5"/>
      <c r="H769" s="127"/>
      <c r="I769" s="5"/>
      <c r="J769" s="6"/>
      <c r="K769" s="5"/>
      <c r="L769" s="5"/>
      <c r="M769" s="8"/>
      <c r="N769" s="5"/>
      <c r="O769" s="5"/>
      <c r="P769" s="5"/>
    </row>
    <row r="770" spans="1:16" ht="27" customHeight="1">
      <c r="A770" s="5"/>
      <c r="B770" s="5"/>
      <c r="C770" s="5"/>
      <c r="D770" s="7"/>
      <c r="E770" s="6"/>
      <c r="F770" s="5"/>
      <c r="G770" s="5"/>
      <c r="H770" s="127"/>
      <c r="I770" s="5"/>
      <c r="J770" s="6"/>
      <c r="K770" s="5"/>
      <c r="L770" s="5"/>
      <c r="M770" s="8"/>
      <c r="N770" s="5"/>
      <c r="O770" s="5"/>
      <c r="P770" s="5"/>
    </row>
    <row r="771" spans="1:16" ht="27" customHeight="1">
      <c r="A771" s="5"/>
      <c r="B771" s="5"/>
      <c r="C771" s="5"/>
      <c r="D771" s="7"/>
      <c r="E771" s="6"/>
      <c r="F771" s="5"/>
      <c r="G771" s="5"/>
      <c r="H771" s="127"/>
      <c r="I771" s="5"/>
      <c r="J771" s="6"/>
      <c r="K771" s="5"/>
      <c r="L771" s="5"/>
      <c r="M771" s="8"/>
      <c r="N771" s="5"/>
      <c r="O771" s="5"/>
      <c r="P771" s="5"/>
    </row>
    <row r="772" spans="1:16" ht="27" customHeight="1">
      <c r="A772" s="5"/>
      <c r="B772" s="5"/>
      <c r="C772" s="5"/>
      <c r="D772" s="7"/>
      <c r="E772" s="6"/>
      <c r="F772" s="5"/>
      <c r="G772" s="5"/>
      <c r="H772" s="127"/>
      <c r="I772" s="5"/>
      <c r="J772" s="6"/>
      <c r="K772" s="5"/>
      <c r="L772" s="5"/>
      <c r="M772" s="8"/>
      <c r="N772" s="5"/>
      <c r="O772" s="5"/>
      <c r="P772" s="5"/>
    </row>
    <row r="773" spans="1:16" ht="27" customHeight="1">
      <c r="A773" s="5"/>
      <c r="B773" s="5"/>
      <c r="C773" s="5"/>
      <c r="D773" s="7"/>
      <c r="E773" s="6"/>
      <c r="F773" s="5"/>
      <c r="G773" s="5"/>
      <c r="H773" s="127"/>
      <c r="I773" s="5"/>
      <c r="J773" s="6"/>
      <c r="K773" s="5"/>
      <c r="L773" s="5"/>
      <c r="M773" s="8"/>
      <c r="N773" s="5"/>
      <c r="O773" s="5"/>
      <c r="P773" s="5"/>
    </row>
    <row r="774" spans="1:16" ht="27" customHeight="1">
      <c r="A774" s="5"/>
      <c r="B774" s="5"/>
      <c r="C774" s="5"/>
      <c r="D774" s="7"/>
      <c r="E774" s="6"/>
      <c r="F774" s="5"/>
      <c r="G774" s="5"/>
      <c r="H774" s="127"/>
      <c r="I774" s="5"/>
      <c r="J774" s="6"/>
      <c r="K774" s="5"/>
      <c r="L774" s="5"/>
      <c r="M774" s="8"/>
      <c r="N774" s="5"/>
      <c r="O774" s="5"/>
      <c r="P774" s="5"/>
    </row>
    <row r="775" spans="1:16" ht="27" customHeight="1">
      <c r="A775" s="5"/>
      <c r="B775" s="5"/>
      <c r="C775" s="5"/>
      <c r="D775" s="7"/>
      <c r="E775" s="6"/>
      <c r="F775" s="5"/>
      <c r="G775" s="5"/>
      <c r="H775" s="127"/>
      <c r="I775" s="5"/>
      <c r="J775" s="6"/>
      <c r="K775" s="5"/>
      <c r="L775" s="5"/>
      <c r="M775" s="8"/>
      <c r="N775" s="5"/>
      <c r="O775" s="5"/>
      <c r="P775" s="5"/>
    </row>
    <row r="776" spans="1:16" ht="27" customHeight="1">
      <c r="A776" s="5"/>
      <c r="B776" s="5"/>
      <c r="C776" s="5"/>
      <c r="D776" s="7"/>
      <c r="E776" s="6"/>
      <c r="F776" s="5"/>
      <c r="G776" s="5"/>
      <c r="H776" s="127"/>
      <c r="I776" s="5"/>
      <c r="J776" s="6"/>
      <c r="K776" s="5"/>
      <c r="L776" s="5"/>
      <c r="M776" s="8"/>
      <c r="N776" s="5"/>
      <c r="O776" s="5"/>
      <c r="P776" s="5"/>
    </row>
    <row r="777" spans="1:16" ht="27" customHeight="1">
      <c r="A777" s="5"/>
      <c r="B777" s="5"/>
      <c r="C777" s="5"/>
      <c r="D777" s="7"/>
      <c r="E777" s="6"/>
      <c r="F777" s="5"/>
      <c r="G777" s="5"/>
      <c r="H777" s="127"/>
      <c r="I777" s="5"/>
      <c r="J777" s="6"/>
      <c r="K777" s="5"/>
      <c r="L777" s="5"/>
      <c r="M777" s="8"/>
      <c r="N777" s="5"/>
      <c r="O777" s="5"/>
      <c r="P777" s="5"/>
    </row>
    <row r="778" spans="1:16" ht="27" customHeight="1">
      <c r="A778" s="5"/>
      <c r="B778" s="5"/>
      <c r="C778" s="5"/>
      <c r="D778" s="7"/>
      <c r="E778" s="6"/>
      <c r="F778" s="5"/>
      <c r="G778" s="5"/>
      <c r="H778" s="127"/>
      <c r="I778" s="5"/>
      <c r="J778" s="6"/>
      <c r="K778" s="5"/>
      <c r="L778" s="5"/>
      <c r="M778" s="8"/>
      <c r="N778" s="5"/>
      <c r="O778" s="5"/>
      <c r="P778" s="5"/>
    </row>
    <row r="779" spans="1:16" ht="27" customHeight="1">
      <c r="A779" s="5"/>
      <c r="B779" s="5"/>
      <c r="C779" s="5"/>
      <c r="D779" s="7"/>
      <c r="E779" s="6"/>
      <c r="F779" s="5"/>
      <c r="G779" s="5"/>
      <c r="H779" s="127"/>
      <c r="I779" s="5"/>
      <c r="J779" s="6"/>
      <c r="K779" s="5"/>
      <c r="L779" s="5"/>
      <c r="M779" s="8"/>
      <c r="N779" s="5"/>
      <c r="O779" s="5"/>
      <c r="P779" s="5"/>
    </row>
    <row r="780" spans="1:16" ht="27" customHeight="1">
      <c r="A780" s="5"/>
      <c r="B780" s="5"/>
      <c r="C780" s="5"/>
      <c r="D780" s="7"/>
      <c r="E780" s="6"/>
      <c r="F780" s="5"/>
      <c r="G780" s="5"/>
      <c r="H780" s="127"/>
      <c r="I780" s="5"/>
      <c r="J780" s="6"/>
      <c r="K780" s="5"/>
      <c r="L780" s="5"/>
      <c r="M780" s="8"/>
      <c r="N780" s="5"/>
      <c r="O780" s="5"/>
      <c r="P780" s="5"/>
    </row>
    <row r="781" spans="1:16" ht="27" customHeight="1">
      <c r="A781" s="5"/>
      <c r="B781" s="5"/>
      <c r="C781" s="5"/>
      <c r="D781" s="7"/>
      <c r="E781" s="6"/>
      <c r="F781" s="5"/>
      <c r="G781" s="5"/>
      <c r="H781" s="127"/>
      <c r="I781" s="5"/>
      <c r="J781" s="6"/>
      <c r="K781" s="5"/>
      <c r="L781" s="5"/>
      <c r="M781" s="8"/>
      <c r="N781" s="5"/>
      <c r="O781" s="5"/>
      <c r="P781" s="5"/>
    </row>
    <row r="782" spans="1:16" ht="27" customHeight="1">
      <c r="A782" s="5"/>
      <c r="B782" s="5"/>
      <c r="C782" s="5"/>
      <c r="D782" s="7"/>
      <c r="E782" s="6"/>
      <c r="F782" s="5"/>
      <c r="G782" s="5"/>
      <c r="H782" s="127"/>
      <c r="I782" s="5"/>
      <c r="J782" s="6"/>
      <c r="K782" s="5"/>
      <c r="L782" s="5"/>
      <c r="M782" s="8"/>
      <c r="N782" s="5"/>
      <c r="O782" s="5"/>
      <c r="P782" s="5"/>
    </row>
    <row r="783" spans="1:16" ht="27" customHeight="1">
      <c r="A783" s="5"/>
      <c r="B783" s="5"/>
      <c r="C783" s="5"/>
      <c r="D783" s="7"/>
      <c r="E783" s="6"/>
      <c r="F783" s="5"/>
      <c r="G783" s="5"/>
      <c r="H783" s="127"/>
      <c r="I783" s="5"/>
      <c r="J783" s="6"/>
      <c r="K783" s="5"/>
      <c r="L783" s="5"/>
      <c r="M783" s="8"/>
      <c r="N783" s="5"/>
      <c r="O783" s="5"/>
      <c r="P783" s="5"/>
    </row>
    <row r="784" spans="1:16" ht="27" customHeight="1">
      <c r="A784" s="5"/>
      <c r="B784" s="5"/>
      <c r="C784" s="5"/>
      <c r="D784" s="7"/>
      <c r="E784" s="6"/>
      <c r="F784" s="5"/>
      <c r="G784" s="5"/>
      <c r="H784" s="127"/>
      <c r="I784" s="5"/>
      <c r="J784" s="6"/>
      <c r="K784" s="5"/>
      <c r="L784" s="5"/>
      <c r="M784" s="8"/>
      <c r="N784" s="5"/>
      <c r="O784" s="5"/>
      <c r="P784" s="5"/>
    </row>
    <row r="785" spans="1:16" ht="27" customHeight="1">
      <c r="A785" s="5"/>
      <c r="B785" s="5"/>
      <c r="C785" s="5"/>
      <c r="D785" s="7"/>
      <c r="E785" s="6"/>
      <c r="F785" s="5"/>
      <c r="G785" s="5"/>
      <c r="H785" s="127"/>
      <c r="I785" s="5"/>
      <c r="J785" s="6"/>
      <c r="K785" s="5"/>
      <c r="L785" s="5"/>
      <c r="M785" s="8"/>
      <c r="N785" s="5"/>
      <c r="O785" s="5"/>
      <c r="P785" s="5"/>
    </row>
    <row r="786" spans="1:16" ht="27" customHeight="1">
      <c r="A786" s="5"/>
      <c r="B786" s="5"/>
      <c r="C786" s="5"/>
      <c r="D786" s="7"/>
      <c r="E786" s="6"/>
      <c r="F786" s="5"/>
      <c r="G786" s="5"/>
      <c r="H786" s="127"/>
      <c r="I786" s="5"/>
      <c r="J786" s="6"/>
      <c r="K786" s="5"/>
      <c r="L786" s="5"/>
      <c r="M786" s="8"/>
      <c r="N786" s="5"/>
      <c r="O786" s="5"/>
      <c r="P786" s="5"/>
    </row>
    <row r="787" spans="1:16" ht="27" customHeight="1">
      <c r="A787" s="5"/>
      <c r="B787" s="5"/>
      <c r="C787" s="5"/>
      <c r="D787" s="7"/>
      <c r="E787" s="6"/>
      <c r="F787" s="5"/>
      <c r="G787" s="5"/>
      <c r="H787" s="127"/>
      <c r="I787" s="5"/>
      <c r="J787" s="6"/>
      <c r="K787" s="5"/>
      <c r="L787" s="5"/>
      <c r="M787" s="8"/>
      <c r="N787" s="5"/>
      <c r="O787" s="5"/>
      <c r="P787" s="5"/>
    </row>
    <row r="788" spans="1:16" ht="27" customHeight="1">
      <c r="A788" s="5"/>
      <c r="B788" s="5"/>
      <c r="C788" s="5"/>
      <c r="D788" s="7"/>
      <c r="E788" s="6"/>
      <c r="F788" s="5"/>
      <c r="G788" s="5"/>
      <c r="H788" s="127"/>
      <c r="I788" s="5"/>
      <c r="J788" s="6"/>
      <c r="K788" s="5"/>
      <c r="L788" s="5"/>
      <c r="M788" s="8"/>
      <c r="N788" s="5"/>
      <c r="O788" s="5"/>
      <c r="P788" s="5"/>
    </row>
    <row r="789" spans="1:16" ht="27" customHeight="1">
      <c r="A789" s="5"/>
      <c r="B789" s="5"/>
      <c r="C789" s="5"/>
      <c r="D789" s="7"/>
      <c r="E789" s="6"/>
      <c r="F789" s="5"/>
      <c r="G789" s="5"/>
      <c r="H789" s="127"/>
      <c r="I789" s="5"/>
      <c r="J789" s="6"/>
      <c r="K789" s="5"/>
      <c r="L789" s="5"/>
      <c r="M789" s="8"/>
      <c r="N789" s="5"/>
      <c r="O789" s="5"/>
      <c r="P789" s="5"/>
    </row>
    <row r="790" spans="1:16" ht="27" customHeight="1">
      <c r="A790" s="5"/>
      <c r="B790" s="5"/>
      <c r="C790" s="5"/>
      <c r="D790" s="7"/>
      <c r="E790" s="6"/>
      <c r="F790" s="5"/>
      <c r="G790" s="5"/>
      <c r="H790" s="127"/>
      <c r="I790" s="5"/>
      <c r="J790" s="6"/>
      <c r="K790" s="5"/>
      <c r="L790" s="5"/>
      <c r="M790" s="8"/>
      <c r="N790" s="5"/>
      <c r="O790" s="5"/>
      <c r="P790" s="5"/>
    </row>
    <row r="791" spans="1:16" ht="27" customHeight="1">
      <c r="A791" s="5"/>
      <c r="B791" s="5"/>
      <c r="C791" s="5"/>
      <c r="D791" s="7"/>
      <c r="E791" s="6"/>
      <c r="F791" s="5"/>
      <c r="G791" s="5"/>
      <c r="H791" s="127"/>
      <c r="I791" s="5"/>
      <c r="J791" s="6"/>
      <c r="K791" s="5"/>
      <c r="L791" s="5"/>
      <c r="M791" s="8"/>
      <c r="N791" s="5"/>
      <c r="O791" s="5"/>
      <c r="P791" s="5"/>
    </row>
    <row r="792" spans="1:16" ht="27" customHeight="1">
      <c r="A792" s="5"/>
      <c r="B792" s="5"/>
      <c r="C792" s="5"/>
      <c r="D792" s="7"/>
      <c r="E792" s="6"/>
      <c r="F792" s="5"/>
      <c r="G792" s="5"/>
      <c r="H792" s="127"/>
      <c r="I792" s="5"/>
      <c r="J792" s="6"/>
      <c r="K792" s="5"/>
      <c r="L792" s="5"/>
      <c r="M792" s="8"/>
      <c r="N792" s="5"/>
      <c r="O792" s="5"/>
      <c r="P792" s="5"/>
    </row>
    <row r="793" spans="1:16" ht="27" customHeight="1">
      <c r="A793" s="5"/>
      <c r="B793" s="5"/>
      <c r="C793" s="5"/>
      <c r="D793" s="7"/>
      <c r="E793" s="6"/>
      <c r="F793" s="5"/>
      <c r="G793" s="5"/>
      <c r="H793" s="127"/>
      <c r="I793" s="5"/>
      <c r="J793" s="6"/>
      <c r="K793" s="5"/>
      <c r="L793" s="5"/>
      <c r="M793" s="8"/>
      <c r="N793" s="5"/>
      <c r="O793" s="5"/>
      <c r="P793" s="5"/>
    </row>
    <row r="794" spans="1:16" ht="27" customHeight="1">
      <c r="A794" s="5"/>
      <c r="B794" s="5"/>
      <c r="C794" s="5"/>
      <c r="D794" s="7"/>
      <c r="E794" s="6"/>
      <c r="F794" s="5"/>
      <c r="G794" s="5"/>
      <c r="H794" s="127"/>
      <c r="I794" s="5"/>
      <c r="J794" s="6"/>
      <c r="K794" s="5"/>
      <c r="L794" s="5"/>
      <c r="M794" s="8"/>
      <c r="N794" s="5"/>
      <c r="O794" s="5"/>
      <c r="P794" s="5"/>
    </row>
    <row r="795" spans="1:16" ht="27" customHeight="1">
      <c r="A795" s="5"/>
      <c r="B795" s="5"/>
      <c r="C795" s="5"/>
      <c r="D795" s="7"/>
      <c r="E795" s="6"/>
      <c r="F795" s="5"/>
      <c r="G795" s="5"/>
      <c r="H795" s="127"/>
      <c r="I795" s="5"/>
      <c r="J795" s="6"/>
      <c r="K795" s="5"/>
      <c r="L795" s="5"/>
      <c r="M795" s="8"/>
      <c r="N795" s="5"/>
      <c r="O795" s="5"/>
      <c r="P795" s="5"/>
    </row>
    <row r="796" spans="1:16" ht="27" customHeight="1">
      <c r="A796" s="5"/>
      <c r="B796" s="5"/>
      <c r="C796" s="5"/>
      <c r="D796" s="7"/>
      <c r="E796" s="6"/>
      <c r="F796" s="5"/>
      <c r="G796" s="5"/>
      <c r="H796" s="127"/>
      <c r="I796" s="5"/>
      <c r="J796" s="6"/>
      <c r="K796" s="5"/>
      <c r="L796" s="5"/>
      <c r="M796" s="8"/>
      <c r="N796" s="5"/>
      <c r="O796" s="5"/>
      <c r="P796" s="5"/>
    </row>
    <row r="797" spans="1:16" ht="27" customHeight="1">
      <c r="A797" s="5"/>
      <c r="B797" s="5"/>
      <c r="C797" s="5"/>
      <c r="D797" s="7"/>
      <c r="E797" s="6"/>
      <c r="F797" s="5"/>
      <c r="G797" s="5"/>
      <c r="H797" s="127"/>
      <c r="I797" s="5"/>
      <c r="J797" s="6"/>
      <c r="K797" s="5"/>
      <c r="L797" s="5"/>
      <c r="M797" s="8"/>
      <c r="N797" s="5"/>
      <c r="O797" s="5"/>
      <c r="P797" s="5"/>
    </row>
    <row r="798" spans="1:16" ht="27" customHeight="1">
      <c r="A798" s="5"/>
      <c r="B798" s="5"/>
      <c r="C798" s="5"/>
      <c r="D798" s="7"/>
      <c r="E798" s="6"/>
      <c r="F798" s="5"/>
      <c r="G798" s="5"/>
      <c r="H798" s="127"/>
      <c r="I798" s="5"/>
      <c r="J798" s="6"/>
      <c r="K798" s="5"/>
      <c r="L798" s="5"/>
      <c r="M798" s="8"/>
      <c r="N798" s="5"/>
      <c r="O798" s="5"/>
      <c r="P798" s="5"/>
    </row>
    <row r="799" spans="1:16" ht="27" customHeight="1">
      <c r="A799" s="5"/>
      <c r="B799" s="5"/>
      <c r="C799" s="5"/>
      <c r="D799" s="7"/>
      <c r="E799" s="6"/>
      <c r="F799" s="5"/>
      <c r="G799" s="5"/>
      <c r="H799" s="127"/>
      <c r="I799" s="5"/>
      <c r="J799" s="6"/>
      <c r="K799" s="5"/>
      <c r="L799" s="5"/>
      <c r="M799" s="8"/>
      <c r="N799" s="5"/>
      <c r="O799" s="5"/>
      <c r="P799" s="5"/>
    </row>
    <row r="800" spans="1:16" ht="27" customHeight="1">
      <c r="A800" s="5"/>
      <c r="B800" s="5"/>
      <c r="C800" s="5"/>
      <c r="D800" s="7"/>
      <c r="E800" s="6"/>
      <c r="F800" s="5"/>
      <c r="G800" s="5"/>
      <c r="H800" s="127"/>
      <c r="I800" s="5"/>
      <c r="J800" s="6"/>
      <c r="K800" s="5"/>
      <c r="L800" s="5"/>
      <c r="M800" s="8"/>
      <c r="N800" s="5"/>
      <c r="O800" s="5"/>
      <c r="P800" s="5"/>
    </row>
    <row r="801" spans="1:16" ht="27" customHeight="1">
      <c r="A801" s="5"/>
      <c r="B801" s="5"/>
      <c r="C801" s="5"/>
      <c r="D801" s="7"/>
      <c r="E801" s="6"/>
      <c r="F801" s="5"/>
      <c r="G801" s="5"/>
      <c r="H801" s="127"/>
      <c r="I801" s="5"/>
      <c r="J801" s="6"/>
      <c r="K801" s="5"/>
      <c r="L801" s="5"/>
      <c r="M801" s="8"/>
      <c r="N801" s="5"/>
      <c r="O801" s="5"/>
      <c r="P801" s="5"/>
    </row>
    <row r="802" spans="1:16" ht="27" customHeight="1">
      <c r="A802" s="5"/>
      <c r="B802" s="5"/>
      <c r="C802" s="5"/>
      <c r="D802" s="7"/>
      <c r="E802" s="6"/>
      <c r="F802" s="5"/>
      <c r="G802" s="5"/>
      <c r="H802" s="127"/>
      <c r="I802" s="5"/>
      <c r="J802" s="6"/>
      <c r="K802" s="5"/>
      <c r="L802" s="5"/>
      <c r="M802" s="8"/>
      <c r="N802" s="5"/>
      <c r="O802" s="5"/>
      <c r="P802" s="5"/>
    </row>
    <row r="803" spans="1:16" ht="27" customHeight="1">
      <c r="A803" s="5"/>
      <c r="B803" s="5"/>
      <c r="C803" s="5"/>
      <c r="D803" s="7"/>
      <c r="E803" s="6"/>
      <c r="F803" s="5"/>
      <c r="G803" s="5"/>
      <c r="H803" s="127"/>
      <c r="I803" s="5"/>
      <c r="J803" s="6"/>
      <c r="K803" s="5"/>
      <c r="L803" s="5"/>
      <c r="M803" s="8"/>
      <c r="N803" s="5"/>
      <c r="O803" s="5"/>
      <c r="P803" s="5"/>
    </row>
    <row r="804" spans="1:16" ht="27" customHeight="1">
      <c r="A804" s="5"/>
      <c r="B804" s="5"/>
      <c r="C804" s="5"/>
      <c r="D804" s="7"/>
      <c r="E804" s="6"/>
      <c r="F804" s="5"/>
      <c r="G804" s="5"/>
      <c r="H804" s="127"/>
      <c r="I804" s="5"/>
      <c r="J804" s="6"/>
      <c r="K804" s="5"/>
      <c r="L804" s="5"/>
      <c r="M804" s="8"/>
      <c r="N804" s="5"/>
      <c r="O804" s="5"/>
      <c r="P804" s="5"/>
    </row>
    <row r="805" spans="1:16" ht="27" customHeight="1">
      <c r="A805" s="5"/>
      <c r="B805" s="5"/>
      <c r="C805" s="5"/>
      <c r="D805" s="7"/>
      <c r="E805" s="6"/>
      <c r="F805" s="5"/>
      <c r="G805" s="5"/>
      <c r="H805" s="127"/>
      <c r="I805" s="5"/>
      <c r="J805" s="6"/>
      <c r="K805" s="5"/>
      <c r="L805" s="5"/>
      <c r="M805" s="8"/>
      <c r="N805" s="5"/>
      <c r="O805" s="5"/>
      <c r="P805" s="5"/>
    </row>
    <row r="806" spans="1:16" ht="27" customHeight="1">
      <c r="A806" s="5"/>
      <c r="B806" s="5"/>
      <c r="C806" s="5"/>
      <c r="D806" s="7"/>
      <c r="E806" s="6"/>
      <c r="F806" s="5"/>
      <c r="G806" s="5"/>
      <c r="H806" s="127"/>
      <c r="I806" s="5"/>
      <c r="J806" s="6"/>
      <c r="K806" s="5"/>
      <c r="L806" s="5"/>
      <c r="M806" s="8"/>
      <c r="N806" s="5"/>
      <c r="O806" s="5"/>
      <c r="P806" s="5"/>
    </row>
    <row r="807" spans="1:16" ht="27" customHeight="1">
      <c r="A807" s="5"/>
      <c r="B807" s="5"/>
      <c r="C807" s="5"/>
      <c r="D807" s="7"/>
      <c r="E807" s="6"/>
      <c r="F807" s="5"/>
      <c r="G807" s="5"/>
      <c r="H807" s="127"/>
      <c r="I807" s="5"/>
      <c r="J807" s="6"/>
      <c r="K807" s="5"/>
      <c r="L807" s="5"/>
      <c r="M807" s="8"/>
      <c r="N807" s="5"/>
      <c r="O807" s="5"/>
      <c r="P807" s="5"/>
    </row>
    <row r="808" spans="1:16" ht="27" customHeight="1">
      <c r="A808" s="5"/>
      <c r="B808" s="5"/>
      <c r="C808" s="5"/>
      <c r="D808" s="7"/>
      <c r="E808" s="6"/>
      <c r="F808" s="5"/>
      <c r="G808" s="5"/>
      <c r="H808" s="127"/>
      <c r="I808" s="5"/>
      <c r="J808" s="6"/>
      <c r="K808" s="5"/>
      <c r="L808" s="5"/>
      <c r="M808" s="8"/>
      <c r="N808" s="5"/>
      <c r="O808" s="5"/>
      <c r="P808" s="5"/>
    </row>
    <row r="809" spans="1:16" ht="27" customHeight="1">
      <c r="A809" s="5"/>
      <c r="B809" s="5"/>
      <c r="C809" s="5"/>
      <c r="D809" s="7"/>
      <c r="E809" s="6"/>
      <c r="F809" s="5"/>
      <c r="G809" s="5"/>
      <c r="H809" s="127"/>
      <c r="I809" s="5"/>
      <c r="J809" s="6"/>
      <c r="K809" s="5"/>
      <c r="L809" s="5"/>
      <c r="M809" s="8"/>
      <c r="N809" s="5"/>
      <c r="O809" s="5"/>
      <c r="P809" s="5"/>
    </row>
    <row r="810" spans="1:16" ht="27" customHeight="1">
      <c r="A810" s="5"/>
      <c r="B810" s="5"/>
      <c r="C810" s="5"/>
      <c r="D810" s="7"/>
      <c r="E810" s="6"/>
      <c r="F810" s="5"/>
      <c r="G810" s="5"/>
      <c r="H810" s="127"/>
      <c r="I810" s="5"/>
      <c r="J810" s="6"/>
      <c r="K810" s="5"/>
      <c r="L810" s="5"/>
      <c r="M810" s="8"/>
      <c r="N810" s="5"/>
      <c r="O810" s="5"/>
      <c r="P810" s="5"/>
    </row>
    <row r="811" spans="1:16" ht="27" customHeight="1">
      <c r="A811" s="5"/>
      <c r="B811" s="5"/>
      <c r="C811" s="5"/>
      <c r="D811" s="7"/>
      <c r="E811" s="6"/>
      <c r="F811" s="5"/>
      <c r="G811" s="5"/>
      <c r="H811" s="127"/>
      <c r="I811" s="5"/>
      <c r="J811" s="6"/>
      <c r="K811" s="5"/>
      <c r="L811" s="5"/>
      <c r="M811" s="8"/>
      <c r="N811" s="5"/>
      <c r="O811" s="5"/>
      <c r="P811" s="5"/>
    </row>
    <row r="812" spans="1:16" ht="27" customHeight="1">
      <c r="A812" s="5"/>
      <c r="B812" s="5"/>
      <c r="C812" s="5"/>
      <c r="D812" s="7"/>
      <c r="E812" s="6"/>
      <c r="F812" s="5"/>
      <c r="G812" s="5"/>
      <c r="H812" s="127"/>
      <c r="I812" s="5"/>
      <c r="J812" s="6"/>
      <c r="K812" s="5"/>
      <c r="L812" s="5"/>
      <c r="M812" s="8"/>
      <c r="N812" s="5"/>
      <c r="O812" s="5"/>
      <c r="P812" s="5"/>
    </row>
    <row r="813" spans="1:16" ht="27" customHeight="1">
      <c r="A813" s="5"/>
      <c r="B813" s="5"/>
      <c r="C813" s="5"/>
      <c r="D813" s="7"/>
      <c r="E813" s="6"/>
      <c r="F813" s="5"/>
      <c r="G813" s="5"/>
      <c r="H813" s="127"/>
      <c r="I813" s="5"/>
      <c r="J813" s="6"/>
      <c r="K813" s="5"/>
      <c r="L813" s="5"/>
      <c r="M813" s="8"/>
      <c r="N813" s="5"/>
      <c r="O813" s="5"/>
      <c r="P813" s="5"/>
    </row>
    <row r="814" spans="1:16" ht="27" customHeight="1">
      <c r="A814" s="5"/>
      <c r="B814" s="5"/>
      <c r="C814" s="5"/>
      <c r="D814" s="7"/>
      <c r="E814" s="6"/>
      <c r="F814" s="5"/>
      <c r="G814" s="5"/>
      <c r="H814" s="127"/>
      <c r="I814" s="5"/>
      <c r="J814" s="6"/>
      <c r="K814" s="5"/>
      <c r="L814" s="5"/>
      <c r="M814" s="8"/>
      <c r="N814" s="5"/>
      <c r="O814" s="5"/>
      <c r="P814" s="5"/>
    </row>
    <row r="815" spans="1:16" ht="27" customHeight="1">
      <c r="A815" s="5"/>
      <c r="B815" s="5"/>
      <c r="C815" s="5"/>
      <c r="D815" s="7"/>
      <c r="E815" s="6"/>
      <c r="F815" s="5"/>
      <c r="G815" s="5"/>
      <c r="H815" s="127"/>
      <c r="I815" s="5"/>
      <c r="J815" s="6"/>
      <c r="K815" s="5"/>
      <c r="L815" s="5"/>
      <c r="M815" s="8"/>
      <c r="N815" s="5"/>
      <c r="O815" s="5"/>
      <c r="P815" s="5"/>
    </row>
    <row r="816" spans="1:16" ht="27" customHeight="1">
      <c r="A816" s="5"/>
      <c r="B816" s="5"/>
      <c r="C816" s="5"/>
      <c r="D816" s="7"/>
      <c r="E816" s="6"/>
      <c r="F816" s="5"/>
      <c r="G816" s="5"/>
      <c r="H816" s="127"/>
      <c r="I816" s="5"/>
      <c r="J816" s="6"/>
      <c r="K816" s="5"/>
      <c r="L816" s="5"/>
      <c r="M816" s="8"/>
      <c r="N816" s="5"/>
      <c r="O816" s="5"/>
      <c r="P816" s="5"/>
    </row>
    <row r="817" spans="1:16" ht="27" customHeight="1">
      <c r="A817" s="5"/>
      <c r="B817" s="5"/>
      <c r="C817" s="5"/>
      <c r="D817" s="7"/>
      <c r="E817" s="6"/>
      <c r="F817" s="5"/>
      <c r="G817" s="5"/>
      <c r="H817" s="127"/>
      <c r="I817" s="5"/>
      <c r="J817" s="6"/>
      <c r="K817" s="5"/>
      <c r="L817" s="5"/>
      <c r="M817" s="8"/>
      <c r="N817" s="5"/>
      <c r="O817" s="5"/>
      <c r="P817" s="5"/>
    </row>
    <row r="818" spans="1:16" ht="27" customHeight="1">
      <c r="A818" s="5"/>
      <c r="B818" s="5"/>
      <c r="C818" s="5"/>
      <c r="D818" s="7"/>
      <c r="E818" s="6"/>
      <c r="F818" s="5"/>
      <c r="G818" s="5"/>
      <c r="H818" s="127"/>
      <c r="I818" s="5"/>
      <c r="J818" s="6"/>
      <c r="K818" s="5"/>
      <c r="L818" s="5"/>
      <c r="M818" s="8"/>
      <c r="N818" s="5"/>
      <c r="O818" s="5"/>
      <c r="P818" s="5"/>
    </row>
    <row r="819" spans="1:16" ht="27" customHeight="1">
      <c r="A819" s="5"/>
      <c r="B819" s="5"/>
      <c r="C819" s="5"/>
      <c r="D819" s="7"/>
      <c r="E819" s="6"/>
      <c r="F819" s="5"/>
      <c r="G819" s="5"/>
      <c r="H819" s="127"/>
      <c r="I819" s="5"/>
      <c r="J819" s="6"/>
      <c r="K819" s="5"/>
      <c r="L819" s="5"/>
      <c r="M819" s="8"/>
      <c r="N819" s="5"/>
      <c r="O819" s="5"/>
      <c r="P819" s="5"/>
    </row>
    <row r="820" spans="1:16" ht="27" customHeight="1">
      <c r="A820" s="5"/>
      <c r="B820" s="5"/>
      <c r="C820" s="5"/>
      <c r="D820" s="7"/>
      <c r="E820" s="6"/>
      <c r="F820" s="5"/>
      <c r="G820" s="5"/>
      <c r="H820" s="127"/>
      <c r="I820" s="5"/>
      <c r="J820" s="6"/>
      <c r="K820" s="5"/>
      <c r="L820" s="5"/>
      <c r="M820" s="8"/>
      <c r="N820" s="5"/>
      <c r="O820" s="5"/>
      <c r="P820" s="5"/>
    </row>
    <row r="821" spans="1:16" ht="27" customHeight="1">
      <c r="A821" s="5"/>
      <c r="B821" s="5"/>
      <c r="C821" s="5"/>
      <c r="D821" s="7"/>
      <c r="E821" s="6"/>
      <c r="F821" s="5"/>
      <c r="G821" s="5"/>
      <c r="H821" s="127"/>
      <c r="I821" s="5"/>
      <c r="J821" s="6"/>
      <c r="K821" s="5"/>
      <c r="L821" s="5"/>
      <c r="M821" s="8"/>
      <c r="N821" s="5"/>
      <c r="O821" s="5"/>
      <c r="P821" s="5"/>
    </row>
    <row r="822" spans="1:16" ht="27" customHeight="1">
      <c r="A822" s="5"/>
      <c r="B822" s="5"/>
      <c r="C822" s="5"/>
      <c r="D822" s="7"/>
      <c r="E822" s="6"/>
      <c r="F822" s="5"/>
      <c r="G822" s="5"/>
      <c r="H822" s="127"/>
      <c r="I822" s="5"/>
      <c r="J822" s="6"/>
      <c r="K822" s="5"/>
      <c r="L822" s="5"/>
      <c r="M822" s="8"/>
      <c r="N822" s="5"/>
      <c r="O822" s="5"/>
      <c r="P822" s="5"/>
    </row>
    <row r="823" spans="1:16" ht="27" customHeight="1">
      <c r="A823" s="5"/>
      <c r="B823" s="5"/>
      <c r="C823" s="5"/>
      <c r="D823" s="7"/>
      <c r="E823" s="6"/>
      <c r="F823" s="5"/>
      <c r="G823" s="5"/>
      <c r="H823" s="127"/>
      <c r="I823" s="5"/>
      <c r="J823" s="6"/>
      <c r="K823" s="5"/>
      <c r="L823" s="5"/>
      <c r="M823" s="8"/>
      <c r="N823" s="5"/>
      <c r="O823" s="5"/>
      <c r="P823" s="5"/>
    </row>
    <row r="824" spans="1:16" ht="27" customHeight="1">
      <c r="A824" s="5"/>
      <c r="B824" s="5"/>
      <c r="C824" s="5"/>
      <c r="D824" s="7"/>
      <c r="E824" s="6"/>
      <c r="F824" s="5"/>
      <c r="G824" s="5"/>
      <c r="H824" s="127"/>
      <c r="I824" s="5"/>
      <c r="J824" s="6"/>
      <c r="K824" s="5"/>
      <c r="L824" s="5"/>
      <c r="M824" s="8"/>
      <c r="N824" s="5"/>
      <c r="O824" s="5"/>
      <c r="P824" s="5"/>
    </row>
    <row r="825" spans="1:16" ht="27" customHeight="1">
      <c r="A825" s="5"/>
      <c r="B825" s="5"/>
      <c r="C825" s="5"/>
      <c r="D825" s="7"/>
      <c r="E825" s="6"/>
      <c r="F825" s="5"/>
      <c r="G825" s="5"/>
      <c r="H825" s="127"/>
      <c r="I825" s="5"/>
      <c r="J825" s="6"/>
      <c r="K825" s="5"/>
      <c r="L825" s="5"/>
      <c r="M825" s="8"/>
      <c r="N825" s="5"/>
      <c r="O825" s="5"/>
      <c r="P825" s="5"/>
    </row>
    <row r="826" spans="1:16" ht="27" customHeight="1">
      <c r="A826" s="5"/>
      <c r="B826" s="5"/>
      <c r="C826" s="5"/>
      <c r="D826" s="7"/>
      <c r="E826" s="6"/>
      <c r="F826" s="5"/>
      <c r="G826" s="5"/>
      <c r="H826" s="127"/>
      <c r="I826" s="5"/>
      <c r="J826" s="6"/>
      <c r="K826" s="5"/>
      <c r="L826" s="5"/>
      <c r="M826" s="8"/>
      <c r="N826" s="5"/>
      <c r="O826" s="5"/>
      <c r="P826" s="5"/>
    </row>
    <row r="827" spans="1:16" ht="27" customHeight="1">
      <c r="A827" s="5"/>
      <c r="B827" s="5"/>
      <c r="C827" s="5"/>
      <c r="D827" s="7"/>
      <c r="E827" s="6"/>
      <c r="F827" s="5"/>
      <c r="G827" s="5"/>
      <c r="H827" s="127"/>
      <c r="I827" s="5"/>
      <c r="J827" s="6"/>
      <c r="K827" s="5"/>
      <c r="L827" s="5"/>
      <c r="M827" s="8"/>
      <c r="N827" s="5"/>
      <c r="O827" s="5"/>
      <c r="P827" s="5"/>
    </row>
    <row r="828" spans="1:16" ht="27" customHeight="1">
      <c r="A828" s="5"/>
      <c r="B828" s="5"/>
      <c r="C828" s="5"/>
      <c r="D828" s="7"/>
      <c r="E828" s="6"/>
      <c r="F828" s="5"/>
      <c r="G828" s="5"/>
      <c r="H828" s="127"/>
      <c r="I828" s="5"/>
      <c r="J828" s="6"/>
      <c r="K828" s="5"/>
      <c r="L828" s="5"/>
      <c r="M828" s="8"/>
      <c r="N828" s="5"/>
      <c r="O828" s="5"/>
      <c r="P828" s="5"/>
    </row>
    <row r="829" spans="1:16" ht="27" customHeight="1">
      <c r="A829" s="5"/>
      <c r="B829" s="5"/>
      <c r="C829" s="5"/>
      <c r="D829" s="7"/>
      <c r="E829" s="6"/>
      <c r="F829" s="5"/>
      <c r="G829" s="5"/>
      <c r="H829" s="127"/>
      <c r="I829" s="5"/>
      <c r="J829" s="6"/>
      <c r="K829" s="5"/>
      <c r="L829" s="5"/>
      <c r="M829" s="8"/>
      <c r="N829" s="5"/>
      <c r="O829" s="5"/>
      <c r="P829" s="5"/>
    </row>
    <row r="830" spans="1:16" ht="27" customHeight="1">
      <c r="A830" s="5"/>
      <c r="B830" s="5"/>
      <c r="C830" s="5"/>
      <c r="D830" s="7"/>
      <c r="E830" s="6"/>
      <c r="F830" s="5"/>
      <c r="G830" s="5"/>
      <c r="H830" s="127"/>
      <c r="I830" s="5"/>
      <c r="J830" s="6"/>
      <c r="K830" s="5"/>
      <c r="L830" s="5"/>
      <c r="M830" s="8"/>
      <c r="N830" s="5"/>
      <c r="O830" s="5"/>
      <c r="P830" s="5"/>
    </row>
    <row r="831" spans="1:16" ht="27" customHeight="1">
      <c r="A831" s="5"/>
      <c r="B831" s="5"/>
      <c r="C831" s="5"/>
      <c r="D831" s="7"/>
      <c r="E831" s="6"/>
      <c r="F831" s="5"/>
      <c r="G831" s="5"/>
      <c r="H831" s="127"/>
      <c r="I831" s="5"/>
      <c r="J831" s="6"/>
      <c r="K831" s="5"/>
      <c r="L831" s="5"/>
      <c r="M831" s="8"/>
      <c r="N831" s="5"/>
      <c r="O831" s="5"/>
      <c r="P831" s="5"/>
    </row>
    <row r="832" spans="1:16" ht="27" customHeight="1">
      <c r="A832" s="5"/>
      <c r="B832" s="5"/>
      <c r="C832" s="5"/>
      <c r="D832" s="7"/>
      <c r="E832" s="6"/>
      <c r="F832" s="5"/>
      <c r="G832" s="5"/>
      <c r="H832" s="127"/>
      <c r="I832" s="5"/>
      <c r="J832" s="6"/>
      <c r="K832" s="5"/>
      <c r="L832" s="5"/>
      <c r="M832" s="8"/>
      <c r="N832" s="5"/>
      <c r="O832" s="5"/>
      <c r="P832" s="5"/>
    </row>
    <row r="833" spans="1:16" ht="27" customHeight="1">
      <c r="A833" s="5"/>
      <c r="B833" s="5"/>
      <c r="C833" s="5"/>
      <c r="D833" s="7"/>
      <c r="E833" s="6"/>
      <c r="F833" s="5"/>
      <c r="G833" s="5"/>
      <c r="H833" s="127"/>
      <c r="I833" s="5"/>
      <c r="J833" s="6"/>
      <c r="K833" s="5"/>
      <c r="L833" s="5"/>
      <c r="M833" s="8"/>
      <c r="N833" s="5"/>
      <c r="O833" s="5"/>
      <c r="P833" s="5"/>
    </row>
    <row r="834" spans="1:16" ht="27" customHeight="1">
      <c r="A834" s="5"/>
      <c r="B834" s="5"/>
      <c r="C834" s="5"/>
      <c r="D834" s="7"/>
      <c r="E834" s="6"/>
      <c r="F834" s="5"/>
      <c r="G834" s="5"/>
      <c r="H834" s="127"/>
      <c r="I834" s="5"/>
      <c r="J834" s="6"/>
      <c r="K834" s="5"/>
      <c r="L834" s="5"/>
      <c r="M834" s="8"/>
      <c r="N834" s="5"/>
      <c r="O834" s="5"/>
      <c r="P834" s="5"/>
    </row>
    <row r="835" spans="1:16" ht="27" customHeight="1">
      <c r="A835" s="5"/>
      <c r="B835" s="5"/>
      <c r="C835" s="5"/>
      <c r="D835" s="7"/>
      <c r="E835" s="6"/>
      <c r="F835" s="5"/>
      <c r="G835" s="5"/>
      <c r="H835" s="127"/>
      <c r="I835" s="5"/>
      <c r="J835" s="6"/>
      <c r="K835" s="5"/>
      <c r="L835" s="5"/>
      <c r="M835" s="8"/>
      <c r="N835" s="5"/>
      <c r="O835" s="5"/>
      <c r="P835" s="5"/>
    </row>
    <row r="836" spans="1:16" ht="27" customHeight="1">
      <c r="A836" s="5"/>
      <c r="B836" s="5"/>
      <c r="C836" s="5"/>
      <c r="D836" s="7"/>
      <c r="E836" s="6"/>
      <c r="F836" s="5"/>
      <c r="G836" s="5"/>
      <c r="H836" s="127"/>
      <c r="I836" s="5"/>
      <c r="J836" s="6"/>
      <c r="K836" s="5"/>
      <c r="L836" s="5"/>
      <c r="M836" s="8"/>
      <c r="N836" s="5"/>
      <c r="O836" s="5"/>
      <c r="P836" s="5"/>
    </row>
    <row r="837" spans="1:16" ht="27" customHeight="1">
      <c r="A837" s="5"/>
      <c r="B837" s="5"/>
      <c r="C837" s="5"/>
      <c r="D837" s="7"/>
      <c r="E837" s="6"/>
      <c r="F837" s="5"/>
      <c r="G837" s="5"/>
      <c r="H837" s="127"/>
      <c r="I837" s="5"/>
      <c r="J837" s="6"/>
      <c r="K837" s="5"/>
      <c r="L837" s="5"/>
      <c r="M837" s="8"/>
      <c r="N837" s="5"/>
      <c r="O837" s="5"/>
      <c r="P837" s="5"/>
    </row>
    <row r="838" spans="1:16" ht="27" customHeight="1">
      <c r="A838" s="5"/>
      <c r="B838" s="5"/>
      <c r="C838" s="5"/>
      <c r="D838" s="7"/>
      <c r="E838" s="6"/>
      <c r="F838" s="5"/>
      <c r="G838" s="5"/>
      <c r="H838" s="127"/>
      <c r="I838" s="5"/>
      <c r="J838" s="6"/>
      <c r="K838" s="5"/>
      <c r="L838" s="5"/>
      <c r="M838" s="8"/>
      <c r="N838" s="5"/>
      <c r="O838" s="5"/>
      <c r="P838" s="5"/>
    </row>
    <row r="839" spans="1:16" ht="27" customHeight="1">
      <c r="A839" s="5"/>
      <c r="B839" s="5"/>
      <c r="C839" s="5"/>
      <c r="D839" s="7"/>
      <c r="E839" s="6"/>
      <c r="F839" s="5"/>
      <c r="G839" s="5"/>
      <c r="H839" s="127"/>
      <c r="I839" s="5"/>
      <c r="J839" s="6"/>
      <c r="K839" s="5"/>
      <c r="L839" s="5"/>
      <c r="M839" s="8"/>
      <c r="N839" s="5"/>
      <c r="O839" s="5"/>
      <c r="P839" s="5"/>
    </row>
    <row r="840" spans="1:16" ht="27" customHeight="1">
      <c r="A840" s="5"/>
      <c r="B840" s="5"/>
      <c r="C840" s="5"/>
      <c r="D840" s="7"/>
      <c r="E840" s="6"/>
      <c r="F840" s="5"/>
      <c r="G840" s="5"/>
      <c r="H840" s="127"/>
      <c r="I840" s="5"/>
      <c r="J840" s="6"/>
      <c r="K840" s="5"/>
      <c r="L840" s="5"/>
      <c r="M840" s="8"/>
      <c r="N840" s="5"/>
      <c r="O840" s="5"/>
      <c r="P840" s="5"/>
    </row>
    <row r="841" spans="1:16" ht="27" customHeight="1">
      <c r="A841" s="5"/>
      <c r="B841" s="5"/>
      <c r="C841" s="5"/>
      <c r="D841" s="7"/>
      <c r="E841" s="6"/>
      <c r="F841" s="5"/>
      <c r="G841" s="5"/>
      <c r="H841" s="127"/>
      <c r="I841" s="5"/>
      <c r="J841" s="6"/>
      <c r="K841" s="5"/>
      <c r="L841" s="5"/>
      <c r="M841" s="8"/>
      <c r="N841" s="5"/>
      <c r="O841" s="5"/>
      <c r="P841" s="5"/>
    </row>
    <row r="842" spans="1:16" ht="27" customHeight="1">
      <c r="A842" s="5"/>
      <c r="B842" s="5"/>
      <c r="C842" s="5"/>
      <c r="D842" s="7"/>
      <c r="E842" s="6"/>
      <c r="F842" s="5"/>
      <c r="G842" s="5"/>
      <c r="H842" s="127"/>
      <c r="I842" s="5"/>
      <c r="J842" s="6"/>
      <c r="K842" s="5"/>
      <c r="L842" s="5"/>
      <c r="M842" s="8"/>
      <c r="N842" s="5"/>
      <c r="O842" s="5"/>
      <c r="P842" s="5"/>
    </row>
    <row r="843" spans="1:16" ht="27" customHeight="1">
      <c r="A843" s="5"/>
      <c r="B843" s="5"/>
      <c r="C843" s="5"/>
      <c r="D843" s="7"/>
      <c r="E843" s="6"/>
      <c r="F843" s="5"/>
      <c r="G843" s="5"/>
      <c r="H843" s="127"/>
      <c r="I843" s="5"/>
      <c r="J843" s="6"/>
      <c r="K843" s="5"/>
      <c r="L843" s="5"/>
      <c r="M843" s="8"/>
      <c r="N843" s="5"/>
      <c r="O843" s="5"/>
      <c r="P843" s="5"/>
    </row>
    <row r="844" spans="1:16" ht="27" customHeight="1">
      <c r="A844" s="5"/>
      <c r="B844" s="5"/>
      <c r="C844" s="5"/>
      <c r="D844" s="7"/>
      <c r="E844" s="6"/>
      <c r="F844" s="5"/>
      <c r="G844" s="5"/>
      <c r="H844" s="127"/>
      <c r="I844" s="5"/>
      <c r="J844" s="6"/>
      <c r="K844" s="5"/>
      <c r="L844" s="5"/>
      <c r="M844" s="8"/>
      <c r="N844" s="5"/>
      <c r="O844" s="5"/>
      <c r="P844" s="5"/>
    </row>
    <row r="845" spans="1:16" ht="27" customHeight="1">
      <c r="A845" s="5"/>
      <c r="B845" s="5"/>
      <c r="C845" s="5"/>
      <c r="D845" s="7"/>
      <c r="E845" s="6"/>
      <c r="F845" s="5"/>
      <c r="G845" s="5"/>
      <c r="H845" s="127"/>
      <c r="I845" s="5"/>
      <c r="J845" s="6"/>
      <c r="K845" s="5"/>
      <c r="L845" s="5"/>
      <c r="M845" s="8"/>
      <c r="N845" s="5"/>
      <c r="O845" s="5"/>
      <c r="P845" s="5"/>
    </row>
    <row r="846" spans="1:16" ht="27" customHeight="1">
      <c r="A846" s="5"/>
      <c r="B846" s="5"/>
      <c r="C846" s="5"/>
      <c r="D846" s="7"/>
      <c r="E846" s="6"/>
      <c r="F846" s="5"/>
      <c r="G846" s="5"/>
      <c r="H846" s="127"/>
      <c r="I846" s="5"/>
      <c r="J846" s="6"/>
      <c r="K846" s="5"/>
      <c r="L846" s="5"/>
      <c r="M846" s="8"/>
      <c r="N846" s="5"/>
      <c r="O846" s="5"/>
      <c r="P846" s="5"/>
    </row>
    <row r="847" spans="1:16" ht="27" customHeight="1">
      <c r="A847" s="5"/>
      <c r="B847" s="5"/>
      <c r="C847" s="5"/>
      <c r="D847" s="7"/>
      <c r="E847" s="6"/>
      <c r="F847" s="5"/>
      <c r="G847" s="5"/>
      <c r="H847" s="127"/>
      <c r="I847" s="5"/>
      <c r="J847" s="6"/>
      <c r="K847" s="5"/>
      <c r="L847" s="5"/>
      <c r="M847" s="8"/>
      <c r="N847" s="5"/>
      <c r="O847" s="5"/>
      <c r="P847" s="5"/>
    </row>
    <row r="848" spans="1:16" ht="27" customHeight="1">
      <c r="A848" s="5"/>
      <c r="B848" s="5"/>
      <c r="C848" s="5"/>
      <c r="D848" s="7"/>
      <c r="E848" s="6"/>
      <c r="F848" s="5"/>
      <c r="G848" s="5"/>
      <c r="H848" s="127"/>
      <c r="I848" s="5"/>
      <c r="J848" s="6"/>
      <c r="K848" s="5"/>
      <c r="L848" s="5"/>
      <c r="M848" s="8"/>
      <c r="N848" s="5"/>
      <c r="O848" s="5"/>
      <c r="P848" s="5"/>
    </row>
    <row r="849" spans="1:16" ht="27" customHeight="1">
      <c r="A849" s="5"/>
      <c r="B849" s="5"/>
      <c r="C849" s="5"/>
      <c r="D849" s="7"/>
      <c r="E849" s="6"/>
      <c r="F849" s="5"/>
      <c r="G849" s="5"/>
      <c r="H849" s="127"/>
      <c r="I849" s="5"/>
      <c r="J849" s="6"/>
      <c r="K849" s="5"/>
      <c r="L849" s="5"/>
      <c r="M849" s="8"/>
      <c r="N849" s="5"/>
      <c r="O849" s="5"/>
      <c r="P849" s="5"/>
    </row>
    <row r="850" spans="1:16" ht="27" customHeight="1">
      <c r="A850" s="5"/>
      <c r="B850" s="5"/>
      <c r="C850" s="5"/>
      <c r="D850" s="7"/>
      <c r="E850" s="6"/>
      <c r="F850" s="5"/>
      <c r="G850" s="5"/>
      <c r="H850" s="127"/>
      <c r="I850" s="5"/>
      <c r="J850" s="6"/>
      <c r="K850" s="5"/>
      <c r="L850" s="5"/>
      <c r="M850" s="8"/>
      <c r="N850" s="5"/>
      <c r="O850" s="5"/>
      <c r="P850" s="5"/>
    </row>
    <row r="851" spans="1:16" ht="27" customHeight="1">
      <c r="A851" s="5"/>
      <c r="B851" s="5"/>
      <c r="C851" s="5"/>
      <c r="D851" s="7"/>
      <c r="E851" s="6"/>
      <c r="F851" s="5"/>
      <c r="G851" s="5"/>
      <c r="H851" s="127"/>
      <c r="I851" s="5"/>
      <c r="J851" s="6"/>
      <c r="K851" s="5"/>
      <c r="L851" s="5"/>
      <c r="M851" s="8"/>
      <c r="N851" s="5"/>
      <c r="O851" s="5"/>
      <c r="P851" s="5"/>
    </row>
    <row r="852" spans="1:16" ht="27" customHeight="1">
      <c r="A852" s="5"/>
      <c r="B852" s="5"/>
      <c r="C852" s="5"/>
      <c r="D852" s="7"/>
      <c r="E852" s="6"/>
      <c r="F852" s="5"/>
      <c r="G852" s="5"/>
      <c r="H852" s="127"/>
      <c r="I852" s="5"/>
      <c r="J852" s="6"/>
      <c r="K852" s="5"/>
      <c r="L852" s="5"/>
      <c r="M852" s="8"/>
      <c r="N852" s="5"/>
      <c r="O852" s="5"/>
      <c r="P852" s="5"/>
    </row>
    <row r="853" spans="1:16" ht="27" customHeight="1">
      <c r="A853" s="5"/>
      <c r="B853" s="5"/>
      <c r="C853" s="5"/>
      <c r="D853" s="7"/>
      <c r="E853" s="6"/>
      <c r="F853" s="5"/>
      <c r="G853" s="5"/>
      <c r="H853" s="127"/>
      <c r="I853" s="5"/>
      <c r="J853" s="6"/>
      <c r="K853" s="5"/>
      <c r="L853" s="5"/>
      <c r="M853" s="8"/>
      <c r="N853" s="5"/>
      <c r="O853" s="5"/>
      <c r="P853" s="5"/>
    </row>
    <row r="854" spans="1:16" ht="27" customHeight="1">
      <c r="A854" s="5"/>
      <c r="B854" s="5"/>
      <c r="C854" s="5"/>
      <c r="D854" s="7"/>
      <c r="E854" s="6"/>
      <c r="F854" s="5"/>
      <c r="G854" s="5"/>
      <c r="H854" s="127"/>
      <c r="I854" s="5"/>
      <c r="J854" s="6"/>
      <c r="K854" s="5"/>
      <c r="L854" s="5"/>
      <c r="M854" s="8"/>
      <c r="N854" s="5"/>
      <c r="O854" s="5"/>
      <c r="P854" s="5"/>
    </row>
    <row r="855" spans="1:16" ht="27" customHeight="1">
      <c r="A855" s="5"/>
      <c r="B855" s="5"/>
      <c r="C855" s="5"/>
      <c r="D855" s="7"/>
      <c r="E855" s="6"/>
      <c r="F855" s="5"/>
      <c r="G855" s="5"/>
      <c r="H855" s="127"/>
      <c r="I855" s="5"/>
      <c r="J855" s="6"/>
      <c r="K855" s="5"/>
      <c r="L855" s="5"/>
      <c r="M855" s="8"/>
      <c r="N855" s="5"/>
      <c r="O855" s="5"/>
      <c r="P855" s="5"/>
    </row>
    <row r="856" spans="1:16" ht="27" customHeight="1">
      <c r="A856" s="5"/>
      <c r="B856" s="5"/>
      <c r="C856" s="5"/>
      <c r="D856" s="7"/>
      <c r="E856" s="6"/>
      <c r="F856" s="5"/>
      <c r="G856" s="5"/>
      <c r="H856" s="127"/>
      <c r="I856" s="5"/>
      <c r="J856" s="6"/>
      <c r="K856" s="5"/>
      <c r="L856" s="5"/>
      <c r="M856" s="8"/>
      <c r="N856" s="5"/>
      <c r="O856" s="5"/>
      <c r="P856" s="5"/>
    </row>
    <row r="857" spans="1:16" ht="27" customHeight="1">
      <c r="A857" s="5"/>
      <c r="B857" s="5"/>
      <c r="C857" s="5"/>
      <c r="D857" s="7"/>
      <c r="E857" s="6"/>
      <c r="F857" s="5"/>
      <c r="G857" s="5"/>
      <c r="H857" s="127"/>
      <c r="I857" s="5"/>
      <c r="J857" s="6"/>
      <c r="K857" s="5"/>
      <c r="L857" s="5"/>
      <c r="M857" s="8"/>
      <c r="N857" s="5"/>
      <c r="O857" s="5"/>
      <c r="P857" s="5"/>
    </row>
    <row r="858" spans="1:16" ht="27" customHeight="1">
      <c r="A858" s="5"/>
      <c r="B858" s="5"/>
      <c r="C858" s="5"/>
      <c r="D858" s="7"/>
      <c r="E858" s="6"/>
      <c r="F858" s="5"/>
      <c r="G858" s="5"/>
      <c r="H858" s="127"/>
      <c r="I858" s="5"/>
      <c r="J858" s="6"/>
      <c r="K858" s="5"/>
      <c r="L858" s="5"/>
      <c r="M858" s="8"/>
      <c r="N858" s="5"/>
      <c r="O858" s="5"/>
      <c r="P858" s="5"/>
    </row>
    <row r="859" spans="1:16" ht="27" customHeight="1">
      <c r="A859" s="5"/>
      <c r="B859" s="5"/>
      <c r="C859" s="5"/>
      <c r="D859" s="7"/>
      <c r="E859" s="6"/>
      <c r="F859" s="5"/>
      <c r="G859" s="5"/>
      <c r="H859" s="127"/>
      <c r="I859" s="5"/>
      <c r="J859" s="6"/>
      <c r="K859" s="5"/>
      <c r="L859" s="5"/>
      <c r="M859" s="8"/>
      <c r="N859" s="5"/>
      <c r="O859" s="5"/>
      <c r="P859" s="5"/>
    </row>
    <row r="860" spans="1:16" ht="27" customHeight="1">
      <c r="A860" s="5"/>
      <c r="B860" s="5"/>
      <c r="C860" s="5"/>
      <c r="D860" s="7"/>
      <c r="E860" s="6"/>
      <c r="F860" s="5"/>
      <c r="G860" s="5"/>
      <c r="H860" s="127"/>
      <c r="I860" s="5"/>
      <c r="J860" s="6"/>
      <c r="K860" s="5"/>
      <c r="L860" s="5"/>
      <c r="M860" s="8"/>
      <c r="N860" s="5"/>
      <c r="O860" s="5"/>
      <c r="P860" s="5"/>
    </row>
    <row r="861" spans="1:16" ht="27" customHeight="1">
      <c r="A861" s="5"/>
      <c r="B861" s="5"/>
      <c r="C861" s="5"/>
      <c r="D861" s="7"/>
      <c r="E861" s="6"/>
      <c r="F861" s="5"/>
      <c r="G861" s="5"/>
      <c r="H861" s="127"/>
      <c r="I861" s="5"/>
      <c r="J861" s="6"/>
      <c r="K861" s="5"/>
      <c r="L861" s="5"/>
      <c r="M861" s="8"/>
      <c r="N861" s="5"/>
      <c r="O861" s="5"/>
      <c r="P861" s="5"/>
    </row>
    <row r="862" spans="1:16" ht="27" customHeight="1">
      <c r="A862" s="5"/>
      <c r="B862" s="5"/>
      <c r="C862" s="5"/>
      <c r="D862" s="7"/>
      <c r="E862" s="6"/>
      <c r="F862" s="5"/>
      <c r="G862" s="5"/>
      <c r="H862" s="127"/>
      <c r="I862" s="5"/>
      <c r="J862" s="6"/>
      <c r="K862" s="5"/>
      <c r="L862" s="5"/>
      <c r="M862" s="8"/>
      <c r="N862" s="5"/>
      <c r="O862" s="5"/>
      <c r="P862" s="5"/>
    </row>
    <row r="863" spans="1:16" ht="27" customHeight="1">
      <c r="A863" s="5"/>
      <c r="B863" s="5"/>
      <c r="C863" s="5"/>
      <c r="D863" s="7"/>
      <c r="E863" s="6"/>
      <c r="F863" s="5"/>
      <c r="G863" s="5"/>
      <c r="H863" s="127"/>
      <c r="I863" s="5"/>
      <c r="J863" s="6"/>
      <c r="K863" s="5"/>
      <c r="L863" s="5"/>
      <c r="M863" s="8"/>
      <c r="N863" s="5"/>
      <c r="O863" s="5"/>
      <c r="P863" s="5"/>
    </row>
    <row r="864" spans="1:16" ht="27" customHeight="1">
      <c r="A864" s="5"/>
      <c r="B864" s="5"/>
      <c r="C864" s="5"/>
      <c r="D864" s="7"/>
      <c r="E864" s="6"/>
      <c r="F864" s="5"/>
      <c r="G864" s="5"/>
      <c r="H864" s="127"/>
      <c r="I864" s="5"/>
      <c r="J864" s="6"/>
      <c r="K864" s="5"/>
      <c r="L864" s="5"/>
      <c r="M864" s="8"/>
      <c r="N864" s="5"/>
      <c r="O864" s="5"/>
      <c r="P864" s="5"/>
    </row>
    <row r="865" spans="1:16" ht="27" customHeight="1">
      <c r="A865" s="5"/>
      <c r="B865" s="5"/>
      <c r="C865" s="5"/>
      <c r="D865" s="7"/>
      <c r="E865" s="6"/>
      <c r="F865" s="5"/>
      <c r="G865" s="5"/>
      <c r="H865" s="127"/>
      <c r="I865" s="5"/>
      <c r="J865" s="6"/>
      <c r="K865" s="5"/>
      <c r="L865" s="5"/>
      <c r="M865" s="8"/>
      <c r="N865" s="5"/>
      <c r="O865" s="5"/>
      <c r="P865" s="5"/>
    </row>
    <row r="866" spans="1:16" ht="27" customHeight="1">
      <c r="A866" s="5"/>
      <c r="B866" s="5"/>
      <c r="C866" s="5"/>
      <c r="D866" s="7"/>
      <c r="E866" s="6"/>
      <c r="F866" s="5"/>
      <c r="G866" s="5"/>
      <c r="H866" s="127"/>
      <c r="I866" s="5"/>
      <c r="J866" s="6"/>
      <c r="K866" s="5"/>
      <c r="L866" s="5"/>
      <c r="M866" s="8"/>
      <c r="N866" s="5"/>
      <c r="O866" s="5"/>
      <c r="P866" s="5"/>
    </row>
    <row r="867" spans="1:16" ht="27" customHeight="1">
      <c r="A867" s="5"/>
      <c r="B867" s="5"/>
      <c r="C867" s="5"/>
      <c r="D867" s="7"/>
      <c r="E867" s="6"/>
      <c r="F867" s="5"/>
      <c r="G867" s="5"/>
      <c r="H867" s="127"/>
      <c r="I867" s="5"/>
      <c r="J867" s="6"/>
      <c r="K867" s="5"/>
      <c r="L867" s="5"/>
      <c r="M867" s="8"/>
      <c r="N867" s="5"/>
      <c r="O867" s="5"/>
      <c r="P867" s="5"/>
    </row>
    <row r="868" spans="1:16" ht="27" customHeight="1">
      <c r="A868" s="5"/>
      <c r="B868" s="5"/>
      <c r="C868" s="5"/>
      <c r="D868" s="7"/>
      <c r="E868" s="6"/>
      <c r="F868" s="5"/>
      <c r="G868" s="5"/>
      <c r="H868" s="127"/>
      <c r="I868" s="5"/>
      <c r="J868" s="6"/>
      <c r="K868" s="5"/>
      <c r="L868" s="5"/>
      <c r="M868" s="8"/>
      <c r="N868" s="5"/>
      <c r="O868" s="5"/>
      <c r="P868" s="5"/>
    </row>
    <row r="869" spans="1:16" ht="27" customHeight="1">
      <c r="A869" s="5"/>
      <c r="B869" s="5"/>
      <c r="C869" s="5"/>
      <c r="D869" s="7"/>
      <c r="E869" s="6"/>
      <c r="F869" s="5"/>
      <c r="G869" s="5"/>
      <c r="H869" s="127"/>
      <c r="I869" s="5"/>
      <c r="J869" s="6"/>
      <c r="K869" s="5"/>
      <c r="L869" s="5"/>
      <c r="M869" s="8"/>
      <c r="N869" s="5"/>
      <c r="O869" s="5"/>
      <c r="P869" s="5"/>
    </row>
    <row r="870" spans="1:16" ht="27" customHeight="1">
      <c r="A870" s="5"/>
      <c r="B870" s="5"/>
      <c r="C870" s="5"/>
      <c r="D870" s="7"/>
      <c r="E870" s="6"/>
      <c r="F870" s="5"/>
      <c r="G870" s="5"/>
      <c r="H870" s="127"/>
      <c r="I870" s="5"/>
      <c r="J870" s="6"/>
      <c r="K870" s="5"/>
      <c r="L870" s="5"/>
      <c r="M870" s="8"/>
      <c r="N870" s="5"/>
      <c r="O870" s="5"/>
      <c r="P870" s="5"/>
    </row>
    <row r="871" spans="1:16" ht="27" customHeight="1">
      <c r="A871" s="5"/>
      <c r="B871" s="5"/>
      <c r="C871" s="5"/>
      <c r="D871" s="7"/>
      <c r="E871" s="6"/>
      <c r="F871" s="5"/>
      <c r="G871" s="5"/>
      <c r="H871" s="127"/>
      <c r="I871" s="5"/>
      <c r="J871" s="6"/>
      <c r="K871" s="5"/>
      <c r="L871" s="5"/>
      <c r="M871" s="8"/>
      <c r="N871" s="5"/>
      <c r="O871" s="5"/>
      <c r="P871" s="5"/>
    </row>
    <row r="872" spans="1:16" ht="27" customHeight="1">
      <c r="A872" s="5"/>
      <c r="B872" s="5"/>
      <c r="C872" s="5"/>
      <c r="D872" s="7"/>
      <c r="E872" s="6"/>
      <c r="F872" s="5"/>
      <c r="G872" s="5"/>
      <c r="H872" s="127"/>
      <c r="I872" s="5"/>
      <c r="J872" s="6"/>
      <c r="K872" s="5"/>
      <c r="L872" s="5"/>
      <c r="M872" s="8"/>
      <c r="N872" s="5"/>
      <c r="O872" s="5"/>
      <c r="P872" s="5"/>
    </row>
    <row r="873" spans="1:16" ht="27" customHeight="1">
      <c r="A873" s="5"/>
      <c r="B873" s="5"/>
      <c r="C873" s="5"/>
      <c r="D873" s="7"/>
      <c r="E873" s="6"/>
      <c r="F873" s="5"/>
      <c r="G873" s="5"/>
      <c r="H873" s="127"/>
      <c r="I873" s="5"/>
      <c r="J873" s="6"/>
      <c r="K873" s="5"/>
      <c r="L873" s="5"/>
      <c r="M873" s="8"/>
      <c r="N873" s="5"/>
      <c r="O873" s="5"/>
      <c r="P873" s="5"/>
    </row>
    <row r="874" spans="1:16" ht="27" customHeight="1">
      <c r="A874" s="5"/>
      <c r="B874" s="5"/>
      <c r="C874" s="5"/>
      <c r="D874" s="7"/>
      <c r="E874" s="6"/>
      <c r="F874" s="5"/>
      <c r="G874" s="5"/>
      <c r="H874" s="127"/>
      <c r="I874" s="5"/>
      <c r="J874" s="6"/>
      <c r="K874" s="5"/>
      <c r="L874" s="5"/>
      <c r="M874" s="8"/>
      <c r="N874" s="5"/>
      <c r="O874" s="5"/>
      <c r="P874" s="5"/>
    </row>
    <row r="875" spans="1:16" ht="27" customHeight="1">
      <c r="A875" s="5"/>
      <c r="B875" s="5"/>
      <c r="C875" s="5"/>
      <c r="D875" s="7"/>
      <c r="E875" s="6"/>
      <c r="F875" s="5"/>
      <c r="G875" s="5"/>
      <c r="H875" s="127"/>
      <c r="I875" s="5"/>
      <c r="J875" s="6"/>
      <c r="K875" s="5"/>
      <c r="L875" s="5"/>
      <c r="M875" s="8"/>
      <c r="N875" s="5"/>
      <c r="O875" s="5"/>
      <c r="P875" s="5"/>
    </row>
    <row r="876" spans="1:16" ht="27" customHeight="1">
      <c r="A876" s="5"/>
      <c r="B876" s="5"/>
      <c r="C876" s="5"/>
      <c r="D876" s="7"/>
      <c r="E876" s="6"/>
      <c r="F876" s="5"/>
      <c r="G876" s="5"/>
      <c r="H876" s="127"/>
      <c r="I876" s="5"/>
      <c r="J876" s="6"/>
      <c r="K876" s="5"/>
      <c r="L876" s="5"/>
      <c r="M876" s="8"/>
      <c r="N876" s="5"/>
      <c r="O876" s="5"/>
      <c r="P876" s="5"/>
    </row>
    <row r="877" spans="1:16" ht="27" customHeight="1">
      <c r="A877" s="5"/>
      <c r="B877" s="5"/>
      <c r="C877" s="5"/>
      <c r="D877" s="7"/>
      <c r="E877" s="6"/>
      <c r="F877" s="5"/>
      <c r="G877" s="5"/>
      <c r="H877" s="127"/>
      <c r="I877" s="5"/>
      <c r="J877" s="6"/>
      <c r="K877" s="5"/>
      <c r="L877" s="5"/>
      <c r="M877" s="8"/>
      <c r="N877" s="5"/>
      <c r="O877" s="5"/>
      <c r="P877" s="5"/>
    </row>
    <row r="878" spans="1:16" ht="27" customHeight="1">
      <c r="A878" s="5"/>
      <c r="B878" s="5"/>
      <c r="C878" s="5"/>
      <c r="D878" s="7"/>
      <c r="E878" s="6"/>
      <c r="F878" s="5"/>
      <c r="G878" s="5"/>
      <c r="H878" s="127"/>
      <c r="I878" s="5"/>
      <c r="J878" s="6"/>
      <c r="K878" s="5"/>
      <c r="L878" s="5"/>
      <c r="M878" s="8"/>
      <c r="N878" s="5"/>
      <c r="O878" s="5"/>
      <c r="P878" s="5"/>
    </row>
    <row r="879" spans="1:16" ht="27" customHeight="1">
      <c r="A879" s="5"/>
      <c r="B879" s="5"/>
      <c r="C879" s="5"/>
      <c r="D879" s="7"/>
      <c r="E879" s="6"/>
      <c r="F879" s="5"/>
      <c r="G879" s="5"/>
      <c r="H879" s="127"/>
      <c r="I879" s="5"/>
      <c r="J879" s="6"/>
      <c r="K879" s="5"/>
      <c r="L879" s="5"/>
      <c r="M879" s="8"/>
      <c r="N879" s="5"/>
      <c r="O879" s="5"/>
      <c r="P879" s="5"/>
    </row>
    <row r="880" spans="1:16" ht="27" customHeight="1">
      <c r="A880" s="5"/>
      <c r="B880" s="5"/>
      <c r="C880" s="5"/>
      <c r="D880" s="7"/>
      <c r="E880" s="6"/>
      <c r="F880" s="5"/>
      <c r="G880" s="5"/>
      <c r="H880" s="127"/>
      <c r="I880" s="5"/>
      <c r="J880" s="6"/>
      <c r="K880" s="5"/>
      <c r="L880" s="5"/>
      <c r="M880" s="8"/>
      <c r="N880" s="5"/>
      <c r="O880" s="5"/>
      <c r="P880" s="5"/>
    </row>
    <row r="881" spans="1:16" ht="27" customHeight="1">
      <c r="A881" s="5"/>
      <c r="B881" s="5"/>
      <c r="C881" s="5"/>
      <c r="D881" s="7"/>
      <c r="E881" s="6"/>
      <c r="F881" s="5"/>
      <c r="G881" s="5"/>
      <c r="H881" s="127"/>
      <c r="I881" s="5"/>
      <c r="J881" s="6"/>
      <c r="K881" s="5"/>
      <c r="L881" s="5"/>
      <c r="M881" s="8"/>
      <c r="N881" s="5"/>
      <c r="O881" s="5"/>
      <c r="P881" s="5"/>
    </row>
    <row r="882" spans="1:16" ht="27" customHeight="1">
      <c r="A882" s="5"/>
      <c r="B882" s="5"/>
      <c r="C882" s="5"/>
      <c r="D882" s="7"/>
      <c r="E882" s="6"/>
      <c r="F882" s="5"/>
      <c r="G882" s="5"/>
      <c r="H882" s="127"/>
      <c r="I882" s="5"/>
      <c r="J882" s="6"/>
      <c r="K882" s="5"/>
      <c r="L882" s="5"/>
      <c r="M882" s="8"/>
      <c r="N882" s="5"/>
      <c r="O882" s="5"/>
      <c r="P882" s="5"/>
    </row>
    <row r="883" spans="1:16" ht="27" customHeight="1">
      <c r="A883" s="5"/>
      <c r="B883" s="5"/>
      <c r="C883" s="5"/>
      <c r="D883" s="7"/>
      <c r="E883" s="6"/>
      <c r="F883" s="5"/>
      <c r="G883" s="5"/>
      <c r="H883" s="127"/>
      <c r="I883" s="5"/>
      <c r="J883" s="6"/>
      <c r="K883" s="5"/>
      <c r="L883" s="5"/>
      <c r="M883" s="8"/>
      <c r="N883" s="5"/>
      <c r="O883" s="5"/>
      <c r="P883" s="5"/>
    </row>
    <row r="884" spans="1:16" ht="27" customHeight="1">
      <c r="A884" s="5"/>
      <c r="B884" s="5"/>
      <c r="C884" s="5"/>
      <c r="D884" s="7"/>
      <c r="E884" s="6"/>
      <c r="F884" s="5"/>
      <c r="G884" s="5"/>
      <c r="H884" s="127"/>
      <c r="I884" s="5"/>
      <c r="J884" s="6"/>
      <c r="K884" s="5"/>
      <c r="L884" s="5"/>
      <c r="M884" s="8"/>
      <c r="N884" s="5"/>
      <c r="O884" s="5"/>
      <c r="P884" s="5"/>
    </row>
    <row r="885" spans="1:16" ht="27" customHeight="1">
      <c r="A885" s="5"/>
      <c r="B885" s="5"/>
      <c r="C885" s="5"/>
      <c r="D885" s="7"/>
      <c r="E885" s="6"/>
      <c r="F885" s="5"/>
      <c r="G885" s="5"/>
      <c r="H885" s="127"/>
      <c r="I885" s="5"/>
      <c r="J885" s="6"/>
      <c r="K885" s="5"/>
      <c r="L885" s="5"/>
      <c r="M885" s="8"/>
      <c r="N885" s="5"/>
      <c r="O885" s="5"/>
      <c r="P885" s="5"/>
    </row>
    <row r="886" spans="1:16" ht="27" customHeight="1">
      <c r="A886" s="5"/>
      <c r="B886" s="5"/>
      <c r="C886" s="5"/>
      <c r="D886" s="7"/>
      <c r="E886" s="6"/>
      <c r="F886" s="5"/>
      <c r="G886" s="5"/>
      <c r="H886" s="127"/>
      <c r="I886" s="5"/>
      <c r="J886" s="6"/>
      <c r="K886" s="5"/>
      <c r="L886" s="5"/>
      <c r="M886" s="8"/>
      <c r="N886" s="5"/>
      <c r="O886" s="5"/>
      <c r="P886" s="5"/>
    </row>
    <row r="887" spans="1:16" ht="27" customHeight="1">
      <c r="A887" s="5"/>
      <c r="B887" s="5"/>
      <c r="C887" s="5"/>
      <c r="D887" s="7"/>
      <c r="E887" s="6"/>
      <c r="F887" s="5"/>
      <c r="G887" s="5"/>
      <c r="H887" s="127"/>
      <c r="I887" s="5"/>
      <c r="J887" s="6"/>
      <c r="K887" s="5"/>
      <c r="L887" s="5"/>
      <c r="M887" s="8"/>
      <c r="N887" s="5"/>
      <c r="O887" s="5"/>
      <c r="P887" s="5"/>
    </row>
    <row r="888" spans="1:16" ht="27" customHeight="1">
      <c r="A888" s="5"/>
      <c r="B888" s="5"/>
      <c r="C888" s="5"/>
      <c r="D888" s="7"/>
      <c r="E888" s="6"/>
      <c r="F888" s="5"/>
      <c r="G888" s="5"/>
      <c r="H888" s="127"/>
      <c r="I888" s="5"/>
      <c r="J888" s="6"/>
      <c r="K888" s="5"/>
      <c r="L888" s="5"/>
      <c r="M888" s="8"/>
      <c r="N888" s="5"/>
      <c r="O888" s="5"/>
      <c r="P888" s="5"/>
    </row>
    <row r="889" spans="1:16" ht="27" customHeight="1">
      <c r="A889" s="5"/>
      <c r="B889" s="5"/>
      <c r="C889" s="5"/>
      <c r="D889" s="7"/>
      <c r="E889" s="6"/>
      <c r="F889" s="5"/>
      <c r="G889" s="5"/>
      <c r="H889" s="127"/>
      <c r="I889" s="5"/>
      <c r="J889" s="6"/>
      <c r="K889" s="5"/>
      <c r="L889" s="5"/>
      <c r="M889" s="8"/>
      <c r="N889" s="5"/>
      <c r="O889" s="5"/>
      <c r="P889" s="5"/>
    </row>
    <row r="890" spans="1:16" ht="27" customHeight="1">
      <c r="A890" s="5"/>
      <c r="B890" s="5"/>
      <c r="C890" s="5"/>
      <c r="D890" s="7"/>
      <c r="E890" s="6"/>
      <c r="F890" s="5"/>
      <c r="G890" s="5"/>
      <c r="H890" s="127"/>
      <c r="I890" s="5"/>
      <c r="J890" s="6"/>
      <c r="K890" s="5"/>
      <c r="L890" s="5"/>
      <c r="M890" s="8"/>
      <c r="N890" s="5"/>
      <c r="O890" s="5"/>
      <c r="P890" s="5"/>
    </row>
    <row r="891" spans="1:16" ht="27" customHeight="1">
      <c r="A891" s="5"/>
      <c r="B891" s="5"/>
      <c r="C891" s="5"/>
      <c r="D891" s="7"/>
      <c r="E891" s="6"/>
      <c r="F891" s="5"/>
      <c r="G891" s="5"/>
      <c r="H891" s="127"/>
      <c r="I891" s="5"/>
      <c r="J891" s="6"/>
      <c r="K891" s="5"/>
      <c r="L891" s="5"/>
      <c r="M891" s="8"/>
      <c r="N891" s="5"/>
      <c r="O891" s="5"/>
      <c r="P891" s="5"/>
    </row>
    <row r="892" spans="1:16" ht="27" customHeight="1">
      <c r="A892" s="5"/>
      <c r="B892" s="5"/>
      <c r="C892" s="5"/>
      <c r="D892" s="7"/>
      <c r="E892" s="6"/>
      <c r="F892" s="5"/>
      <c r="G892" s="5"/>
      <c r="H892" s="127"/>
      <c r="I892" s="5"/>
      <c r="J892" s="6"/>
      <c r="K892" s="5"/>
      <c r="L892" s="5"/>
      <c r="M892" s="8"/>
      <c r="N892" s="5"/>
      <c r="O892" s="5"/>
      <c r="P892" s="5"/>
    </row>
    <row r="893" spans="1:16" ht="27" customHeight="1">
      <c r="A893" s="5"/>
      <c r="B893" s="5"/>
      <c r="C893" s="5"/>
      <c r="D893" s="7"/>
      <c r="E893" s="6"/>
      <c r="F893" s="5"/>
      <c r="G893" s="5"/>
      <c r="H893" s="127"/>
      <c r="I893" s="5"/>
      <c r="J893" s="6"/>
      <c r="K893" s="5"/>
      <c r="L893" s="5"/>
      <c r="M893" s="8"/>
      <c r="N893" s="5"/>
      <c r="O893" s="5"/>
      <c r="P893" s="5"/>
    </row>
    <row r="894" spans="1:16" ht="27" customHeight="1">
      <c r="A894" s="5"/>
      <c r="B894" s="5"/>
      <c r="C894" s="5"/>
      <c r="D894" s="7"/>
      <c r="E894" s="6"/>
      <c r="F894" s="5"/>
      <c r="G894" s="5"/>
      <c r="H894" s="127"/>
      <c r="I894" s="5"/>
      <c r="J894" s="6"/>
      <c r="K894" s="5"/>
      <c r="L894" s="5"/>
      <c r="M894" s="8"/>
      <c r="N894" s="5"/>
      <c r="O894" s="5"/>
      <c r="P894" s="5"/>
    </row>
    <row r="895" spans="1:16" ht="27" customHeight="1">
      <c r="A895" s="5"/>
      <c r="B895" s="5"/>
      <c r="C895" s="5"/>
      <c r="D895" s="7"/>
      <c r="E895" s="6"/>
      <c r="F895" s="5"/>
      <c r="G895" s="5"/>
      <c r="H895" s="127"/>
      <c r="I895" s="5"/>
      <c r="J895" s="6"/>
      <c r="K895" s="5"/>
      <c r="L895" s="5"/>
      <c r="M895" s="8"/>
      <c r="N895" s="5"/>
      <c r="O895" s="5"/>
      <c r="P895" s="5"/>
    </row>
    <row r="896" spans="1:16" ht="27" customHeight="1">
      <c r="A896" s="5"/>
      <c r="B896" s="5"/>
      <c r="C896" s="5"/>
      <c r="D896" s="7"/>
      <c r="E896" s="6"/>
      <c r="F896" s="5"/>
      <c r="G896" s="5"/>
      <c r="H896" s="127"/>
      <c r="I896" s="5"/>
      <c r="J896" s="6"/>
      <c r="K896" s="5"/>
      <c r="L896" s="5"/>
      <c r="M896" s="8"/>
      <c r="N896" s="5"/>
      <c r="O896" s="5"/>
      <c r="P896" s="5"/>
    </row>
    <row r="897" spans="1:16" ht="27" customHeight="1">
      <c r="A897" s="5"/>
      <c r="B897" s="5"/>
      <c r="C897" s="5"/>
      <c r="D897" s="7"/>
      <c r="E897" s="6"/>
      <c r="F897" s="5"/>
      <c r="G897" s="5"/>
      <c r="H897" s="127"/>
      <c r="I897" s="5"/>
      <c r="J897" s="6"/>
      <c r="K897" s="5"/>
      <c r="L897" s="5"/>
      <c r="M897" s="8"/>
      <c r="N897" s="5"/>
      <c r="O897" s="5"/>
      <c r="P897" s="5"/>
    </row>
    <row r="898" spans="1:16" ht="27" customHeight="1">
      <c r="A898" s="5"/>
      <c r="B898" s="5"/>
      <c r="C898" s="5"/>
      <c r="D898" s="7"/>
      <c r="E898" s="6"/>
      <c r="F898" s="5"/>
      <c r="G898" s="5"/>
      <c r="H898" s="127"/>
      <c r="I898" s="5"/>
      <c r="J898" s="6"/>
      <c r="K898" s="5"/>
      <c r="L898" s="5"/>
      <c r="M898" s="8"/>
      <c r="N898" s="5"/>
      <c r="O898" s="5"/>
      <c r="P898" s="5"/>
    </row>
    <row r="899" spans="1:16" ht="27" customHeight="1">
      <c r="A899" s="5"/>
      <c r="B899" s="5"/>
      <c r="C899" s="5"/>
      <c r="D899" s="7"/>
      <c r="E899" s="6"/>
      <c r="F899" s="5"/>
      <c r="G899" s="5"/>
      <c r="H899" s="127"/>
      <c r="I899" s="5"/>
      <c r="J899" s="6"/>
      <c r="K899" s="5"/>
      <c r="L899" s="5"/>
      <c r="M899" s="8"/>
      <c r="N899" s="5"/>
      <c r="O899" s="5"/>
      <c r="P899" s="5"/>
    </row>
    <row r="900" spans="1:16" ht="27" customHeight="1">
      <c r="A900" s="5"/>
      <c r="B900" s="5"/>
      <c r="C900" s="5"/>
      <c r="D900" s="7"/>
      <c r="E900" s="6"/>
      <c r="F900" s="5"/>
      <c r="G900" s="5"/>
      <c r="H900" s="127"/>
      <c r="I900" s="5"/>
      <c r="J900" s="6"/>
      <c r="K900" s="5"/>
      <c r="L900" s="5"/>
      <c r="M900" s="8"/>
      <c r="N900" s="5"/>
      <c r="O900" s="5"/>
      <c r="P900" s="5"/>
    </row>
    <row r="901" spans="1:16" ht="27" customHeight="1">
      <c r="A901" s="5"/>
      <c r="B901" s="5"/>
      <c r="C901" s="5"/>
      <c r="D901" s="7"/>
      <c r="E901" s="6"/>
      <c r="F901" s="5"/>
      <c r="G901" s="5"/>
      <c r="H901" s="127"/>
      <c r="I901" s="5"/>
      <c r="J901" s="6"/>
      <c r="K901" s="5"/>
      <c r="L901" s="5"/>
      <c r="M901" s="8"/>
      <c r="N901" s="5"/>
      <c r="O901" s="5"/>
      <c r="P901" s="5"/>
    </row>
    <row r="902" spans="1:16" ht="27" customHeight="1">
      <c r="A902" s="5"/>
      <c r="B902" s="5"/>
      <c r="C902" s="5"/>
      <c r="D902" s="7"/>
      <c r="E902" s="6"/>
      <c r="F902" s="5"/>
      <c r="G902" s="5"/>
      <c r="H902" s="127"/>
      <c r="I902" s="5"/>
      <c r="J902" s="6"/>
      <c r="K902" s="5"/>
      <c r="L902" s="5"/>
      <c r="M902" s="8"/>
      <c r="N902" s="5"/>
      <c r="O902" s="5"/>
      <c r="P902" s="5"/>
    </row>
    <row r="903" spans="1:16" ht="27" customHeight="1">
      <c r="A903" s="5"/>
      <c r="B903" s="5"/>
      <c r="C903" s="5"/>
      <c r="D903" s="7"/>
      <c r="E903" s="6"/>
      <c r="F903" s="5"/>
      <c r="G903" s="5"/>
      <c r="H903" s="127"/>
      <c r="I903" s="5"/>
      <c r="J903" s="6"/>
      <c r="K903" s="5"/>
      <c r="L903" s="5"/>
      <c r="M903" s="8"/>
      <c r="N903" s="5"/>
      <c r="O903" s="5"/>
      <c r="P903" s="5"/>
    </row>
    <row r="904" spans="1:16" ht="27" customHeight="1">
      <c r="A904" s="5"/>
      <c r="B904" s="5"/>
      <c r="C904" s="5"/>
      <c r="D904" s="7"/>
      <c r="E904" s="6"/>
      <c r="F904" s="5"/>
      <c r="G904" s="5"/>
      <c r="H904" s="127"/>
      <c r="I904" s="5"/>
      <c r="J904" s="6"/>
      <c r="K904" s="5"/>
      <c r="L904" s="5"/>
      <c r="M904" s="8"/>
      <c r="N904" s="5"/>
      <c r="O904" s="5"/>
      <c r="P904" s="5"/>
    </row>
    <row r="905" spans="1:16" ht="27" customHeight="1">
      <c r="A905" s="5"/>
      <c r="B905" s="5"/>
      <c r="C905" s="5"/>
      <c r="D905" s="7"/>
      <c r="E905" s="6"/>
      <c r="F905" s="5"/>
      <c r="G905" s="5"/>
      <c r="H905" s="127"/>
      <c r="I905" s="5"/>
      <c r="J905" s="6"/>
      <c r="K905" s="5"/>
      <c r="L905" s="5"/>
      <c r="M905" s="8"/>
      <c r="N905" s="5"/>
      <c r="O905" s="5"/>
      <c r="P905" s="5"/>
    </row>
    <row r="906" spans="1:16" ht="27" customHeight="1">
      <c r="A906" s="5"/>
      <c r="B906" s="5"/>
      <c r="C906" s="5"/>
      <c r="D906" s="7"/>
      <c r="E906" s="6"/>
      <c r="F906" s="5"/>
      <c r="G906" s="5"/>
      <c r="H906" s="127"/>
      <c r="I906" s="5"/>
      <c r="J906" s="6"/>
      <c r="K906" s="5"/>
      <c r="L906" s="5"/>
      <c r="M906" s="8"/>
      <c r="N906" s="5"/>
      <c r="O906" s="5"/>
      <c r="P906" s="5"/>
    </row>
    <row r="907" spans="1:16" ht="27" customHeight="1">
      <c r="A907" s="5"/>
      <c r="B907" s="5"/>
      <c r="C907" s="5"/>
      <c r="D907" s="7"/>
      <c r="E907" s="6"/>
      <c r="F907" s="5"/>
      <c r="G907" s="5"/>
      <c r="H907" s="127"/>
      <c r="I907" s="5"/>
      <c r="J907" s="6"/>
      <c r="K907" s="5"/>
      <c r="L907" s="5"/>
      <c r="M907" s="8"/>
      <c r="N907" s="5"/>
      <c r="O907" s="5"/>
      <c r="P907" s="5"/>
    </row>
    <row r="908" spans="1:16" ht="27" customHeight="1">
      <c r="A908" s="5"/>
      <c r="B908" s="5"/>
      <c r="C908" s="5"/>
      <c r="D908" s="7"/>
      <c r="E908" s="6"/>
      <c r="F908" s="5"/>
      <c r="G908" s="5"/>
      <c r="H908" s="127"/>
      <c r="I908" s="5"/>
      <c r="J908" s="6"/>
      <c r="K908" s="5"/>
      <c r="L908" s="5"/>
      <c r="M908" s="8"/>
      <c r="N908" s="5"/>
      <c r="O908" s="5"/>
      <c r="P908" s="5"/>
    </row>
    <row r="909" spans="1:16" ht="27" customHeight="1">
      <c r="A909" s="5"/>
      <c r="B909" s="5"/>
      <c r="C909" s="5"/>
      <c r="D909" s="7"/>
      <c r="E909" s="6"/>
      <c r="F909" s="5"/>
      <c r="G909" s="5"/>
      <c r="H909" s="127"/>
      <c r="I909" s="5"/>
      <c r="J909" s="6"/>
      <c r="K909" s="5"/>
      <c r="L909" s="5"/>
      <c r="M909" s="8"/>
      <c r="N909" s="5"/>
      <c r="O909" s="5"/>
      <c r="P909" s="5"/>
    </row>
    <row r="910" spans="1:16" ht="27" customHeight="1">
      <c r="A910" s="5"/>
      <c r="B910" s="5"/>
      <c r="C910" s="5"/>
      <c r="D910" s="7"/>
      <c r="E910" s="6"/>
      <c r="F910" s="5"/>
      <c r="G910" s="5"/>
      <c r="H910" s="127"/>
      <c r="I910" s="5"/>
      <c r="J910" s="6"/>
      <c r="K910" s="5"/>
      <c r="L910" s="5"/>
      <c r="M910" s="8"/>
      <c r="N910" s="5"/>
      <c r="O910" s="5"/>
      <c r="P910" s="5"/>
    </row>
    <row r="911" spans="1:16" ht="27" customHeight="1">
      <c r="A911" s="5"/>
      <c r="B911" s="5"/>
      <c r="C911" s="5"/>
      <c r="D911" s="7"/>
      <c r="E911" s="6"/>
      <c r="F911" s="5"/>
      <c r="G911" s="5"/>
      <c r="H911" s="127"/>
      <c r="I911" s="5"/>
      <c r="J911" s="6"/>
      <c r="K911" s="5"/>
      <c r="L911" s="5"/>
      <c r="M911" s="8"/>
      <c r="N911" s="5"/>
      <c r="O911" s="5"/>
      <c r="P911" s="5"/>
    </row>
    <row r="912" spans="1:16" ht="27" customHeight="1">
      <c r="A912" s="5"/>
      <c r="B912" s="5"/>
      <c r="C912" s="5"/>
      <c r="D912" s="7"/>
      <c r="E912" s="6"/>
      <c r="F912" s="5"/>
      <c r="G912" s="5"/>
      <c r="H912" s="127"/>
      <c r="I912" s="5"/>
      <c r="J912" s="6"/>
      <c r="K912" s="5"/>
      <c r="L912" s="5"/>
      <c r="M912" s="8"/>
      <c r="N912" s="5"/>
      <c r="O912" s="5"/>
      <c r="P912" s="5"/>
    </row>
    <row r="913" spans="1:16" ht="27" customHeight="1">
      <c r="A913" s="5"/>
      <c r="B913" s="5"/>
      <c r="C913" s="5"/>
      <c r="D913" s="7"/>
      <c r="E913" s="6"/>
      <c r="F913" s="5"/>
      <c r="G913" s="5"/>
      <c r="H913" s="127"/>
      <c r="I913" s="5"/>
      <c r="J913" s="6"/>
      <c r="K913" s="5"/>
      <c r="L913" s="5"/>
      <c r="M913" s="8"/>
      <c r="N913" s="5"/>
      <c r="O913" s="5"/>
      <c r="P913" s="5"/>
    </row>
    <row r="914" spans="1:16" ht="27" customHeight="1">
      <c r="A914" s="5"/>
      <c r="B914" s="5"/>
      <c r="C914" s="5"/>
      <c r="D914" s="7"/>
      <c r="E914" s="6"/>
      <c r="F914" s="5"/>
      <c r="G914" s="5"/>
      <c r="H914" s="127"/>
      <c r="I914" s="5"/>
      <c r="J914" s="6"/>
      <c r="K914" s="5"/>
      <c r="L914" s="5"/>
      <c r="M914" s="8"/>
      <c r="N914" s="5"/>
      <c r="O914" s="5"/>
      <c r="P914" s="5"/>
    </row>
    <row r="915" spans="1:16" ht="27" customHeight="1">
      <c r="A915" s="5"/>
      <c r="B915" s="5"/>
      <c r="C915" s="5"/>
      <c r="D915" s="7"/>
      <c r="E915" s="6"/>
      <c r="F915" s="5"/>
      <c r="G915" s="5"/>
      <c r="H915" s="127"/>
      <c r="I915" s="5"/>
      <c r="J915" s="6"/>
      <c r="K915" s="5"/>
      <c r="L915" s="5"/>
      <c r="M915" s="8"/>
      <c r="N915" s="5"/>
      <c r="O915" s="5"/>
      <c r="P915" s="5"/>
    </row>
    <row r="916" spans="1:16" ht="27" customHeight="1">
      <c r="A916" s="5"/>
      <c r="B916" s="5"/>
      <c r="C916" s="5"/>
      <c r="D916" s="7"/>
      <c r="E916" s="6"/>
      <c r="F916" s="5"/>
      <c r="G916" s="5"/>
      <c r="H916" s="127"/>
      <c r="I916" s="5"/>
      <c r="J916" s="6"/>
      <c r="K916" s="5"/>
      <c r="L916" s="5"/>
      <c r="M916" s="8"/>
      <c r="N916" s="5"/>
      <c r="O916" s="5"/>
      <c r="P916" s="5"/>
    </row>
    <row r="917" spans="1:16" ht="27" customHeight="1">
      <c r="A917" s="5"/>
      <c r="B917" s="5"/>
      <c r="C917" s="5"/>
      <c r="D917" s="7"/>
      <c r="E917" s="6"/>
      <c r="F917" s="5"/>
      <c r="G917" s="5"/>
      <c r="H917" s="127"/>
      <c r="I917" s="5"/>
      <c r="J917" s="6"/>
      <c r="K917" s="5"/>
      <c r="L917" s="5"/>
      <c r="M917" s="8"/>
      <c r="N917" s="5"/>
      <c r="O917" s="5"/>
      <c r="P917" s="5"/>
    </row>
    <row r="918" spans="1:16" ht="27" customHeight="1">
      <c r="A918" s="5"/>
      <c r="B918" s="5"/>
      <c r="C918" s="5"/>
      <c r="D918" s="7"/>
      <c r="E918" s="6"/>
      <c r="F918" s="5"/>
      <c r="G918" s="5"/>
      <c r="H918" s="127"/>
      <c r="I918" s="5"/>
      <c r="J918" s="6"/>
      <c r="K918" s="5"/>
      <c r="L918" s="5"/>
      <c r="M918" s="8"/>
      <c r="N918" s="5"/>
      <c r="O918" s="5"/>
      <c r="P918" s="5"/>
    </row>
    <row r="919" spans="1:16" ht="27" customHeight="1">
      <c r="A919" s="5"/>
      <c r="B919" s="5"/>
      <c r="C919" s="5"/>
      <c r="D919" s="7"/>
      <c r="E919" s="6"/>
      <c r="F919" s="5"/>
      <c r="G919" s="5"/>
      <c r="H919" s="127"/>
      <c r="I919" s="5"/>
      <c r="J919" s="6"/>
      <c r="K919" s="5"/>
      <c r="L919" s="5"/>
      <c r="M919" s="8"/>
      <c r="N919" s="5"/>
      <c r="O919" s="5"/>
      <c r="P919" s="5"/>
    </row>
    <row r="920" spans="1:16" ht="27" customHeight="1">
      <c r="A920" s="5"/>
      <c r="B920" s="5"/>
      <c r="C920" s="5"/>
      <c r="D920" s="7"/>
      <c r="E920" s="6"/>
      <c r="F920" s="5"/>
      <c r="G920" s="5"/>
      <c r="H920" s="127"/>
      <c r="I920" s="5"/>
      <c r="J920" s="6"/>
      <c r="K920" s="5"/>
      <c r="L920" s="5"/>
      <c r="M920" s="8"/>
      <c r="N920" s="5"/>
      <c r="O920" s="5"/>
      <c r="P920" s="5"/>
    </row>
    <row r="921" spans="1:16" ht="27" customHeight="1">
      <c r="A921" s="5"/>
      <c r="B921" s="5"/>
      <c r="C921" s="5"/>
      <c r="D921" s="7"/>
      <c r="E921" s="6"/>
      <c r="F921" s="5"/>
      <c r="G921" s="5"/>
      <c r="H921" s="127"/>
      <c r="I921" s="5"/>
      <c r="J921" s="6"/>
      <c r="K921" s="5"/>
      <c r="L921" s="5"/>
      <c r="M921" s="8"/>
      <c r="N921" s="5"/>
      <c r="O921" s="5"/>
      <c r="P921" s="5"/>
    </row>
    <row r="922" spans="1:16" ht="27" customHeight="1">
      <c r="A922" s="5"/>
      <c r="B922" s="5"/>
      <c r="C922" s="5"/>
      <c r="D922" s="7"/>
      <c r="E922" s="6"/>
      <c r="F922" s="5"/>
      <c r="G922" s="5"/>
      <c r="H922" s="127"/>
      <c r="I922" s="5"/>
      <c r="J922" s="6"/>
      <c r="K922" s="5"/>
      <c r="L922" s="5"/>
      <c r="M922" s="8"/>
      <c r="N922" s="5"/>
      <c r="O922" s="5"/>
      <c r="P922" s="5"/>
    </row>
    <row r="923" spans="1:16" ht="27" customHeight="1">
      <c r="A923" s="5"/>
      <c r="B923" s="5"/>
      <c r="C923" s="5"/>
      <c r="D923" s="7"/>
      <c r="E923" s="6"/>
      <c r="F923" s="5"/>
      <c r="G923" s="5"/>
      <c r="H923" s="127"/>
      <c r="I923" s="5"/>
      <c r="J923" s="6"/>
      <c r="K923" s="5"/>
      <c r="L923" s="5"/>
      <c r="M923" s="8"/>
      <c r="N923" s="5"/>
      <c r="O923" s="5"/>
      <c r="P923" s="5"/>
    </row>
    <row r="924" spans="1:16" ht="27" customHeight="1">
      <c r="A924" s="5"/>
      <c r="B924" s="5"/>
      <c r="C924" s="5"/>
      <c r="D924" s="7"/>
      <c r="E924" s="6"/>
      <c r="F924" s="5"/>
      <c r="G924" s="5"/>
      <c r="H924" s="127"/>
      <c r="I924" s="5"/>
      <c r="J924" s="6"/>
      <c r="K924" s="5"/>
      <c r="L924" s="5"/>
      <c r="M924" s="8"/>
      <c r="N924" s="5"/>
      <c r="O924" s="5"/>
      <c r="P924" s="5"/>
    </row>
    <row r="925" spans="1:16" ht="27" customHeight="1">
      <c r="A925" s="5"/>
      <c r="B925" s="5"/>
      <c r="C925" s="5"/>
      <c r="D925" s="7"/>
      <c r="E925" s="6"/>
      <c r="F925" s="5"/>
      <c r="G925" s="5"/>
      <c r="H925" s="127"/>
      <c r="I925" s="5"/>
      <c r="J925" s="6"/>
      <c r="K925" s="5"/>
      <c r="L925" s="5"/>
      <c r="M925" s="8"/>
      <c r="N925" s="5"/>
      <c r="O925" s="5"/>
      <c r="P925" s="5"/>
    </row>
    <row r="926" spans="1:16" ht="27" customHeight="1">
      <c r="A926" s="5"/>
      <c r="B926" s="5"/>
      <c r="C926" s="5"/>
      <c r="D926" s="7"/>
      <c r="E926" s="6"/>
      <c r="F926" s="5"/>
      <c r="G926" s="5"/>
      <c r="H926" s="127"/>
      <c r="I926" s="5"/>
      <c r="J926" s="6"/>
      <c r="K926" s="5"/>
      <c r="L926" s="5"/>
      <c r="M926" s="8"/>
      <c r="N926" s="5"/>
      <c r="O926" s="5"/>
      <c r="P926" s="5"/>
    </row>
    <row r="927" spans="1:16" ht="27" customHeight="1">
      <c r="A927" s="5"/>
      <c r="B927" s="5"/>
      <c r="C927" s="5"/>
      <c r="D927" s="7"/>
      <c r="E927" s="6"/>
      <c r="F927" s="5"/>
      <c r="G927" s="5"/>
      <c r="H927" s="127"/>
      <c r="I927" s="5"/>
      <c r="J927" s="6"/>
      <c r="K927" s="5"/>
      <c r="L927" s="5"/>
      <c r="M927" s="8"/>
      <c r="N927" s="5"/>
      <c r="O927" s="5"/>
      <c r="P927" s="5"/>
    </row>
    <row r="928" spans="1:16" ht="27" customHeight="1">
      <c r="A928" s="5"/>
      <c r="B928" s="5"/>
      <c r="C928" s="5"/>
      <c r="D928" s="7"/>
      <c r="E928" s="6"/>
      <c r="F928" s="5"/>
      <c r="G928" s="5"/>
      <c r="H928" s="127"/>
      <c r="I928" s="5"/>
      <c r="J928" s="6"/>
      <c r="K928" s="5"/>
      <c r="L928" s="5"/>
      <c r="M928" s="8"/>
      <c r="N928" s="5"/>
      <c r="O928" s="5"/>
      <c r="P928" s="5"/>
    </row>
    <row r="929" spans="1:16" ht="27" customHeight="1">
      <c r="A929" s="5"/>
      <c r="B929" s="5"/>
      <c r="C929" s="5"/>
      <c r="D929" s="7"/>
      <c r="E929" s="6"/>
      <c r="F929" s="5"/>
      <c r="G929" s="5"/>
      <c r="H929" s="127"/>
      <c r="I929" s="5"/>
      <c r="J929" s="6"/>
      <c r="K929" s="5"/>
      <c r="L929" s="5"/>
      <c r="M929" s="8"/>
      <c r="N929" s="5"/>
      <c r="O929" s="5"/>
      <c r="P929" s="5"/>
    </row>
    <row r="930" spans="1:16" ht="27" customHeight="1">
      <c r="A930" s="5"/>
      <c r="B930" s="5"/>
      <c r="C930" s="5"/>
      <c r="D930" s="7"/>
      <c r="E930" s="6"/>
      <c r="F930" s="5"/>
      <c r="G930" s="5"/>
      <c r="H930" s="127"/>
      <c r="I930" s="5"/>
      <c r="J930" s="6"/>
      <c r="K930" s="5"/>
      <c r="L930" s="5"/>
      <c r="M930" s="8"/>
      <c r="N930" s="5"/>
      <c r="O930" s="5"/>
      <c r="P930" s="5"/>
    </row>
    <row r="931" spans="1:16" ht="27" customHeight="1">
      <c r="A931" s="5"/>
      <c r="B931" s="5"/>
      <c r="C931" s="5"/>
      <c r="D931" s="7"/>
      <c r="E931" s="6"/>
      <c r="F931" s="5"/>
      <c r="G931" s="5"/>
      <c r="H931" s="127"/>
      <c r="I931" s="5"/>
      <c r="J931" s="6"/>
      <c r="K931" s="5"/>
      <c r="L931" s="5"/>
      <c r="M931" s="8"/>
      <c r="N931" s="5"/>
      <c r="O931" s="5"/>
      <c r="P931" s="5"/>
    </row>
    <row r="932" spans="1:16" ht="27" customHeight="1">
      <c r="A932" s="5"/>
      <c r="B932" s="5"/>
      <c r="C932" s="5"/>
      <c r="D932" s="7"/>
      <c r="E932" s="6"/>
      <c r="F932" s="5"/>
      <c r="G932" s="5"/>
      <c r="H932" s="127"/>
      <c r="I932" s="5"/>
      <c r="J932" s="6"/>
      <c r="K932" s="5"/>
      <c r="L932" s="5"/>
      <c r="M932" s="8"/>
      <c r="N932" s="5"/>
      <c r="O932" s="5"/>
      <c r="P932" s="5"/>
    </row>
    <row r="933" spans="1:16" ht="27" customHeight="1">
      <c r="A933" s="5"/>
      <c r="B933" s="5"/>
      <c r="C933" s="5"/>
      <c r="D933" s="7"/>
      <c r="E933" s="6"/>
      <c r="F933" s="5"/>
      <c r="G933" s="5"/>
      <c r="H933" s="127"/>
      <c r="I933" s="5"/>
      <c r="J933" s="6"/>
      <c r="K933" s="5"/>
      <c r="L933" s="5"/>
      <c r="M933" s="8"/>
      <c r="N933" s="5"/>
      <c r="O933" s="5"/>
      <c r="P933" s="5"/>
    </row>
    <row r="934" spans="1:16" ht="27" customHeight="1">
      <c r="A934" s="5"/>
      <c r="B934" s="5"/>
      <c r="C934" s="5"/>
      <c r="D934" s="7"/>
      <c r="E934" s="6"/>
      <c r="F934" s="5"/>
      <c r="G934" s="5"/>
      <c r="H934" s="127"/>
      <c r="I934" s="5"/>
      <c r="J934" s="6"/>
      <c r="K934" s="5"/>
      <c r="L934" s="5"/>
      <c r="M934" s="8"/>
      <c r="N934" s="5"/>
      <c r="O934" s="5"/>
      <c r="P934" s="5"/>
    </row>
    <row r="935" spans="1:16" ht="27" customHeight="1">
      <c r="A935" s="5"/>
      <c r="B935" s="5"/>
      <c r="C935" s="5"/>
      <c r="D935" s="7"/>
      <c r="E935" s="6"/>
      <c r="F935" s="5"/>
      <c r="G935" s="5"/>
      <c r="H935" s="127"/>
      <c r="I935" s="5"/>
      <c r="J935" s="6"/>
      <c r="K935" s="5"/>
      <c r="L935" s="5"/>
      <c r="M935" s="8"/>
      <c r="N935" s="5"/>
      <c r="O935" s="5"/>
      <c r="P935" s="5"/>
    </row>
    <row r="936" spans="1:16" ht="27" customHeight="1">
      <c r="A936" s="5"/>
      <c r="B936" s="5"/>
      <c r="C936" s="5"/>
      <c r="D936" s="7"/>
      <c r="E936" s="6"/>
      <c r="F936" s="5"/>
      <c r="G936" s="5"/>
      <c r="H936" s="127"/>
      <c r="I936" s="5"/>
      <c r="J936" s="6"/>
      <c r="K936" s="5"/>
      <c r="L936" s="5"/>
      <c r="M936" s="8"/>
      <c r="N936" s="5"/>
      <c r="O936" s="5"/>
      <c r="P936" s="5"/>
    </row>
    <row r="937" spans="1:16" ht="27" customHeight="1">
      <c r="A937" s="5"/>
      <c r="B937" s="5"/>
      <c r="C937" s="5"/>
      <c r="D937" s="7"/>
      <c r="E937" s="6"/>
      <c r="F937" s="5"/>
      <c r="G937" s="5"/>
      <c r="H937" s="127"/>
      <c r="I937" s="5"/>
      <c r="J937" s="6"/>
      <c r="K937" s="5"/>
      <c r="L937" s="5"/>
      <c r="M937" s="8"/>
      <c r="N937" s="5"/>
      <c r="O937" s="5"/>
      <c r="P937" s="5"/>
    </row>
    <row r="938" spans="1:16" ht="27" customHeight="1">
      <c r="A938" s="5"/>
      <c r="B938" s="5"/>
      <c r="C938" s="5"/>
      <c r="D938" s="7"/>
      <c r="E938" s="6"/>
      <c r="F938" s="5"/>
      <c r="G938" s="5"/>
      <c r="H938" s="127"/>
      <c r="I938" s="5"/>
      <c r="J938" s="6"/>
      <c r="K938" s="5"/>
      <c r="L938" s="5"/>
      <c r="M938" s="8"/>
      <c r="N938" s="5"/>
      <c r="O938" s="5"/>
      <c r="P938" s="5"/>
    </row>
    <row r="939" spans="1:16" ht="27" customHeight="1">
      <c r="A939" s="5"/>
      <c r="B939" s="5"/>
      <c r="C939" s="5"/>
      <c r="D939" s="7"/>
      <c r="E939" s="6"/>
      <c r="F939" s="5"/>
      <c r="G939" s="5"/>
      <c r="H939" s="127"/>
      <c r="I939" s="5"/>
      <c r="J939" s="6"/>
      <c r="K939" s="5"/>
      <c r="L939" s="5"/>
      <c r="M939" s="8"/>
      <c r="N939" s="5"/>
      <c r="O939" s="5"/>
      <c r="P939" s="5"/>
    </row>
    <row r="940" spans="1:16" ht="27" customHeight="1">
      <c r="A940" s="5"/>
      <c r="B940" s="5"/>
      <c r="C940" s="5"/>
      <c r="D940" s="7"/>
      <c r="E940" s="6"/>
      <c r="F940" s="5"/>
      <c r="G940" s="5"/>
      <c r="H940" s="127"/>
      <c r="I940" s="5"/>
      <c r="J940" s="6"/>
      <c r="K940" s="5"/>
      <c r="L940" s="5"/>
      <c r="M940" s="8"/>
      <c r="N940" s="5"/>
      <c r="O940" s="5"/>
      <c r="P940" s="5"/>
    </row>
    <row r="941" spans="1:16" ht="27" customHeight="1">
      <c r="A941" s="5"/>
      <c r="B941" s="5"/>
      <c r="C941" s="5"/>
      <c r="D941" s="7"/>
      <c r="E941" s="6"/>
      <c r="F941" s="5"/>
      <c r="G941" s="5"/>
      <c r="H941" s="127"/>
      <c r="I941" s="5"/>
      <c r="J941" s="6"/>
      <c r="K941" s="5"/>
      <c r="L941" s="5"/>
      <c r="M941" s="8"/>
      <c r="N941" s="5"/>
      <c r="O941" s="5"/>
      <c r="P941" s="5"/>
    </row>
    <row r="942" spans="1:16" ht="27" customHeight="1">
      <c r="A942" s="5"/>
      <c r="B942" s="5"/>
      <c r="C942" s="5"/>
      <c r="D942" s="7"/>
      <c r="E942" s="6"/>
      <c r="F942" s="5"/>
      <c r="G942" s="5"/>
      <c r="H942" s="127"/>
      <c r="I942" s="5"/>
      <c r="J942" s="6"/>
      <c r="K942" s="5"/>
      <c r="L942" s="5"/>
      <c r="M942" s="8"/>
      <c r="N942" s="5"/>
      <c r="O942" s="5"/>
      <c r="P942" s="5"/>
    </row>
    <row r="943" spans="1:16" ht="27" customHeight="1">
      <c r="A943" s="5"/>
      <c r="B943" s="5"/>
      <c r="C943" s="5"/>
      <c r="D943" s="7"/>
      <c r="E943" s="6"/>
      <c r="F943" s="5"/>
      <c r="G943" s="5"/>
      <c r="H943" s="127"/>
      <c r="I943" s="5"/>
      <c r="J943" s="6"/>
      <c r="K943" s="5"/>
      <c r="L943" s="5"/>
      <c r="M943" s="8"/>
      <c r="N943" s="5"/>
      <c r="O943" s="5"/>
      <c r="P943" s="5"/>
    </row>
    <row r="944" spans="1:16" ht="27" customHeight="1">
      <c r="A944" s="5"/>
      <c r="B944" s="5"/>
      <c r="C944" s="5"/>
      <c r="D944" s="7"/>
      <c r="E944" s="6"/>
      <c r="F944" s="5"/>
      <c r="G944" s="5"/>
      <c r="H944" s="127"/>
      <c r="I944" s="5"/>
      <c r="J944" s="6"/>
      <c r="K944" s="5"/>
      <c r="L944" s="5"/>
      <c r="M944" s="8"/>
      <c r="N944" s="5"/>
      <c r="O944" s="5"/>
      <c r="P944" s="5"/>
    </row>
    <row r="945" spans="1:16" ht="27" customHeight="1">
      <c r="A945" s="5"/>
      <c r="B945" s="5"/>
      <c r="C945" s="5"/>
      <c r="D945" s="7"/>
      <c r="E945" s="6"/>
      <c r="F945" s="5"/>
      <c r="G945" s="5"/>
      <c r="H945" s="127"/>
      <c r="I945" s="5"/>
      <c r="J945" s="6"/>
      <c r="K945" s="5"/>
      <c r="L945" s="5"/>
      <c r="M945" s="8"/>
      <c r="N945" s="5"/>
      <c r="O945" s="5"/>
      <c r="P945" s="5"/>
    </row>
    <row r="946" spans="1:16" ht="27" customHeight="1">
      <c r="A946" s="5"/>
      <c r="B946" s="5"/>
      <c r="C946" s="5"/>
      <c r="D946" s="7"/>
      <c r="E946" s="6"/>
      <c r="F946" s="5"/>
      <c r="G946" s="5"/>
      <c r="H946" s="127"/>
      <c r="I946" s="5"/>
      <c r="J946" s="6"/>
      <c r="K946" s="5"/>
      <c r="L946" s="5"/>
      <c r="M946" s="8"/>
      <c r="N946" s="5"/>
      <c r="O946" s="5"/>
      <c r="P946" s="5"/>
    </row>
    <row r="947" spans="1:16" ht="27" customHeight="1">
      <c r="A947" s="5"/>
      <c r="B947" s="5"/>
      <c r="C947" s="5"/>
      <c r="D947" s="7"/>
      <c r="E947" s="6"/>
      <c r="F947" s="5"/>
      <c r="G947" s="5"/>
      <c r="H947" s="127"/>
      <c r="I947" s="5"/>
      <c r="J947" s="6"/>
      <c r="K947" s="5"/>
      <c r="L947" s="5"/>
      <c r="M947" s="8"/>
      <c r="N947" s="5"/>
      <c r="O947" s="5"/>
      <c r="P947" s="5"/>
    </row>
    <row r="948" spans="1:16" ht="27" customHeight="1">
      <c r="A948" s="5"/>
      <c r="B948" s="5"/>
      <c r="C948" s="5"/>
      <c r="D948" s="7"/>
      <c r="E948" s="6"/>
      <c r="F948" s="5"/>
      <c r="G948" s="5"/>
      <c r="H948" s="127"/>
      <c r="I948" s="5"/>
      <c r="J948" s="6"/>
      <c r="K948" s="5"/>
      <c r="L948" s="5"/>
      <c r="M948" s="8"/>
      <c r="N948" s="5"/>
      <c r="O948" s="5"/>
      <c r="P948" s="5"/>
    </row>
    <row r="949" spans="1:16" ht="27" customHeight="1">
      <c r="A949" s="5"/>
      <c r="B949" s="5"/>
      <c r="C949" s="5"/>
      <c r="D949" s="7"/>
      <c r="E949" s="6"/>
      <c r="F949" s="5"/>
      <c r="G949" s="5"/>
      <c r="H949" s="127"/>
      <c r="I949" s="5"/>
      <c r="J949" s="6"/>
      <c r="K949" s="5"/>
      <c r="L949" s="5"/>
      <c r="M949" s="8"/>
      <c r="N949" s="5"/>
      <c r="O949" s="5"/>
      <c r="P949" s="5"/>
    </row>
    <row r="950" spans="1:16" ht="27" customHeight="1">
      <c r="A950" s="5"/>
      <c r="B950" s="5"/>
      <c r="C950" s="5"/>
      <c r="D950" s="7"/>
      <c r="E950" s="6"/>
      <c r="F950" s="5"/>
      <c r="G950" s="5"/>
      <c r="H950" s="127"/>
      <c r="I950" s="5"/>
      <c r="J950" s="6"/>
      <c r="K950" s="5"/>
      <c r="L950" s="5"/>
      <c r="M950" s="8"/>
      <c r="N950" s="5"/>
      <c r="O950" s="5"/>
      <c r="P950" s="5"/>
    </row>
    <row r="951" spans="1:16" ht="27" customHeight="1">
      <c r="A951" s="5"/>
      <c r="B951" s="5"/>
      <c r="C951" s="5"/>
      <c r="D951" s="7"/>
      <c r="E951" s="6"/>
      <c r="F951" s="5"/>
      <c r="G951" s="5"/>
      <c r="H951" s="127"/>
      <c r="I951" s="5"/>
      <c r="J951" s="6"/>
      <c r="K951" s="5"/>
      <c r="L951" s="5"/>
      <c r="M951" s="8"/>
      <c r="N951" s="5"/>
      <c r="O951" s="5"/>
      <c r="P951" s="5"/>
    </row>
    <row r="952" spans="1:16" ht="27" customHeight="1">
      <c r="A952" s="5"/>
      <c r="B952" s="5"/>
      <c r="C952" s="5"/>
      <c r="D952" s="7"/>
      <c r="E952" s="6"/>
      <c r="F952" s="5"/>
      <c r="G952" s="5"/>
      <c r="H952" s="127"/>
      <c r="I952" s="5"/>
      <c r="J952" s="6"/>
      <c r="K952" s="5"/>
      <c r="L952" s="5"/>
      <c r="M952" s="8"/>
      <c r="N952" s="5"/>
      <c r="O952" s="5"/>
      <c r="P952" s="5"/>
    </row>
    <row r="953" spans="1:16" ht="27" customHeight="1">
      <c r="A953" s="5"/>
      <c r="B953" s="5"/>
      <c r="C953" s="5"/>
      <c r="D953" s="7"/>
      <c r="E953" s="6"/>
      <c r="F953" s="5"/>
      <c r="G953" s="5"/>
      <c r="H953" s="127"/>
      <c r="I953" s="5"/>
      <c r="J953" s="6"/>
      <c r="K953" s="5"/>
      <c r="L953" s="5"/>
      <c r="M953" s="8"/>
      <c r="N953" s="5"/>
      <c r="O953" s="5"/>
      <c r="P953" s="5"/>
    </row>
    <row r="954" spans="1:16" ht="27" customHeight="1">
      <c r="A954" s="5"/>
      <c r="B954" s="5"/>
      <c r="C954" s="5"/>
      <c r="D954" s="7"/>
      <c r="E954" s="6"/>
      <c r="F954" s="5"/>
      <c r="G954" s="5"/>
      <c r="H954" s="127"/>
      <c r="I954" s="5"/>
      <c r="J954" s="6"/>
      <c r="K954" s="5"/>
      <c r="L954" s="5"/>
      <c r="M954" s="8"/>
      <c r="N954" s="5"/>
      <c r="O954" s="5"/>
      <c r="P954" s="5"/>
    </row>
    <row r="955" spans="1:16" ht="27" customHeight="1">
      <c r="A955" s="5"/>
      <c r="B955" s="5"/>
      <c r="C955" s="5"/>
      <c r="D955" s="7"/>
      <c r="E955" s="6"/>
      <c r="F955" s="5"/>
      <c r="G955" s="5"/>
      <c r="H955" s="127"/>
      <c r="I955" s="5"/>
      <c r="J955" s="6"/>
      <c r="K955" s="5"/>
      <c r="L955" s="5"/>
      <c r="M955" s="8"/>
      <c r="N955" s="5"/>
      <c r="O955" s="5"/>
      <c r="P955" s="5"/>
    </row>
    <row r="956" spans="1:16" ht="27" customHeight="1">
      <c r="A956" s="5"/>
      <c r="B956" s="5"/>
      <c r="C956" s="5"/>
      <c r="D956" s="7"/>
      <c r="E956" s="6"/>
      <c r="F956" s="5"/>
      <c r="G956" s="5"/>
      <c r="H956" s="127"/>
      <c r="I956" s="5"/>
      <c r="J956" s="6"/>
      <c r="K956" s="5"/>
      <c r="L956" s="5"/>
      <c r="M956" s="8"/>
      <c r="N956" s="5"/>
      <c r="O956" s="5"/>
      <c r="P956" s="5"/>
    </row>
    <row r="957" spans="1:16" ht="27" customHeight="1">
      <c r="A957" s="5"/>
      <c r="B957" s="5"/>
      <c r="C957" s="5"/>
      <c r="D957" s="7"/>
      <c r="E957" s="6"/>
      <c r="F957" s="5"/>
      <c r="G957" s="5"/>
      <c r="H957" s="127"/>
      <c r="I957" s="5"/>
      <c r="J957" s="6"/>
      <c r="K957" s="5"/>
      <c r="L957" s="5"/>
      <c r="M957" s="8"/>
      <c r="N957" s="5"/>
      <c r="O957" s="5"/>
      <c r="P957" s="5"/>
    </row>
    <row r="958" spans="1:16" ht="27" customHeight="1">
      <c r="A958" s="5"/>
      <c r="B958" s="5"/>
      <c r="C958" s="5"/>
      <c r="D958" s="7"/>
      <c r="E958" s="6"/>
      <c r="F958" s="5"/>
      <c r="G958" s="5"/>
      <c r="H958" s="127"/>
      <c r="I958" s="5"/>
      <c r="J958" s="6"/>
      <c r="K958" s="5"/>
      <c r="L958" s="5"/>
      <c r="M958" s="8"/>
      <c r="N958" s="5"/>
      <c r="O958" s="5"/>
      <c r="P958" s="5"/>
    </row>
    <row r="959" spans="1:16" ht="27" customHeight="1">
      <c r="A959" s="5"/>
      <c r="B959" s="5"/>
      <c r="C959" s="5"/>
      <c r="D959" s="7"/>
      <c r="E959" s="6"/>
      <c r="F959" s="5"/>
      <c r="G959" s="5"/>
      <c r="H959" s="127"/>
      <c r="I959" s="5"/>
      <c r="J959" s="6"/>
      <c r="K959" s="5"/>
      <c r="L959" s="5"/>
      <c r="M959" s="8"/>
      <c r="N959" s="5"/>
      <c r="O959" s="5"/>
      <c r="P959" s="5"/>
    </row>
    <row r="960" spans="1:16" ht="27" customHeight="1">
      <c r="A960" s="5"/>
      <c r="B960" s="5"/>
      <c r="C960" s="5"/>
      <c r="D960" s="7"/>
      <c r="E960" s="6"/>
      <c r="F960" s="5"/>
      <c r="G960" s="5"/>
      <c r="H960" s="127"/>
      <c r="I960" s="5"/>
      <c r="J960" s="6"/>
      <c r="K960" s="5"/>
      <c r="L960" s="5"/>
      <c r="M960" s="8"/>
      <c r="N960" s="5"/>
      <c r="O960" s="5"/>
      <c r="P960" s="5"/>
    </row>
    <row r="961" spans="1:16" ht="27" customHeight="1">
      <c r="A961" s="5"/>
      <c r="B961" s="5"/>
      <c r="C961" s="5"/>
      <c r="D961" s="7"/>
      <c r="E961" s="6"/>
      <c r="F961" s="5"/>
      <c r="G961" s="5"/>
      <c r="H961" s="127"/>
      <c r="I961" s="5"/>
      <c r="J961" s="6"/>
      <c r="K961" s="5"/>
      <c r="L961" s="5"/>
      <c r="M961" s="8"/>
      <c r="N961" s="5"/>
      <c r="O961" s="5"/>
      <c r="P961" s="5"/>
    </row>
    <row r="962" spans="1:16" ht="27" customHeight="1">
      <c r="A962" s="5"/>
      <c r="B962" s="5"/>
      <c r="C962" s="5"/>
      <c r="D962" s="7"/>
      <c r="E962" s="6"/>
      <c r="F962" s="5"/>
      <c r="G962" s="5"/>
      <c r="H962" s="127"/>
      <c r="I962" s="5"/>
      <c r="J962" s="6"/>
      <c r="K962" s="5"/>
      <c r="L962" s="5"/>
      <c r="M962" s="8"/>
      <c r="N962" s="5"/>
      <c r="O962" s="5"/>
      <c r="P962" s="5"/>
    </row>
    <row r="963" spans="1:16" ht="27" customHeight="1">
      <c r="A963" s="5"/>
      <c r="B963" s="5"/>
      <c r="C963" s="5"/>
      <c r="D963" s="7"/>
      <c r="E963" s="6"/>
      <c r="F963" s="5"/>
      <c r="G963" s="5"/>
      <c r="H963" s="127"/>
      <c r="I963" s="5"/>
      <c r="J963" s="6"/>
      <c r="K963" s="5"/>
      <c r="L963" s="5"/>
      <c r="M963" s="8"/>
      <c r="N963" s="5"/>
      <c r="O963" s="5"/>
      <c r="P963" s="5"/>
    </row>
    <row r="964" spans="1:16" ht="27" customHeight="1">
      <c r="A964" s="5"/>
      <c r="B964" s="5"/>
      <c r="C964" s="5"/>
      <c r="D964" s="7"/>
      <c r="E964" s="6"/>
      <c r="F964" s="5"/>
      <c r="G964" s="5"/>
      <c r="H964" s="127"/>
      <c r="I964" s="5"/>
      <c r="J964" s="6"/>
      <c r="K964" s="5"/>
      <c r="L964" s="5"/>
      <c r="M964" s="8"/>
      <c r="N964" s="5"/>
      <c r="O964" s="5"/>
      <c r="P964" s="5"/>
    </row>
    <row r="965" spans="1:16" ht="27" customHeight="1">
      <c r="A965" s="5"/>
      <c r="B965" s="5"/>
      <c r="C965" s="5"/>
      <c r="D965" s="7"/>
      <c r="E965" s="6"/>
      <c r="F965" s="5"/>
      <c r="G965" s="5"/>
      <c r="H965" s="127"/>
      <c r="I965" s="5"/>
      <c r="J965" s="6"/>
      <c r="K965" s="5"/>
      <c r="L965" s="5"/>
      <c r="M965" s="8"/>
      <c r="N965" s="5"/>
      <c r="O965" s="5"/>
      <c r="P965" s="5"/>
    </row>
    <row r="966" spans="1:16" ht="27" customHeight="1">
      <c r="A966" s="5"/>
      <c r="B966" s="5"/>
      <c r="C966" s="5"/>
      <c r="D966" s="7"/>
      <c r="E966" s="6"/>
      <c r="F966" s="5"/>
      <c r="G966" s="5"/>
      <c r="H966" s="127"/>
      <c r="I966" s="5"/>
      <c r="J966" s="6"/>
      <c r="K966" s="5"/>
      <c r="L966" s="5"/>
      <c r="M966" s="8"/>
      <c r="N966" s="5"/>
      <c r="O966" s="5"/>
      <c r="P966" s="5"/>
    </row>
    <row r="967" spans="1:16" ht="27" customHeight="1">
      <c r="A967" s="5"/>
      <c r="B967" s="5"/>
      <c r="C967" s="5"/>
      <c r="D967" s="7"/>
      <c r="E967" s="6"/>
      <c r="F967" s="5"/>
      <c r="G967" s="5"/>
      <c r="H967" s="127"/>
      <c r="I967" s="5"/>
      <c r="J967" s="6"/>
      <c r="K967" s="5"/>
      <c r="L967" s="5"/>
      <c r="M967" s="8"/>
      <c r="N967" s="5"/>
      <c r="O967" s="5"/>
      <c r="P967" s="5"/>
    </row>
    <row r="968" spans="1:16" ht="27" customHeight="1">
      <c r="A968" s="5"/>
      <c r="B968" s="5"/>
      <c r="C968" s="5"/>
      <c r="D968" s="7"/>
      <c r="E968" s="6"/>
      <c r="F968" s="5"/>
      <c r="G968" s="5"/>
      <c r="H968" s="127"/>
      <c r="I968" s="5"/>
      <c r="J968" s="6"/>
      <c r="K968" s="5"/>
      <c r="L968" s="5"/>
      <c r="M968" s="8"/>
      <c r="N968" s="5"/>
      <c r="O968" s="5"/>
      <c r="P968" s="5"/>
    </row>
    <row r="969" spans="1:16" ht="27" customHeight="1">
      <c r="A969" s="5"/>
      <c r="B969" s="5"/>
      <c r="C969" s="5"/>
      <c r="D969" s="7"/>
      <c r="E969" s="6"/>
      <c r="F969" s="5"/>
      <c r="G969" s="5"/>
      <c r="H969" s="127"/>
      <c r="I969" s="5"/>
      <c r="J969" s="6"/>
      <c r="K969" s="5"/>
      <c r="L969" s="5"/>
      <c r="M969" s="8"/>
      <c r="N969" s="5"/>
      <c r="O969" s="5"/>
      <c r="P969" s="5"/>
    </row>
    <row r="970" spans="1:16" ht="27" customHeight="1">
      <c r="A970" s="5"/>
      <c r="B970" s="5"/>
      <c r="C970" s="5"/>
      <c r="D970" s="7"/>
      <c r="E970" s="6"/>
      <c r="F970" s="5"/>
      <c r="G970" s="5"/>
      <c r="H970" s="127"/>
      <c r="I970" s="5"/>
      <c r="J970" s="6"/>
      <c r="K970" s="5"/>
      <c r="L970" s="5"/>
      <c r="M970" s="8"/>
      <c r="N970" s="5"/>
      <c r="O970" s="5"/>
      <c r="P970" s="5"/>
    </row>
    <row r="971" spans="1:16" ht="27" customHeight="1">
      <c r="A971" s="5"/>
      <c r="B971" s="5"/>
      <c r="C971" s="5"/>
      <c r="D971" s="7"/>
      <c r="E971" s="6"/>
      <c r="F971" s="5"/>
      <c r="G971" s="5"/>
      <c r="H971" s="127"/>
      <c r="I971" s="5"/>
      <c r="J971" s="6"/>
      <c r="K971" s="5"/>
      <c r="L971" s="5"/>
      <c r="M971" s="8"/>
      <c r="N971" s="5"/>
      <c r="O971" s="5"/>
      <c r="P971" s="5"/>
    </row>
    <row r="972" spans="1:16" ht="27" customHeight="1">
      <c r="A972" s="5"/>
      <c r="B972" s="5"/>
      <c r="C972" s="5"/>
      <c r="D972" s="7"/>
      <c r="E972" s="6"/>
      <c r="F972" s="5"/>
      <c r="G972" s="5"/>
      <c r="H972" s="127"/>
      <c r="I972" s="5"/>
      <c r="J972" s="6"/>
      <c r="K972" s="5"/>
      <c r="L972" s="5"/>
      <c r="M972" s="8"/>
      <c r="N972" s="5"/>
      <c r="O972" s="5"/>
      <c r="P972" s="5"/>
    </row>
    <row r="973" spans="1:16" ht="27" customHeight="1">
      <c r="A973" s="5"/>
      <c r="B973" s="5"/>
      <c r="C973" s="5"/>
      <c r="D973" s="7"/>
      <c r="E973" s="6"/>
      <c r="F973" s="5"/>
      <c r="G973" s="5"/>
      <c r="H973" s="127"/>
      <c r="I973" s="5"/>
      <c r="J973" s="6"/>
      <c r="K973" s="5"/>
      <c r="L973" s="5"/>
      <c r="M973" s="8"/>
      <c r="N973" s="5"/>
      <c r="O973" s="5"/>
      <c r="P973" s="5"/>
    </row>
    <row r="974" spans="1:16" ht="27" customHeight="1">
      <c r="A974" s="5"/>
      <c r="B974" s="5"/>
      <c r="C974" s="5"/>
      <c r="D974" s="7"/>
      <c r="E974" s="6"/>
      <c r="F974" s="5"/>
      <c r="G974" s="5"/>
      <c r="H974" s="127"/>
      <c r="I974" s="5"/>
      <c r="J974" s="6"/>
      <c r="K974" s="5"/>
      <c r="L974" s="5"/>
      <c r="M974" s="8"/>
      <c r="N974" s="5"/>
      <c r="O974" s="5"/>
      <c r="P974" s="5"/>
    </row>
    <row r="975" spans="1:16" ht="27" customHeight="1">
      <c r="A975" s="5"/>
      <c r="B975" s="5"/>
      <c r="C975" s="5"/>
      <c r="D975" s="7"/>
      <c r="E975" s="6"/>
      <c r="F975" s="5"/>
      <c r="G975" s="5"/>
      <c r="H975" s="127"/>
      <c r="I975" s="5"/>
      <c r="J975" s="6"/>
      <c r="K975" s="5"/>
      <c r="L975" s="5"/>
      <c r="M975" s="8"/>
      <c r="N975" s="5"/>
      <c r="O975" s="5"/>
      <c r="P975" s="5"/>
    </row>
    <row r="976" spans="1:16" ht="27" customHeight="1">
      <c r="A976" s="5"/>
      <c r="B976" s="5"/>
      <c r="C976" s="5"/>
      <c r="D976" s="7"/>
      <c r="E976" s="6"/>
      <c r="F976" s="5"/>
      <c r="G976" s="5"/>
      <c r="H976" s="127"/>
      <c r="I976" s="5"/>
      <c r="J976" s="6"/>
      <c r="K976" s="5"/>
      <c r="L976" s="5"/>
      <c r="M976" s="8"/>
      <c r="N976" s="5"/>
      <c r="O976" s="5"/>
      <c r="P976" s="5"/>
    </row>
    <row r="977" spans="1:16" ht="27" customHeight="1">
      <c r="A977" s="5"/>
      <c r="B977" s="5"/>
      <c r="C977" s="5"/>
      <c r="D977" s="7"/>
      <c r="E977" s="6"/>
      <c r="F977" s="5"/>
      <c r="G977" s="5"/>
      <c r="H977" s="127"/>
      <c r="I977" s="5"/>
      <c r="J977" s="6"/>
      <c r="K977" s="5"/>
      <c r="L977" s="5"/>
      <c r="M977" s="8"/>
      <c r="N977" s="5"/>
      <c r="O977" s="5"/>
      <c r="P977" s="5"/>
    </row>
    <row r="978" spans="1:16" ht="27" customHeight="1">
      <c r="A978" s="5"/>
      <c r="B978" s="5"/>
      <c r="C978" s="5"/>
      <c r="D978" s="7"/>
      <c r="E978" s="6"/>
      <c r="F978" s="5"/>
      <c r="G978" s="5"/>
      <c r="H978" s="127"/>
      <c r="I978" s="5"/>
      <c r="J978" s="6"/>
      <c r="K978" s="5"/>
      <c r="L978" s="5"/>
      <c r="M978" s="8"/>
      <c r="N978" s="5"/>
      <c r="O978" s="5"/>
      <c r="P978" s="5"/>
    </row>
    <row r="979" spans="1:16" ht="27" customHeight="1">
      <c r="A979" s="5"/>
      <c r="B979" s="5"/>
      <c r="C979" s="5"/>
      <c r="D979" s="7"/>
      <c r="E979" s="6"/>
      <c r="F979" s="5"/>
      <c r="G979" s="5"/>
      <c r="H979" s="127"/>
      <c r="I979" s="5"/>
      <c r="J979" s="6"/>
      <c r="K979" s="5"/>
      <c r="L979" s="5"/>
      <c r="M979" s="8"/>
      <c r="N979" s="5"/>
      <c r="O979" s="5"/>
      <c r="P979" s="5"/>
    </row>
    <row r="980" spans="1:16" ht="27" customHeight="1">
      <c r="A980" s="5"/>
      <c r="B980" s="5"/>
      <c r="C980" s="5"/>
      <c r="D980" s="7"/>
      <c r="E980" s="6"/>
      <c r="F980" s="5"/>
      <c r="G980" s="5"/>
      <c r="H980" s="127"/>
      <c r="I980" s="5"/>
      <c r="J980" s="6"/>
      <c r="K980" s="5"/>
      <c r="L980" s="5"/>
      <c r="M980" s="8"/>
      <c r="N980" s="5"/>
      <c r="O980" s="5"/>
      <c r="P980" s="5"/>
    </row>
    <row r="981" spans="1:16" ht="27" customHeight="1">
      <c r="A981" s="5"/>
      <c r="B981" s="5"/>
      <c r="C981" s="5"/>
      <c r="D981" s="7"/>
      <c r="E981" s="6"/>
      <c r="F981" s="5"/>
      <c r="G981" s="5"/>
      <c r="H981" s="127"/>
      <c r="I981" s="5"/>
      <c r="J981" s="6"/>
      <c r="K981" s="5"/>
      <c r="L981" s="5"/>
      <c r="M981" s="8"/>
      <c r="N981" s="5"/>
      <c r="O981" s="5"/>
      <c r="P981" s="5"/>
    </row>
    <row r="982" spans="1:16" ht="27" customHeight="1">
      <c r="A982" s="5"/>
      <c r="B982" s="5"/>
      <c r="C982" s="5"/>
      <c r="D982" s="7"/>
      <c r="E982" s="6"/>
      <c r="F982" s="5"/>
      <c r="G982" s="5"/>
      <c r="H982" s="127"/>
      <c r="I982" s="5"/>
      <c r="J982" s="6"/>
      <c r="K982" s="5"/>
      <c r="L982" s="5"/>
      <c r="M982" s="8"/>
      <c r="N982" s="5"/>
      <c r="O982" s="5"/>
      <c r="P982" s="5"/>
    </row>
    <row r="983" spans="1:16" ht="27" customHeight="1">
      <c r="A983" s="5"/>
      <c r="B983" s="5"/>
      <c r="C983" s="5"/>
      <c r="D983" s="7"/>
      <c r="E983" s="6"/>
      <c r="F983" s="5"/>
      <c r="G983" s="5"/>
      <c r="H983" s="127"/>
      <c r="I983" s="5"/>
      <c r="J983" s="6"/>
      <c r="K983" s="5"/>
      <c r="L983" s="5"/>
      <c r="M983" s="8"/>
      <c r="N983" s="5"/>
      <c r="O983" s="5"/>
      <c r="P983" s="5"/>
    </row>
    <row r="984" spans="1:16" ht="27" customHeight="1">
      <c r="A984" s="5"/>
      <c r="B984" s="5"/>
      <c r="C984" s="5"/>
      <c r="D984" s="7"/>
      <c r="E984" s="6"/>
      <c r="F984" s="5"/>
      <c r="G984" s="5"/>
      <c r="H984" s="127"/>
      <c r="I984" s="5"/>
      <c r="J984" s="6"/>
      <c r="K984" s="5"/>
      <c r="L984" s="5"/>
      <c r="M984" s="8"/>
      <c r="N984" s="5"/>
      <c r="O984" s="5"/>
      <c r="P984" s="5"/>
    </row>
    <row r="985" spans="1:16" ht="27" customHeight="1">
      <c r="A985" s="5"/>
      <c r="B985" s="5"/>
      <c r="C985" s="5"/>
      <c r="D985" s="7"/>
      <c r="E985" s="6"/>
      <c r="F985" s="5"/>
      <c r="G985" s="5"/>
      <c r="H985" s="127"/>
      <c r="I985" s="5"/>
      <c r="J985" s="6"/>
      <c r="K985" s="5"/>
      <c r="L985" s="5"/>
      <c r="M985" s="8"/>
      <c r="N985" s="5"/>
      <c r="O985" s="5"/>
      <c r="P985" s="5"/>
    </row>
    <row r="986" spans="1:16" ht="27" customHeight="1">
      <c r="A986" s="5"/>
      <c r="B986" s="5"/>
      <c r="C986" s="5"/>
      <c r="D986" s="7"/>
      <c r="E986" s="6"/>
      <c r="F986" s="5"/>
      <c r="G986" s="5"/>
      <c r="H986" s="127"/>
      <c r="I986" s="5"/>
      <c r="J986" s="6"/>
      <c r="K986" s="5"/>
      <c r="L986" s="5"/>
      <c r="M986" s="8"/>
      <c r="N986" s="5"/>
      <c r="O986" s="5"/>
      <c r="P986" s="5"/>
    </row>
    <row r="987" spans="1:16" ht="27" customHeight="1">
      <c r="A987" s="5"/>
      <c r="B987" s="5"/>
      <c r="C987" s="5"/>
      <c r="D987" s="7"/>
      <c r="E987" s="6"/>
      <c r="F987" s="5"/>
      <c r="G987" s="5"/>
      <c r="H987" s="127"/>
      <c r="I987" s="5"/>
      <c r="J987" s="6"/>
      <c r="K987" s="5"/>
      <c r="L987" s="5"/>
      <c r="M987" s="8"/>
      <c r="N987" s="5"/>
      <c r="O987" s="5"/>
      <c r="P987" s="5"/>
    </row>
    <row r="988" spans="1:16" ht="27" customHeight="1">
      <c r="A988" s="5"/>
      <c r="B988" s="5"/>
      <c r="C988" s="5"/>
      <c r="D988" s="7"/>
      <c r="E988" s="6"/>
      <c r="F988" s="5"/>
      <c r="G988" s="5"/>
      <c r="H988" s="127"/>
      <c r="I988" s="5"/>
      <c r="J988" s="6"/>
      <c r="K988" s="5"/>
      <c r="L988" s="5"/>
      <c r="M988" s="8"/>
      <c r="N988" s="5"/>
      <c r="O988" s="5"/>
      <c r="P988" s="5"/>
    </row>
    <row r="989" spans="1:16" ht="27" customHeight="1">
      <c r="A989" s="5"/>
      <c r="B989" s="5"/>
      <c r="C989" s="5"/>
      <c r="D989" s="7"/>
      <c r="E989" s="6"/>
      <c r="F989" s="5"/>
      <c r="G989" s="5"/>
      <c r="H989" s="127"/>
      <c r="I989" s="5"/>
      <c r="J989" s="6"/>
      <c r="K989" s="5"/>
      <c r="L989" s="5"/>
      <c r="M989" s="8"/>
      <c r="N989" s="5"/>
      <c r="O989" s="5"/>
      <c r="P989" s="5"/>
    </row>
    <row r="990" spans="1:16" ht="27" customHeight="1">
      <c r="A990" s="5"/>
      <c r="B990" s="5"/>
      <c r="C990" s="5"/>
      <c r="D990" s="7"/>
      <c r="E990" s="6"/>
      <c r="F990" s="5"/>
      <c r="G990" s="5"/>
      <c r="H990" s="127"/>
      <c r="I990" s="5"/>
      <c r="J990" s="6"/>
      <c r="K990" s="5"/>
      <c r="L990" s="5"/>
      <c r="M990" s="8"/>
      <c r="N990" s="5"/>
      <c r="O990" s="5"/>
      <c r="P990" s="5"/>
    </row>
    <row r="991" spans="1:16" ht="27" customHeight="1">
      <c r="A991" s="5"/>
      <c r="B991" s="5"/>
      <c r="C991" s="5"/>
      <c r="D991" s="7"/>
      <c r="E991" s="6"/>
      <c r="F991" s="5"/>
      <c r="G991" s="5"/>
      <c r="H991" s="127"/>
      <c r="I991" s="5"/>
      <c r="J991" s="6"/>
      <c r="K991" s="5"/>
      <c r="L991" s="5"/>
      <c r="M991" s="8"/>
      <c r="N991" s="5"/>
      <c r="O991" s="5"/>
      <c r="P991" s="5"/>
    </row>
    <row r="992" spans="1:16" ht="27" customHeight="1">
      <c r="A992" s="5"/>
      <c r="B992" s="5"/>
      <c r="C992" s="5"/>
      <c r="D992" s="7"/>
      <c r="E992" s="6"/>
      <c r="F992" s="5"/>
      <c r="G992" s="5"/>
      <c r="H992" s="127"/>
      <c r="I992" s="5"/>
      <c r="J992" s="6"/>
      <c r="K992" s="5"/>
      <c r="L992" s="5"/>
      <c r="M992" s="8"/>
      <c r="N992" s="5"/>
      <c r="O992" s="5"/>
      <c r="P992" s="5"/>
    </row>
    <row r="993" spans="1:16" ht="27" customHeight="1">
      <c r="A993" s="5"/>
      <c r="B993" s="5"/>
      <c r="C993" s="5"/>
      <c r="D993" s="7"/>
      <c r="E993" s="6"/>
      <c r="F993" s="5"/>
      <c r="G993" s="5"/>
      <c r="H993" s="127"/>
      <c r="I993" s="5"/>
      <c r="J993" s="6"/>
      <c r="K993" s="5"/>
      <c r="L993" s="5"/>
      <c r="M993" s="8"/>
      <c r="N993" s="5"/>
      <c r="O993" s="5"/>
      <c r="P993" s="5"/>
    </row>
    <row r="994" spans="1:16" ht="27" customHeight="1">
      <c r="A994" s="5"/>
      <c r="B994" s="5"/>
      <c r="C994" s="5"/>
      <c r="D994" s="7"/>
      <c r="E994" s="6"/>
      <c r="F994" s="5"/>
      <c r="G994" s="5"/>
      <c r="H994" s="127"/>
      <c r="I994" s="5"/>
      <c r="J994" s="6"/>
      <c r="K994" s="5"/>
      <c r="L994" s="5"/>
      <c r="M994" s="8"/>
      <c r="N994" s="5"/>
      <c r="O994" s="5"/>
      <c r="P994" s="5"/>
    </row>
    <row r="995" spans="1:16" ht="27" customHeight="1">
      <c r="A995" s="5"/>
      <c r="B995" s="5"/>
      <c r="C995" s="5"/>
      <c r="D995" s="7"/>
      <c r="E995" s="6"/>
      <c r="F995" s="5"/>
      <c r="G995" s="5"/>
      <c r="H995" s="127"/>
      <c r="I995" s="5"/>
      <c r="J995" s="6"/>
      <c r="K995" s="5"/>
      <c r="L995" s="5"/>
      <c r="M995" s="8"/>
      <c r="N995" s="5"/>
      <c r="O995" s="5"/>
      <c r="P995" s="5"/>
    </row>
    <row r="996" spans="1:16" ht="27" customHeight="1">
      <c r="A996" s="5"/>
      <c r="B996" s="5"/>
      <c r="C996" s="5"/>
      <c r="D996" s="7"/>
      <c r="E996" s="6"/>
      <c r="F996" s="5"/>
      <c r="G996" s="5"/>
      <c r="H996" s="127"/>
      <c r="I996" s="5"/>
      <c r="J996" s="6"/>
      <c r="K996" s="5"/>
      <c r="L996" s="5"/>
      <c r="M996" s="8"/>
      <c r="N996" s="5"/>
      <c r="O996" s="5"/>
      <c r="P996" s="5"/>
    </row>
    <row r="997" spans="1:16" ht="27" customHeight="1">
      <c r="A997" s="5"/>
      <c r="B997" s="5"/>
      <c r="C997" s="5"/>
      <c r="D997" s="7"/>
      <c r="E997" s="6"/>
      <c r="F997" s="5"/>
      <c r="G997" s="5"/>
      <c r="H997" s="127"/>
      <c r="I997" s="5"/>
      <c r="J997" s="6"/>
      <c r="K997" s="5"/>
      <c r="L997" s="5"/>
      <c r="M997" s="8"/>
      <c r="N997" s="5"/>
      <c r="O997" s="5"/>
      <c r="P997" s="5"/>
    </row>
    <row r="998" spans="1:16" ht="27" customHeight="1">
      <c r="A998" s="5"/>
      <c r="B998" s="5"/>
      <c r="C998" s="5"/>
      <c r="D998" s="7"/>
      <c r="E998" s="6"/>
      <c r="F998" s="5"/>
      <c r="G998" s="5"/>
      <c r="H998" s="127"/>
      <c r="I998" s="5"/>
      <c r="J998" s="6"/>
      <c r="K998" s="5"/>
      <c r="L998" s="5"/>
      <c r="M998" s="8"/>
      <c r="N998" s="5"/>
      <c r="O998" s="5"/>
      <c r="P998" s="5"/>
    </row>
    <row r="999" spans="1:16" ht="27" customHeight="1">
      <c r="A999" s="5"/>
      <c r="B999" s="5"/>
      <c r="C999" s="5"/>
      <c r="D999" s="7"/>
      <c r="E999" s="6"/>
      <c r="F999" s="5"/>
      <c r="G999" s="5"/>
      <c r="H999" s="127"/>
      <c r="I999" s="5"/>
      <c r="J999" s="6"/>
      <c r="K999" s="5"/>
      <c r="L999" s="5"/>
      <c r="M999" s="8"/>
      <c r="N999" s="5"/>
      <c r="O999" s="5"/>
      <c r="P999" s="5"/>
    </row>
    <row r="1000" spans="1:16" ht="27" customHeight="1">
      <c r="A1000" s="5"/>
      <c r="B1000" s="5"/>
      <c r="C1000" s="5"/>
      <c r="D1000" s="7"/>
      <c r="E1000" s="6"/>
      <c r="F1000" s="5"/>
      <c r="G1000" s="5"/>
      <c r="H1000" s="127"/>
      <c r="I1000" s="5"/>
      <c r="J1000" s="6"/>
      <c r="K1000" s="5"/>
      <c r="L1000" s="5"/>
      <c r="M1000" s="8"/>
      <c r="N1000" s="5"/>
      <c r="O1000" s="5"/>
      <c r="P1000" s="5"/>
    </row>
    <row r="1001" spans="1:16" ht="27" customHeight="1">
      <c r="A1001" s="5"/>
      <c r="B1001" s="5"/>
      <c r="C1001" s="5"/>
      <c r="D1001" s="7"/>
      <c r="E1001" s="6"/>
      <c r="F1001" s="5"/>
      <c r="G1001" s="5"/>
      <c r="H1001" s="127"/>
      <c r="I1001" s="5"/>
      <c r="J1001" s="6"/>
      <c r="K1001" s="5"/>
      <c r="L1001" s="5"/>
      <c r="M1001" s="8"/>
      <c r="N1001" s="5"/>
      <c r="O1001" s="5"/>
      <c r="P1001" s="5"/>
    </row>
    <row r="1002" spans="1:16" ht="27" customHeight="1">
      <c r="A1002" s="5"/>
      <c r="B1002" s="5"/>
      <c r="C1002" s="5"/>
      <c r="D1002" s="7"/>
      <c r="E1002" s="6"/>
      <c r="F1002" s="5"/>
      <c r="G1002" s="5"/>
      <c r="H1002" s="127"/>
      <c r="I1002" s="5"/>
      <c r="J1002" s="6"/>
      <c r="K1002" s="5"/>
      <c r="L1002" s="5"/>
      <c r="M1002" s="8"/>
      <c r="N1002" s="5"/>
      <c r="O1002" s="5"/>
      <c r="P1002" s="5"/>
    </row>
    <row r="1003" spans="1:16" ht="27" customHeight="1">
      <c r="A1003" s="5"/>
      <c r="B1003" s="5"/>
      <c r="C1003" s="5"/>
      <c r="D1003" s="7"/>
      <c r="E1003" s="6"/>
      <c r="F1003" s="5"/>
      <c r="G1003" s="5"/>
      <c r="H1003" s="127"/>
      <c r="I1003" s="5"/>
      <c r="J1003" s="6"/>
      <c r="K1003" s="5"/>
      <c r="L1003" s="5"/>
      <c r="M1003" s="8"/>
      <c r="N1003" s="5"/>
      <c r="O1003" s="5"/>
      <c r="P1003" s="5"/>
    </row>
    <row r="1004" spans="1:16" ht="27" customHeight="1">
      <c r="A1004" s="5"/>
      <c r="B1004" s="5"/>
      <c r="C1004" s="5"/>
      <c r="D1004" s="7"/>
      <c r="E1004" s="6"/>
      <c r="F1004" s="5"/>
      <c r="G1004" s="5"/>
      <c r="H1004" s="127"/>
      <c r="I1004" s="5"/>
      <c r="J1004" s="6"/>
      <c r="K1004" s="5"/>
      <c r="L1004" s="5"/>
      <c r="M1004" s="8"/>
      <c r="N1004" s="5"/>
      <c r="O1004" s="5"/>
      <c r="P1004" s="5"/>
    </row>
    <row r="1005" spans="1:16" ht="27" customHeight="1">
      <c r="A1005" s="5"/>
      <c r="B1005" s="5"/>
      <c r="C1005" s="5"/>
      <c r="D1005" s="7"/>
      <c r="E1005" s="6"/>
      <c r="F1005" s="5"/>
      <c r="G1005" s="5"/>
      <c r="H1005" s="127"/>
      <c r="I1005" s="5"/>
      <c r="J1005" s="6"/>
      <c r="K1005" s="5"/>
      <c r="L1005" s="5"/>
      <c r="M1005" s="8"/>
      <c r="N1005" s="5"/>
      <c r="O1005" s="5"/>
      <c r="P1005" s="5"/>
    </row>
    <row r="1006" spans="1:16" ht="27" customHeight="1">
      <c r="A1006" s="5"/>
      <c r="B1006" s="5"/>
      <c r="C1006" s="5"/>
      <c r="D1006" s="7"/>
      <c r="E1006" s="6"/>
      <c r="F1006" s="5"/>
      <c r="G1006" s="5"/>
      <c r="H1006" s="127"/>
      <c r="I1006" s="5"/>
      <c r="J1006" s="6"/>
      <c r="K1006" s="5"/>
      <c r="L1006" s="5"/>
      <c r="M1006" s="8"/>
      <c r="N1006" s="5"/>
      <c r="O1006" s="5"/>
      <c r="P1006" s="5"/>
    </row>
    <row r="1007" spans="1:16" ht="27" customHeight="1">
      <c r="A1007" s="5"/>
      <c r="B1007" s="5"/>
      <c r="C1007" s="5"/>
      <c r="D1007" s="7"/>
      <c r="E1007" s="6"/>
      <c r="F1007" s="5"/>
      <c r="G1007" s="5"/>
      <c r="H1007" s="127"/>
      <c r="I1007" s="5"/>
      <c r="J1007" s="6"/>
      <c r="K1007" s="5"/>
      <c r="L1007" s="5"/>
      <c r="M1007" s="8"/>
      <c r="N1007" s="5"/>
      <c r="O1007" s="5"/>
      <c r="P1007" s="5"/>
    </row>
    <row r="1008" spans="1:16" ht="27" customHeight="1">
      <c r="A1008" s="5"/>
      <c r="B1008" s="5"/>
      <c r="C1008" s="5"/>
      <c r="D1008" s="7"/>
      <c r="E1008" s="6"/>
      <c r="F1008" s="5"/>
      <c r="G1008" s="5"/>
      <c r="H1008" s="127"/>
      <c r="I1008" s="5"/>
      <c r="J1008" s="6"/>
      <c r="K1008" s="5"/>
      <c r="L1008" s="5"/>
      <c r="M1008" s="8"/>
      <c r="N1008" s="5"/>
      <c r="O1008" s="5"/>
      <c r="P1008" s="5"/>
    </row>
    <row r="1009" spans="1:16" ht="27" customHeight="1">
      <c r="A1009" s="5"/>
      <c r="B1009" s="5"/>
      <c r="C1009" s="5"/>
      <c r="D1009" s="7"/>
      <c r="E1009" s="6"/>
      <c r="F1009" s="5"/>
      <c r="G1009" s="5"/>
      <c r="H1009" s="127"/>
      <c r="I1009" s="5"/>
      <c r="J1009" s="6"/>
      <c r="K1009" s="5"/>
      <c r="L1009" s="5"/>
      <c r="M1009" s="8"/>
      <c r="N1009" s="5"/>
      <c r="O1009" s="5"/>
      <c r="P1009" s="5"/>
    </row>
    <row r="1010" spans="1:16" ht="27" customHeight="1">
      <c r="A1010" s="5"/>
      <c r="B1010" s="5"/>
      <c r="C1010" s="5"/>
      <c r="D1010" s="7"/>
      <c r="E1010" s="6"/>
      <c r="F1010" s="5"/>
      <c r="G1010" s="5"/>
      <c r="H1010" s="127"/>
      <c r="I1010" s="5"/>
      <c r="J1010" s="6"/>
      <c r="K1010" s="5"/>
      <c r="L1010" s="5"/>
      <c r="M1010" s="8"/>
      <c r="N1010" s="5"/>
      <c r="O1010" s="5"/>
      <c r="P1010" s="5"/>
    </row>
    <row r="1011" spans="1:16" ht="27" customHeight="1">
      <c r="A1011" s="5"/>
      <c r="B1011" s="5"/>
      <c r="C1011" s="5"/>
      <c r="D1011" s="7"/>
      <c r="E1011" s="6"/>
      <c r="F1011" s="5"/>
      <c r="G1011" s="5"/>
      <c r="H1011" s="127"/>
      <c r="I1011" s="5"/>
      <c r="J1011" s="6"/>
      <c r="K1011" s="5"/>
      <c r="L1011" s="5"/>
      <c r="M1011" s="8"/>
      <c r="N1011" s="5"/>
      <c r="O1011" s="5"/>
      <c r="P1011" s="5"/>
    </row>
    <row r="1012" spans="1:16" ht="27" customHeight="1">
      <c r="A1012" s="5"/>
      <c r="B1012" s="5"/>
      <c r="C1012" s="5"/>
      <c r="D1012" s="7"/>
      <c r="E1012" s="6"/>
      <c r="F1012" s="5"/>
      <c r="G1012" s="5"/>
      <c r="H1012" s="127"/>
      <c r="I1012" s="5"/>
      <c r="J1012" s="6"/>
      <c r="K1012" s="5"/>
      <c r="L1012" s="5"/>
      <c r="M1012" s="8"/>
      <c r="N1012" s="5"/>
      <c r="O1012" s="5"/>
      <c r="P1012" s="5"/>
    </row>
    <row r="1013" spans="1:16" ht="27" customHeight="1">
      <c r="A1013" s="5"/>
      <c r="B1013" s="5"/>
      <c r="C1013" s="5"/>
      <c r="D1013" s="7"/>
      <c r="E1013" s="6"/>
      <c r="F1013" s="5"/>
      <c r="G1013" s="5"/>
      <c r="H1013" s="127"/>
      <c r="I1013" s="5"/>
      <c r="J1013" s="6"/>
      <c r="K1013" s="5"/>
      <c r="L1013" s="5"/>
      <c r="M1013" s="8"/>
      <c r="N1013" s="5"/>
      <c r="O1013" s="5"/>
      <c r="P1013" s="5"/>
    </row>
    <row r="1014" spans="1:16" ht="27" customHeight="1">
      <c r="A1014" s="5"/>
      <c r="B1014" s="5"/>
      <c r="C1014" s="5"/>
      <c r="D1014" s="7"/>
      <c r="E1014" s="6"/>
      <c r="F1014" s="5"/>
      <c r="G1014" s="5"/>
      <c r="H1014" s="127"/>
      <c r="I1014" s="5"/>
      <c r="J1014" s="6"/>
      <c r="K1014" s="5"/>
      <c r="L1014" s="5"/>
      <c r="M1014" s="8"/>
      <c r="N1014" s="5"/>
      <c r="O1014" s="5"/>
      <c r="P1014" s="5"/>
    </row>
    <row r="1015" spans="1:16" ht="27" customHeight="1">
      <c r="A1015" s="5"/>
      <c r="B1015" s="5"/>
      <c r="C1015" s="5"/>
      <c r="D1015" s="7"/>
      <c r="E1015" s="6"/>
      <c r="F1015" s="5"/>
      <c r="G1015" s="5"/>
      <c r="H1015" s="127"/>
      <c r="I1015" s="5"/>
      <c r="J1015" s="6"/>
      <c r="K1015" s="5"/>
      <c r="L1015" s="5"/>
      <c r="M1015" s="8"/>
      <c r="N1015" s="5"/>
      <c r="O1015" s="5"/>
      <c r="P1015" s="5"/>
    </row>
    <row r="1016" spans="1:16" ht="27" customHeight="1">
      <c r="A1016" s="5"/>
      <c r="B1016" s="5"/>
      <c r="C1016" s="5"/>
      <c r="D1016" s="7"/>
      <c r="E1016" s="6"/>
      <c r="F1016" s="5"/>
      <c r="G1016" s="5"/>
      <c r="H1016" s="127"/>
      <c r="I1016" s="5"/>
      <c r="J1016" s="6"/>
      <c r="K1016" s="5"/>
      <c r="L1016" s="5"/>
      <c r="M1016" s="8"/>
      <c r="N1016" s="5"/>
      <c r="O1016" s="5"/>
      <c r="P1016" s="5"/>
    </row>
  </sheetData>
  <autoFilter ref="A1:P108" xr:uid="{00000000-0009-0000-0000-000002000000}"/>
  <customSheetViews>
    <customSheetView guid="{B8395210-8313-483B-ACF6-3232181FCA36}" filter="1" showAutoFilter="1">
      <pageMargins left="0.7" right="0.7" top="0.75" bottom="0.75" header="0.3" footer="0.3"/>
      <autoFilter ref="A1:P32" xr:uid="{DF882D26-4925-45FE-833A-83F99DC76DA2}"/>
    </customSheetView>
    <customSheetView guid="{B8395210-8313-483B-ACF6-3232181FCA36}" filter="1" showAutoFilter="1">
      <pageMargins left="0.7" right="0.7" top="0.75" bottom="0.75" header="0.3" footer="0.3"/>
      <autoFilter ref="A1:P1000" xr:uid="{3CB204EA-32A6-4282-A55E-2456513263B2}"/>
    </customSheetView>
  </customSheetViews>
  <conditionalFormatting sqref="D2">
    <cfRule type="duplicateValues" dxfId="81" priority="159"/>
  </conditionalFormatting>
  <conditionalFormatting sqref="D3">
    <cfRule type="duplicateValues" dxfId="80" priority="157"/>
  </conditionalFormatting>
  <conditionalFormatting sqref="D4">
    <cfRule type="duplicateValues" dxfId="79" priority="155"/>
  </conditionalFormatting>
  <conditionalFormatting sqref="D5">
    <cfRule type="duplicateValues" dxfId="78" priority="153"/>
  </conditionalFormatting>
  <conditionalFormatting sqref="D6">
    <cfRule type="duplicateValues" dxfId="77" priority="151"/>
  </conditionalFormatting>
  <conditionalFormatting sqref="D7">
    <cfRule type="duplicateValues" dxfId="76" priority="149"/>
  </conditionalFormatting>
  <conditionalFormatting sqref="D8">
    <cfRule type="duplicateValues" dxfId="75" priority="147"/>
  </conditionalFormatting>
  <conditionalFormatting sqref="D9">
    <cfRule type="duplicateValues" dxfId="74" priority="145"/>
  </conditionalFormatting>
  <conditionalFormatting sqref="D10">
    <cfRule type="duplicateValues" dxfId="73" priority="143"/>
  </conditionalFormatting>
  <conditionalFormatting sqref="D11">
    <cfRule type="duplicateValues" dxfId="72" priority="141"/>
  </conditionalFormatting>
  <conditionalFormatting sqref="D12">
    <cfRule type="duplicateValues" dxfId="71" priority="139"/>
  </conditionalFormatting>
  <conditionalFormatting sqref="D13">
    <cfRule type="duplicateValues" dxfId="70" priority="137"/>
  </conditionalFormatting>
  <conditionalFormatting sqref="D14">
    <cfRule type="duplicateValues" dxfId="69" priority="135"/>
  </conditionalFormatting>
  <conditionalFormatting sqref="D15">
    <cfRule type="duplicateValues" dxfId="68" priority="133"/>
  </conditionalFormatting>
  <conditionalFormatting sqref="D16">
    <cfRule type="duplicateValues" dxfId="67" priority="131"/>
  </conditionalFormatting>
  <conditionalFormatting sqref="D17">
    <cfRule type="duplicateValues" dxfId="66" priority="129"/>
  </conditionalFormatting>
  <conditionalFormatting sqref="D18">
    <cfRule type="duplicateValues" dxfId="65" priority="127"/>
  </conditionalFormatting>
  <conditionalFormatting sqref="D19">
    <cfRule type="duplicateValues" dxfId="64" priority="125"/>
  </conditionalFormatting>
  <conditionalFormatting sqref="D20">
    <cfRule type="duplicateValues" dxfId="63" priority="123"/>
  </conditionalFormatting>
  <conditionalFormatting sqref="D21">
    <cfRule type="duplicateValues" dxfId="62" priority="121"/>
  </conditionalFormatting>
  <conditionalFormatting sqref="D22">
    <cfRule type="duplicateValues" dxfId="61" priority="119"/>
  </conditionalFormatting>
  <conditionalFormatting sqref="D23">
    <cfRule type="duplicateValues" dxfId="60" priority="117"/>
  </conditionalFormatting>
  <conditionalFormatting sqref="D24">
    <cfRule type="duplicateValues" dxfId="59" priority="115"/>
  </conditionalFormatting>
  <conditionalFormatting sqref="D25">
    <cfRule type="duplicateValues" dxfId="58" priority="113"/>
  </conditionalFormatting>
  <conditionalFormatting sqref="D26">
    <cfRule type="duplicateValues" dxfId="57" priority="111"/>
  </conditionalFormatting>
  <conditionalFormatting sqref="D28">
    <cfRule type="duplicateValues" dxfId="56" priority="79"/>
  </conditionalFormatting>
  <conditionalFormatting sqref="D29">
    <cfRule type="duplicateValues" dxfId="55" priority="109"/>
  </conditionalFormatting>
  <conditionalFormatting sqref="D30">
    <cfRule type="duplicateValues" dxfId="54" priority="107"/>
  </conditionalFormatting>
  <conditionalFormatting sqref="D31">
    <cfRule type="duplicateValues" dxfId="53" priority="105"/>
  </conditionalFormatting>
  <conditionalFormatting sqref="D32">
    <cfRule type="duplicateValues" dxfId="52" priority="103"/>
  </conditionalFormatting>
  <conditionalFormatting sqref="D33">
    <cfRule type="duplicateValues" dxfId="51" priority="101"/>
  </conditionalFormatting>
  <conditionalFormatting sqref="D34">
    <cfRule type="duplicateValues" dxfId="50" priority="99"/>
  </conditionalFormatting>
  <conditionalFormatting sqref="D35">
    <cfRule type="duplicateValues" dxfId="49" priority="97"/>
  </conditionalFormatting>
  <conditionalFormatting sqref="D36">
    <cfRule type="duplicateValues" dxfId="48" priority="95"/>
  </conditionalFormatting>
  <conditionalFormatting sqref="D37">
    <cfRule type="duplicateValues" dxfId="47" priority="93"/>
  </conditionalFormatting>
  <conditionalFormatting sqref="D38">
    <cfRule type="duplicateValues" dxfId="46" priority="91"/>
  </conditionalFormatting>
  <conditionalFormatting sqref="D39">
    <cfRule type="duplicateValues" dxfId="45" priority="89"/>
  </conditionalFormatting>
  <conditionalFormatting sqref="D40">
    <cfRule type="duplicateValues" dxfId="44" priority="87"/>
  </conditionalFormatting>
  <conditionalFormatting sqref="D42">
    <cfRule type="duplicateValues" dxfId="43" priority="85"/>
  </conditionalFormatting>
  <conditionalFormatting sqref="D43">
    <cfRule type="duplicateValues" dxfId="42" priority="83"/>
  </conditionalFormatting>
  <conditionalFormatting sqref="D44">
    <cfRule type="duplicateValues" dxfId="41" priority="81"/>
  </conditionalFormatting>
  <conditionalFormatting sqref="D45">
    <cfRule type="duplicateValues" dxfId="40" priority="76"/>
  </conditionalFormatting>
  <conditionalFormatting sqref="D47">
    <cfRule type="duplicateValues" dxfId="39" priority="74"/>
  </conditionalFormatting>
  <conditionalFormatting sqref="D51">
    <cfRule type="duplicateValues" dxfId="38" priority="68"/>
    <cfRule type="duplicateValues" dxfId="37" priority="70"/>
  </conditionalFormatting>
  <conditionalFormatting sqref="D68">
    <cfRule type="duplicateValues" dxfId="36" priority="59"/>
    <cfRule type="duplicateValues" dxfId="35" priority="60"/>
  </conditionalFormatting>
  <conditionalFormatting sqref="D71">
    <cfRule type="duplicateValues" dxfId="34" priority="52"/>
    <cfRule type="duplicateValues" dxfId="33" priority="53"/>
  </conditionalFormatting>
  <conditionalFormatting sqref="D94">
    <cfRule type="duplicateValues" dxfId="32" priority="29"/>
    <cfRule type="duplicateValues" dxfId="31" priority="30"/>
  </conditionalFormatting>
  <conditionalFormatting sqref="D96">
    <cfRule type="duplicateValues" dxfId="30" priority="36"/>
    <cfRule type="duplicateValues" dxfId="29" priority="37"/>
  </conditionalFormatting>
  <conditionalFormatting sqref="D98">
    <cfRule type="duplicateValues" dxfId="28" priority="26"/>
    <cfRule type="duplicateValues" dxfId="27" priority="27"/>
  </conditionalFormatting>
  <conditionalFormatting sqref="D102">
    <cfRule type="duplicateValues" dxfId="26" priority="34"/>
    <cfRule type="duplicateValues" dxfId="25" priority="35"/>
  </conditionalFormatting>
  <conditionalFormatting sqref="D103">
    <cfRule type="duplicateValues" dxfId="24" priority="19"/>
    <cfRule type="duplicateValues" dxfId="23" priority="20"/>
  </conditionalFormatting>
  <conditionalFormatting sqref="D110">
    <cfRule type="duplicateValues" dxfId="22" priority="10"/>
    <cfRule type="duplicateValues" dxfId="21" priority="11"/>
  </conditionalFormatting>
  <conditionalFormatting sqref="K1:K57">
    <cfRule type="containsText" dxfId="20" priority="55" operator="containsText" text="Hết hiệu lực">
      <formula>NOT(ISERROR(SEARCH("Hết hiệu lực",K1)))</formula>
    </cfRule>
  </conditionalFormatting>
  <conditionalFormatting sqref="K59:K67">
    <cfRule type="containsText" dxfId="19" priority="57" operator="containsText" text="Hết hiệu lực">
      <formula>NOT(ISERROR(SEARCH("Hết hiệu lực",K59)))</formula>
    </cfRule>
  </conditionalFormatting>
  <conditionalFormatting sqref="K69">
    <cfRule type="containsText" dxfId="18" priority="56" operator="containsText" text="Hết hiệu lực">
      <formula>NOT(ISERROR(SEARCH("Hết hiệu lực",K69)))</formula>
    </cfRule>
  </conditionalFormatting>
  <conditionalFormatting sqref="K71">
    <cfRule type="containsText" dxfId="17" priority="54" operator="containsText" text="Hết hiệu lực">
      <formula>NOT(ISERROR(SEARCH("Hết hiệu lực",K71)))</formula>
    </cfRule>
  </conditionalFormatting>
  <conditionalFormatting sqref="K75:K104">
    <cfRule type="containsText" dxfId="16" priority="12" operator="containsText" text="Hết hiệu lực">
      <formula>NOT(ISERROR(SEARCH("Hết hiệu lực",K75)))</formula>
    </cfRule>
  </conditionalFormatting>
  <conditionalFormatting sqref="K106">
    <cfRule type="containsText" dxfId="15" priority="13" operator="containsText" text="Hết hiệu lực">
      <formula>NOT(ISERROR(SEARCH("Hết hiệu lực",K106)))</formula>
    </cfRule>
  </conditionalFormatting>
  <conditionalFormatting sqref="K108:K1048576">
    <cfRule type="containsText" dxfId="14" priority="5" operator="containsText" text="Hết hiệu lực">
      <formula>NOT(ISERROR(SEARCH("Hết hiệu lực",K108)))</formula>
    </cfRule>
  </conditionalFormatting>
  <conditionalFormatting sqref="M71">
    <cfRule type="duplicateValues" dxfId="13" priority="50"/>
    <cfRule type="duplicateValues" dxfId="12" priority="51"/>
  </conditionalFormatting>
  <conditionalFormatting sqref="M94">
    <cfRule type="duplicateValues" dxfId="11" priority="21"/>
    <cfRule type="duplicateValues" dxfId="10" priority="22"/>
  </conditionalFormatting>
  <conditionalFormatting sqref="M98">
    <cfRule type="duplicateValues" dxfId="9" priority="24"/>
    <cfRule type="duplicateValues" dxfId="8" priority="25"/>
  </conditionalFormatting>
  <conditionalFormatting sqref="M102">
    <cfRule type="duplicateValues" dxfId="7" priority="32"/>
    <cfRule type="duplicateValues" dxfId="6" priority="33"/>
  </conditionalFormatting>
  <conditionalFormatting sqref="M103">
    <cfRule type="duplicateValues" dxfId="5" priority="17"/>
    <cfRule type="duplicateValues" dxfId="4" priority="18"/>
  </conditionalFormatting>
  <conditionalFormatting sqref="M110">
    <cfRule type="duplicateValues" dxfId="3" priority="7"/>
    <cfRule type="duplicateValues" dxfId="2" priority="8"/>
  </conditionalFormatting>
  <dataValidations count="7">
    <dataValidation type="list" allowBlank="1" sqref="I2:I26 I28:I39" xr:uid="{00000000-0002-0000-0200-000000000000}">
      <formula1>"BCH Trung ương Đảng,BHXH,Bộ Công an,Bộ GD&amp;ĐT,Bộ LĐTB&amp;XH,Bộ Nội vụ,Bộ Tài chính,Bộ Tư pháp,Bộ Xây dựng,Chính phủ,Cục Thuế Hà Nội,Quốc hội,Tổng cục Thuế,UBND thành phố Hà Nội,Ủy ban Kiểm tra Trung ương,Văn phòng Chính phủ,Cục Quản lý chất lượng,TLĐ Lao động"&amp;" Việt Nam,Bộ KHCN,Bộ Chính trị,Bộ VHTT&amp;DL"</formula1>
    </dataValidation>
    <dataValidation type="list" allowBlank="1" showErrorMessage="1" sqref="I27" xr:uid="{00000000-0002-0000-0200-000001000000}">
      <formula1>"BCH Trung ương Đảng,BHXH,Bộ Công an,Bộ GD&amp;ĐT,Bộ LĐTB&amp;XH,Bộ Nội vụ,Bộ Tài chính,Bộ Tư pháp,Bộ Xây dựng,Chính phủ,Cục Thuế Hà Nội,Quốc hội,Tổng cục Thuế,UBND thành phố Hà Nội,Ủy ban Kiểm tra Trung ương,Văn phòng Chính phủ,Cục Quản lý chất lượng,TLĐ Lao động"&amp;" Việt Nam"</formula1>
    </dataValidation>
    <dataValidation type="list" allowBlank="1" showErrorMessage="1" sqref="K27" xr:uid="{00000000-0002-0000-0200-000002000000}">
      <formula1>"Còn hiệu lực,Hết hiệu lực,Chưa có hiệu lực"</formula1>
    </dataValidation>
    <dataValidation type="list" allowBlank="1" sqref="F2:F26 F28:F40 F47 F42:F45 F68 G2:G58 F49:F57 F59:G64 M61 M55 F77:F78 F102 F94 F96 F98" xr:uid="{00000000-0002-0000-0200-000003000000}">
      <formula1>"Quyết định, Thông tư, Công văn, Nghị định, Nghị quyết, Chỉ thị, Thông báo, Công điện, Hướng dẫn, Kế hoạch, Luật, Văn bản hợp nhất, Kết luận, Quy định"</formula1>
    </dataValidation>
    <dataValidation type="list" allowBlank="1" showErrorMessage="1" sqref="K2:K26 K28:K40 K42:K44" xr:uid="{00000000-0002-0000-0200-000004000000}">
      <formula1>"Còn hiệu lực,Hết hiệu lực,Chưa có hiệu lực,Không xác định"</formula1>
    </dataValidation>
    <dataValidation type="list" allowBlank="1" showErrorMessage="1" sqref="K45 K47 K49:K57 K59:K64 K71 K105:K107" xr:uid="{00000000-0002-0000-0200-000005000000}">
      <formula1>"Còn hiệu lực,Hết hiệu lực"</formula1>
    </dataValidation>
    <dataValidation type="list" allowBlank="1" showInputMessage="1" showErrorMessage="1" sqref="C1:C57 C59:C83 C90:C1048576" xr:uid="{00000000-0002-0000-0200-000006000000}">
      <formula1>"TS, ĐT, CTSV, NCKH, HTPT, TCNS, KHTC, HCTH, CSVC, CNTT, TTPC, ĐBCL, TCXB, TT&amp;QTTH, TCCB, XTĐT, GDTC&amp;TT, CVP, ĐU"</formula1>
    </dataValidation>
  </dataValidations>
  <hyperlinks>
    <hyperlink ref="N2" r:id="rId1" xr:uid="{00000000-0004-0000-0200-000000000000}"/>
    <hyperlink ref="N3" r:id="rId2" xr:uid="{00000000-0004-0000-0200-000001000000}"/>
    <hyperlink ref="N4" r:id="rId3" xr:uid="{00000000-0004-0000-0200-000002000000}"/>
    <hyperlink ref="N5" r:id="rId4" xr:uid="{00000000-0004-0000-0200-000003000000}"/>
    <hyperlink ref="N6" r:id="rId5" xr:uid="{00000000-0004-0000-0200-000004000000}"/>
    <hyperlink ref="N7" r:id="rId6" xr:uid="{00000000-0004-0000-0200-000005000000}"/>
    <hyperlink ref="N8" r:id="rId7" xr:uid="{00000000-0004-0000-0200-000006000000}"/>
    <hyperlink ref="N9" r:id="rId8" xr:uid="{00000000-0004-0000-0200-000007000000}"/>
    <hyperlink ref="N10" r:id="rId9" xr:uid="{00000000-0004-0000-0200-000008000000}"/>
    <hyperlink ref="N11" r:id="rId10" xr:uid="{00000000-0004-0000-0200-000009000000}"/>
    <hyperlink ref="N12" r:id="rId11" xr:uid="{00000000-0004-0000-0200-00000A000000}"/>
    <hyperlink ref="N13" r:id="rId12" xr:uid="{00000000-0004-0000-0200-00000B000000}"/>
    <hyperlink ref="N14" r:id="rId13" xr:uid="{00000000-0004-0000-0200-00000C000000}"/>
    <hyperlink ref="N15" r:id="rId14" xr:uid="{00000000-0004-0000-0200-00000D000000}"/>
    <hyperlink ref="N16" r:id="rId15" xr:uid="{00000000-0004-0000-0200-00000E000000}"/>
    <hyperlink ref="N17" r:id="rId16" xr:uid="{00000000-0004-0000-0200-00000F000000}"/>
    <hyperlink ref="N18" r:id="rId17" xr:uid="{00000000-0004-0000-0200-000010000000}"/>
    <hyperlink ref="N19" r:id="rId18" xr:uid="{00000000-0004-0000-0200-000011000000}"/>
    <hyperlink ref="N20" r:id="rId19" xr:uid="{00000000-0004-0000-0200-000012000000}"/>
    <hyperlink ref="N21" r:id="rId20" xr:uid="{00000000-0004-0000-0200-000013000000}"/>
    <hyperlink ref="N22" r:id="rId21" xr:uid="{00000000-0004-0000-0200-000014000000}"/>
    <hyperlink ref="N23" r:id="rId22" xr:uid="{00000000-0004-0000-0200-000015000000}"/>
    <hyperlink ref="N24" r:id="rId23" xr:uid="{00000000-0004-0000-0200-000016000000}"/>
    <hyperlink ref="N25" r:id="rId24" xr:uid="{00000000-0004-0000-0200-000017000000}"/>
    <hyperlink ref="N26" r:id="rId25" xr:uid="{00000000-0004-0000-0200-000018000000}"/>
    <hyperlink ref="M27" r:id="rId26" xr:uid="{00000000-0004-0000-0200-000019000000}"/>
    <hyperlink ref="N27" r:id="rId27" xr:uid="{00000000-0004-0000-0200-00001A000000}"/>
    <hyperlink ref="N28" r:id="rId28" xr:uid="{00000000-0004-0000-0200-00001B000000}"/>
    <hyperlink ref="N29" r:id="rId29" xr:uid="{00000000-0004-0000-0200-00001C000000}"/>
    <hyperlink ref="N30" r:id="rId30" xr:uid="{00000000-0004-0000-0200-00001D000000}"/>
    <hyperlink ref="N31" r:id="rId31" xr:uid="{00000000-0004-0000-0200-00001E000000}"/>
    <hyperlink ref="N32" r:id="rId32" xr:uid="{00000000-0004-0000-0200-00001F000000}"/>
    <hyperlink ref="N33" r:id="rId33" xr:uid="{00000000-0004-0000-0200-000020000000}"/>
    <hyperlink ref="N34" r:id="rId34" xr:uid="{00000000-0004-0000-0200-000021000000}"/>
    <hyperlink ref="N35" r:id="rId35" xr:uid="{00000000-0004-0000-0200-000022000000}"/>
    <hyperlink ref="N36" r:id="rId36" xr:uid="{00000000-0004-0000-0200-000023000000}"/>
    <hyperlink ref="N37" r:id="rId37" xr:uid="{00000000-0004-0000-0200-000024000000}"/>
    <hyperlink ref="N38" r:id="rId38" xr:uid="{00000000-0004-0000-0200-000025000000}"/>
    <hyperlink ref="N39" r:id="rId39" xr:uid="{00000000-0004-0000-0200-000026000000}"/>
    <hyperlink ref="M41" r:id="rId40" xr:uid="{00000000-0004-0000-0200-000027000000}"/>
    <hyperlink ref="N40" r:id="rId41" xr:uid="{00000000-0004-0000-0200-000028000000}"/>
    <hyperlink ref="N41" r:id="rId42" xr:uid="{00000000-0004-0000-0200-000029000000}"/>
    <hyperlink ref="N42" r:id="rId43" xr:uid="{00000000-0004-0000-0200-00002A000000}"/>
    <hyperlink ref="N43:N44" r:id="rId44" display="uật, văn bản của ĐHQGHN liên quan đến hoạt động của Trường (Thông báo tháng 10/2025)" xr:uid="{00000000-0004-0000-0200-00002B000000}"/>
    <hyperlink ref="M2" r:id="rId45" xr:uid="{00000000-0004-0000-0200-00002C000000}"/>
    <hyperlink ref="M3" r:id="rId46" xr:uid="{00000000-0004-0000-0200-00002D000000}"/>
    <hyperlink ref="M4" r:id="rId47" xr:uid="{00000000-0004-0000-0200-00002E000000}"/>
    <hyperlink ref="M5" r:id="rId48" xr:uid="{00000000-0004-0000-0200-00002F000000}"/>
    <hyperlink ref="M6" r:id="rId49" xr:uid="{00000000-0004-0000-0200-000030000000}"/>
    <hyperlink ref="M7" r:id="rId50" xr:uid="{00000000-0004-0000-0200-000031000000}"/>
    <hyperlink ref="M8" r:id="rId51" xr:uid="{00000000-0004-0000-0200-000032000000}"/>
    <hyperlink ref="M9" r:id="rId52" xr:uid="{00000000-0004-0000-0200-000033000000}"/>
    <hyperlink ref="M10" r:id="rId53" xr:uid="{00000000-0004-0000-0200-000034000000}"/>
    <hyperlink ref="M11" r:id="rId54" xr:uid="{00000000-0004-0000-0200-000035000000}"/>
    <hyperlink ref="M12" r:id="rId55" xr:uid="{00000000-0004-0000-0200-000036000000}"/>
    <hyperlink ref="M13" r:id="rId56" xr:uid="{00000000-0004-0000-0200-000037000000}"/>
    <hyperlink ref="M14" r:id="rId57" xr:uid="{00000000-0004-0000-0200-000038000000}"/>
    <hyperlink ref="M15" r:id="rId58" xr:uid="{00000000-0004-0000-0200-000039000000}"/>
    <hyperlink ref="M16" r:id="rId59" xr:uid="{00000000-0004-0000-0200-00003A000000}"/>
    <hyperlink ref="M17" r:id="rId60" xr:uid="{00000000-0004-0000-0200-00003B000000}"/>
    <hyperlink ref="M18" r:id="rId61" xr:uid="{00000000-0004-0000-0200-00003C000000}"/>
    <hyperlink ref="M19" r:id="rId62" xr:uid="{00000000-0004-0000-0200-00003D000000}"/>
    <hyperlink ref="M20" r:id="rId63" xr:uid="{00000000-0004-0000-0200-00003E000000}"/>
    <hyperlink ref="M21" r:id="rId64" xr:uid="{00000000-0004-0000-0200-00003F000000}"/>
    <hyperlink ref="M22" r:id="rId65" xr:uid="{00000000-0004-0000-0200-000040000000}"/>
    <hyperlink ref="M23" r:id="rId66" xr:uid="{00000000-0004-0000-0200-000041000000}"/>
    <hyperlink ref="M24" r:id="rId67" xr:uid="{00000000-0004-0000-0200-000042000000}"/>
    <hyperlink ref="M25" r:id="rId68" xr:uid="{00000000-0004-0000-0200-000043000000}"/>
    <hyperlink ref="M26" r:id="rId69" xr:uid="{00000000-0004-0000-0200-000044000000}"/>
    <hyperlink ref="M29" r:id="rId70" xr:uid="{00000000-0004-0000-0200-000045000000}"/>
    <hyperlink ref="M30" r:id="rId71" xr:uid="{00000000-0004-0000-0200-000046000000}"/>
    <hyperlink ref="M31" r:id="rId72" xr:uid="{00000000-0004-0000-0200-000047000000}"/>
    <hyperlink ref="M32" r:id="rId73" xr:uid="{00000000-0004-0000-0200-000048000000}"/>
    <hyperlink ref="M33" r:id="rId74" xr:uid="{00000000-0004-0000-0200-000049000000}"/>
    <hyperlink ref="M34" r:id="rId75" xr:uid="{00000000-0004-0000-0200-00004A000000}"/>
    <hyperlink ref="M35" r:id="rId76" xr:uid="{00000000-0004-0000-0200-00004B000000}"/>
    <hyperlink ref="M36" r:id="rId77" xr:uid="{00000000-0004-0000-0200-00004C000000}"/>
    <hyperlink ref="M37" r:id="rId78" xr:uid="{00000000-0004-0000-0200-00004D000000}"/>
    <hyperlink ref="M38" r:id="rId79" xr:uid="{00000000-0004-0000-0200-00004E000000}"/>
    <hyperlink ref="M39" r:id="rId80" xr:uid="{00000000-0004-0000-0200-00004F000000}"/>
    <hyperlink ref="M40" r:id="rId81" xr:uid="{00000000-0004-0000-0200-000050000000}"/>
    <hyperlink ref="M42" r:id="rId82" xr:uid="{00000000-0004-0000-0200-000051000000}"/>
    <hyperlink ref="M43" r:id="rId83" xr:uid="{00000000-0004-0000-0200-000052000000}"/>
    <hyperlink ref="M44" r:id="rId84" xr:uid="{00000000-0004-0000-0200-000053000000}"/>
    <hyperlink ref="M28" r:id="rId85" xr:uid="{00000000-0004-0000-0200-000054000000}"/>
    <hyperlink ref="N45" r:id="rId86" xr:uid="{00000000-0004-0000-0200-000055000000}"/>
    <hyperlink ref="N46" r:id="rId87" xr:uid="{00000000-0004-0000-0200-000056000000}"/>
    <hyperlink ref="N48" r:id="rId88" xr:uid="{00000000-0004-0000-0200-000057000000}"/>
    <hyperlink ref="N47" r:id="rId89" xr:uid="{00000000-0004-0000-0200-000058000000}"/>
    <hyperlink ref="M49" r:id="rId90" xr:uid="{00000000-0004-0000-0200-000059000000}"/>
    <hyperlink ref="M50" r:id="rId91" xr:uid="{00000000-0004-0000-0200-00005A000000}"/>
    <hyperlink ref="M51" r:id="rId92" xr:uid="{00000000-0004-0000-0200-00005B000000}"/>
    <hyperlink ref="M52" r:id="rId93" xr:uid="{00000000-0004-0000-0200-00005C000000}"/>
    <hyperlink ref="N49" r:id="rId94" xr:uid="{00000000-0004-0000-0200-00005D000000}"/>
    <hyperlink ref="N50" r:id="rId95" xr:uid="{00000000-0004-0000-0200-00005E000000}"/>
    <hyperlink ref="N51" r:id="rId96" xr:uid="{00000000-0004-0000-0200-00005F000000}"/>
    <hyperlink ref="N52" r:id="rId97" xr:uid="{00000000-0004-0000-0200-000060000000}"/>
    <hyperlink ref="N65" r:id="rId98" display="https://ueb.edu.vn/Tin-Tuc/UEB/nhung-van-ban-quy-pham-phap-luat-van-ban-cua-dhqghn-lien-quan-den-hoat-dong-cua-truong-cap-nhat-nua-sau-thang-02-2026/46074" xr:uid="{00000000-0004-0000-0200-000061000000}"/>
    <hyperlink ref="N66:N70" r:id="rId99" display="https://ueb.edu.vn/Tin-Tuc/UEB/nhung-van-ban-quy-pham-phap-luat-van-ban-cua-dhqghn-lien-quan-den-hoat-dong-cua-truong-cap-nhat-nua-sau-thang-02-2026/46074" xr:uid="{00000000-0004-0000-0200-000062000000}"/>
    <hyperlink ref="N53" r:id="rId100" xr:uid="{00000000-0004-0000-0200-000063000000}"/>
    <hyperlink ref="M53" r:id="rId101" xr:uid="{00000000-0004-0000-0200-000064000000}"/>
    <hyperlink ref="N55" r:id="rId102" xr:uid="{00000000-0004-0000-0200-000065000000}"/>
    <hyperlink ref="M59" r:id="rId103" xr:uid="{00000000-0004-0000-0200-000066000000}"/>
    <hyperlink ref="M64" r:id="rId104" xr:uid="{00000000-0004-0000-0200-000067000000}"/>
    <hyperlink ref="N54" r:id="rId105" xr:uid="{00000000-0004-0000-0200-000068000000}"/>
    <hyperlink ref="D53" r:id="rId106" xr:uid="{00000000-0004-0000-0200-000069000000}"/>
    <hyperlink ref="N71" r:id="rId107" xr:uid="{00000000-0004-0000-0200-00006A000000}"/>
    <hyperlink ref="N72:N74" r:id="rId108" display="Những văn bản quy phạm pháp luật, văn bản của ĐHQGHN liên quan đến hoạt động của Trường (cập nhật nửa đầu tháng 03/2026)" xr:uid="{00000000-0004-0000-0200-00006B000000}"/>
    <hyperlink ref="N76" r:id="rId109" xr:uid="{00000000-0004-0000-0200-00006C000000}"/>
    <hyperlink ref="N75" r:id="rId110" xr:uid="{00000000-0004-0000-0200-00006D000000}"/>
    <hyperlink ref="N77" r:id="rId111" xr:uid="{00000000-0004-0000-0200-00006E000000}"/>
    <hyperlink ref="N78" r:id="rId112" xr:uid="{00000000-0004-0000-0200-00006F000000}"/>
    <hyperlink ref="N79" r:id="rId113" xr:uid="{00000000-0004-0000-0200-000070000000}"/>
    <hyperlink ref="N80:N83" r:id="rId114" display="Những văn bản quy phạm pháp luật, văn bản của ĐHQGHN liên quan đến hoạt động của Trường (cập nhật nửa đầu tháng 05/2026)" xr:uid="{00000000-0004-0000-0200-000071000000}"/>
    <hyperlink ref="N84:N91" r:id="rId115" display="Những văn bản quy phạm pháp luật, văn bản của ĐHQGHN liên quan đến hoạt động của Trường (cập nhật nửa đầu tháng 05/2026)" xr:uid="{00000000-0004-0000-0200-000072000000}"/>
    <hyperlink ref="N92:N93" r:id="rId116" display="Những văn bản quy phạm pháp luật, văn bản của ĐHQGHN liên quan đến hoạt động của Trường (cập nhật nửa đầu tháng 05/2026)" xr:uid="{00000000-0004-0000-0200-000073000000}"/>
    <hyperlink ref="N94" r:id="rId117" xr:uid="{00000000-0004-0000-0200-000074000000}"/>
    <hyperlink ref="N109" r:id="rId118" xr:uid="{D42E5428-A8DF-487B-A0FC-7EA78B85A2A4}"/>
    <hyperlink ref="N110:N112" r:id="rId119" display="Những văn bản quy phạm pháp luật, văn bản của ĐHQGHN liên quan đến hoạt động của Trường (Thông báo tháng 08/2026)" xr:uid="{2E8E049A-0A0C-46FF-850E-4411BEFA2B16}"/>
    <hyperlink ref="M112" r:id="rId120" xr:uid="{A38F97DB-7E80-419D-87AB-2E2E82F0A433}"/>
    <hyperlink ref="M113" r:id="rId121" xr:uid="{ACA85311-98E2-4BB1-8B7A-9E76E7F1891F}"/>
    <hyperlink ref="M114" r:id="rId122" xr:uid="{F8FC9139-EA16-4CB7-8BC5-70EBA3D76F6D}"/>
  </hyperlinks>
  <pageMargins left="0.7" right="0.7" top="0.75" bottom="0.75" header="0.3" footer="0.3"/>
  <pageSetup paperSize="9" orientation="portrait" r:id="rId1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election activeCell="F25" sqref="F25"/>
    </sheetView>
  </sheetViews>
  <sheetFormatPr defaultColWidth="12.5703125" defaultRowHeight="15.75" customHeight="1"/>
  <cols>
    <col min="1" max="1" width="4.5703125" style="15" customWidth="1"/>
    <col min="2" max="2" width="43" style="15" customWidth="1"/>
    <col min="3" max="3" width="17" style="15" customWidth="1"/>
    <col min="4" max="4" width="7.28515625" style="15" customWidth="1"/>
    <col min="5" max="5" width="32.28515625" style="15" customWidth="1"/>
    <col min="6" max="6" width="12.5703125" style="15"/>
  </cols>
  <sheetData>
    <row r="1" spans="1:26" ht="15.75" customHeight="1">
      <c r="A1" s="118" t="s">
        <v>1</v>
      </c>
      <c r="B1" s="118" t="s">
        <v>531</v>
      </c>
      <c r="C1" s="118" t="s">
        <v>532</v>
      </c>
      <c r="D1" s="122" t="s">
        <v>1</v>
      </c>
      <c r="E1" s="122" t="s">
        <v>533</v>
      </c>
      <c r="F1" s="122" t="s">
        <v>532</v>
      </c>
      <c r="G1" s="1"/>
      <c r="H1" s="1"/>
      <c r="I1" s="1"/>
      <c r="J1" s="1"/>
      <c r="K1" s="1"/>
      <c r="L1" s="1"/>
      <c r="M1" s="1"/>
      <c r="N1" s="1"/>
      <c r="O1" s="1"/>
      <c r="P1" s="1"/>
      <c r="Q1" s="1"/>
      <c r="R1" s="1"/>
      <c r="S1" s="1"/>
      <c r="T1" s="1"/>
      <c r="U1" s="1"/>
      <c r="V1" s="1"/>
      <c r="W1" s="1"/>
      <c r="X1" s="1"/>
      <c r="Y1" s="1"/>
      <c r="Z1" s="1"/>
    </row>
    <row r="2" spans="1:26" ht="15.75" customHeight="1">
      <c r="A2" s="16">
        <v>1</v>
      </c>
      <c r="B2" s="119" t="s">
        <v>173</v>
      </c>
      <c r="C2" s="121" t="s">
        <v>171</v>
      </c>
      <c r="D2" s="12">
        <v>1</v>
      </c>
      <c r="E2" s="120" t="s">
        <v>534</v>
      </c>
      <c r="F2" s="12" t="s">
        <v>181</v>
      </c>
    </row>
    <row r="3" spans="1:26" ht="15.75" customHeight="1">
      <c r="A3" s="16">
        <v>2</v>
      </c>
      <c r="B3" s="119" t="s">
        <v>535</v>
      </c>
      <c r="C3" s="121" t="s">
        <v>536</v>
      </c>
      <c r="D3" s="12">
        <v>2</v>
      </c>
      <c r="E3" s="120" t="s">
        <v>537</v>
      </c>
      <c r="F3" s="12" t="s">
        <v>155</v>
      </c>
    </row>
    <row r="4" spans="1:26" ht="15.75" customHeight="1">
      <c r="A4" s="16">
        <v>3</v>
      </c>
      <c r="B4" s="119" t="s">
        <v>538</v>
      </c>
      <c r="C4" s="121" t="s">
        <v>724</v>
      </c>
      <c r="D4" s="12">
        <v>3</v>
      </c>
      <c r="E4" s="120" t="s">
        <v>539</v>
      </c>
      <c r="F4" s="12" t="s">
        <v>168</v>
      </c>
    </row>
    <row r="5" spans="1:26" ht="15.75" customHeight="1">
      <c r="A5" s="16">
        <v>4</v>
      </c>
      <c r="B5" s="119" t="s">
        <v>540</v>
      </c>
      <c r="C5" s="121" t="s">
        <v>155</v>
      </c>
      <c r="D5" s="12">
        <v>4</v>
      </c>
      <c r="E5" s="120" t="s">
        <v>541</v>
      </c>
      <c r="F5" s="12" t="s">
        <v>156</v>
      </c>
    </row>
    <row r="6" spans="1:26" ht="18" customHeight="1">
      <c r="A6" s="16">
        <v>5</v>
      </c>
      <c r="B6" s="119" t="s">
        <v>542</v>
      </c>
      <c r="C6" s="121" t="s">
        <v>527</v>
      </c>
      <c r="D6" s="12">
        <v>5</v>
      </c>
      <c r="E6" s="120" t="s">
        <v>543</v>
      </c>
      <c r="F6" s="12" t="s">
        <v>157</v>
      </c>
    </row>
    <row r="7" spans="1:26" ht="15.75" customHeight="1">
      <c r="A7" s="16">
        <v>6</v>
      </c>
      <c r="B7" s="119" t="s">
        <v>544</v>
      </c>
      <c r="C7" s="121" t="s">
        <v>154</v>
      </c>
      <c r="D7" s="12">
        <v>6</v>
      </c>
      <c r="E7" s="120" t="s">
        <v>545</v>
      </c>
      <c r="F7" s="12" t="s">
        <v>154</v>
      </c>
    </row>
    <row r="8" spans="1:26" ht="15.75" customHeight="1">
      <c r="A8" s="16">
        <v>7</v>
      </c>
      <c r="B8" s="119" t="s">
        <v>546</v>
      </c>
      <c r="C8" s="121" t="s">
        <v>161</v>
      </c>
      <c r="D8" s="12">
        <v>7</v>
      </c>
      <c r="E8" s="120" t="s">
        <v>547</v>
      </c>
      <c r="F8" s="12" t="s">
        <v>161</v>
      </c>
    </row>
    <row r="9" spans="1:26" ht="15.75" customHeight="1">
      <c r="A9" s="16">
        <v>8</v>
      </c>
      <c r="B9" s="119" t="s">
        <v>548</v>
      </c>
      <c r="C9" s="121" t="s">
        <v>150</v>
      </c>
      <c r="D9" s="12">
        <v>8</v>
      </c>
      <c r="E9" s="120" t="s">
        <v>549</v>
      </c>
      <c r="F9" s="12" t="s">
        <v>150</v>
      </c>
    </row>
    <row r="10" spans="1:26" ht="15.75" customHeight="1">
      <c r="A10" s="16">
        <v>9</v>
      </c>
      <c r="B10" s="119" t="s">
        <v>550</v>
      </c>
      <c r="C10" s="121" t="s">
        <v>165</v>
      </c>
      <c r="D10" s="12">
        <v>9</v>
      </c>
      <c r="E10" s="120" t="s">
        <v>551</v>
      </c>
      <c r="F10" s="12" t="s">
        <v>523</v>
      </c>
    </row>
    <row r="11" spans="1:26" ht="15.75" customHeight="1">
      <c r="A11" s="16">
        <v>10</v>
      </c>
      <c r="B11" s="119" t="s">
        <v>727</v>
      </c>
      <c r="C11" s="121" t="s">
        <v>530</v>
      </c>
      <c r="D11" s="12">
        <v>10</v>
      </c>
      <c r="E11" s="120" t="s">
        <v>552</v>
      </c>
      <c r="F11" s="12" t="s">
        <v>163</v>
      </c>
    </row>
    <row r="12" spans="1:26" ht="15.75" customHeight="1">
      <c r="A12" s="16">
        <v>11</v>
      </c>
      <c r="B12" s="119" t="s">
        <v>553</v>
      </c>
      <c r="C12" s="121" t="s">
        <v>162</v>
      </c>
      <c r="D12" s="12">
        <v>11</v>
      </c>
      <c r="E12" s="120" t="s">
        <v>554</v>
      </c>
      <c r="F12" s="12" t="s">
        <v>165</v>
      </c>
    </row>
    <row r="13" spans="1:26" ht="15.75" customHeight="1">
      <c r="A13" s="17">
        <v>12</v>
      </c>
      <c r="B13" s="133" t="s">
        <v>732</v>
      </c>
      <c r="C13" s="134" t="s">
        <v>728</v>
      </c>
      <c r="D13" s="12">
        <v>12</v>
      </c>
      <c r="E13" s="120" t="s">
        <v>555</v>
      </c>
      <c r="F13" s="12" t="s">
        <v>162</v>
      </c>
    </row>
    <row r="14" spans="1:26" ht="15.75" customHeight="1">
      <c r="A14" s="12">
        <v>13</v>
      </c>
      <c r="B14" s="135" t="s">
        <v>1016</v>
      </c>
      <c r="C14" s="12" t="s">
        <v>528</v>
      </c>
      <c r="D14" s="12">
        <v>13</v>
      </c>
      <c r="E14" s="120" t="s">
        <v>725</v>
      </c>
      <c r="F14" s="12" t="s">
        <v>164</v>
      </c>
    </row>
    <row r="15" spans="1:26" ht="16.5" customHeight="1">
      <c r="A15" s="19"/>
      <c r="C15" s="19"/>
      <c r="D15" s="12">
        <v>14</v>
      </c>
      <c r="E15" s="10" t="s">
        <v>726</v>
      </c>
      <c r="F15" s="12" t="s">
        <v>167</v>
      </c>
    </row>
    <row r="16" spans="1:26" ht="15.75" customHeight="1">
      <c r="A16" s="19"/>
      <c r="C16" s="19"/>
      <c r="D16" s="12">
        <v>15</v>
      </c>
      <c r="E16" s="20" t="s">
        <v>729</v>
      </c>
      <c r="F16" s="12" t="s">
        <v>178</v>
      </c>
    </row>
    <row r="17" spans="1:6" ht="15.75" customHeight="1">
      <c r="A17" s="19"/>
      <c r="C17" s="19"/>
      <c r="D17" s="12">
        <v>16</v>
      </c>
      <c r="E17" s="20" t="s">
        <v>730</v>
      </c>
      <c r="F17" s="12" t="s">
        <v>179</v>
      </c>
    </row>
    <row r="18" spans="1:6" ht="15.75" customHeight="1">
      <c r="A18" s="19"/>
      <c r="C18" s="19"/>
      <c r="D18" s="12">
        <v>17</v>
      </c>
      <c r="E18" s="20" t="s">
        <v>731</v>
      </c>
      <c r="F18" s="12" t="s">
        <v>731</v>
      </c>
    </row>
    <row r="19" spans="1:6" ht="15.75" customHeight="1">
      <c r="A19" s="19"/>
      <c r="C19" s="19"/>
      <c r="D19" s="12">
        <v>18</v>
      </c>
      <c r="E19" s="20" t="s">
        <v>572</v>
      </c>
      <c r="F19" s="12" t="s">
        <v>177</v>
      </c>
    </row>
    <row r="20" spans="1:6" ht="15.75" customHeight="1">
      <c r="A20" s="19"/>
      <c r="C20" s="19"/>
      <c r="D20" s="12">
        <v>19</v>
      </c>
      <c r="E20" s="20" t="s">
        <v>20</v>
      </c>
      <c r="F20" s="12" t="s">
        <v>529</v>
      </c>
    </row>
    <row r="21" spans="1:6" ht="15.75" customHeight="1">
      <c r="A21" s="19"/>
      <c r="C21" s="19"/>
      <c r="D21" s="19"/>
      <c r="F21" s="19"/>
    </row>
    <row r="22" spans="1:6" ht="15.75" customHeight="1">
      <c r="A22" s="19"/>
      <c r="C22" s="19"/>
      <c r="D22" s="19"/>
      <c r="F22" s="19"/>
    </row>
    <row r="23" spans="1:6" ht="15.75" customHeight="1">
      <c r="A23" s="19"/>
      <c r="C23" s="19"/>
      <c r="D23" s="19"/>
      <c r="F23" s="19"/>
    </row>
    <row r="24" spans="1:6" ht="15.75" customHeight="1">
      <c r="A24" s="19"/>
      <c r="C24" s="19"/>
      <c r="D24" s="19"/>
      <c r="F24" s="19"/>
    </row>
    <row r="25" spans="1:6" ht="15.75" customHeight="1">
      <c r="A25" s="19"/>
      <c r="C25" s="19"/>
      <c r="D25" s="19"/>
      <c r="F25" s="19"/>
    </row>
    <row r="26" spans="1:6" ht="15.75" customHeight="1">
      <c r="A26" s="19"/>
      <c r="C26" s="19"/>
      <c r="D26" s="19"/>
      <c r="F26" s="19"/>
    </row>
    <row r="27" spans="1:6" ht="15.75" customHeight="1">
      <c r="A27" s="19"/>
      <c r="C27" s="19"/>
      <c r="D27" s="19"/>
      <c r="F27" s="19"/>
    </row>
    <row r="28" spans="1:6" ht="15.75" customHeight="1">
      <c r="A28" s="19"/>
      <c r="C28" s="19"/>
      <c r="D28" s="19"/>
      <c r="F28" s="19"/>
    </row>
    <row r="29" spans="1:6" ht="15.75" customHeight="1">
      <c r="A29" s="19"/>
      <c r="C29" s="19"/>
      <c r="D29" s="19"/>
      <c r="F29" s="19"/>
    </row>
    <row r="30" spans="1:6" ht="15.75" customHeight="1">
      <c r="A30" s="19"/>
      <c r="C30" s="19"/>
      <c r="D30" s="19"/>
      <c r="F30" s="19"/>
    </row>
    <row r="31" spans="1:6" ht="15.75" customHeight="1">
      <c r="A31" s="19"/>
      <c r="C31" s="19"/>
      <c r="D31" s="19"/>
      <c r="F31" s="19"/>
    </row>
    <row r="32" spans="1:6" ht="15.75" customHeight="1">
      <c r="A32" s="19"/>
      <c r="C32" s="19"/>
      <c r="D32" s="19"/>
      <c r="F32" s="19"/>
    </row>
    <row r="33" spans="1:6" ht="15.75" customHeight="1">
      <c r="A33" s="19"/>
      <c r="C33" s="19"/>
      <c r="D33" s="19"/>
      <c r="F33" s="19"/>
    </row>
    <row r="34" spans="1:6" ht="15.75" customHeight="1">
      <c r="A34" s="19"/>
      <c r="C34" s="19"/>
      <c r="D34" s="19"/>
      <c r="F34" s="19"/>
    </row>
    <row r="35" spans="1:6" ht="15.75" customHeight="1">
      <c r="A35" s="19"/>
      <c r="C35" s="19"/>
      <c r="D35" s="19"/>
      <c r="F35" s="19"/>
    </row>
    <row r="36" spans="1:6" ht="15.75" customHeight="1">
      <c r="A36" s="19"/>
      <c r="C36" s="19"/>
      <c r="D36" s="19"/>
      <c r="F36" s="19"/>
    </row>
    <row r="37" spans="1:6" ht="15.75" customHeight="1">
      <c r="A37" s="19"/>
      <c r="C37" s="19"/>
      <c r="D37" s="19"/>
      <c r="F37" s="19"/>
    </row>
    <row r="38" spans="1:6" ht="15.75" customHeight="1">
      <c r="A38" s="19"/>
      <c r="C38" s="19"/>
      <c r="D38" s="19"/>
      <c r="F38" s="19"/>
    </row>
    <row r="39" spans="1:6" ht="15.75" customHeight="1">
      <c r="A39" s="19"/>
      <c r="C39" s="19"/>
      <c r="D39" s="19"/>
      <c r="F39" s="19"/>
    </row>
    <row r="40" spans="1:6" ht="15.75" customHeight="1">
      <c r="A40" s="19"/>
      <c r="C40" s="19"/>
      <c r="D40" s="19"/>
      <c r="F40" s="19"/>
    </row>
    <row r="41" spans="1:6" ht="15.75" customHeight="1">
      <c r="A41" s="19"/>
      <c r="C41" s="19"/>
      <c r="D41" s="19"/>
      <c r="F41" s="19"/>
    </row>
    <row r="42" spans="1:6" ht="15.75" customHeight="1">
      <c r="A42" s="19"/>
      <c r="C42" s="19"/>
      <c r="D42" s="19"/>
      <c r="F42" s="19"/>
    </row>
    <row r="43" spans="1:6" ht="15.75" customHeight="1">
      <c r="A43" s="19"/>
      <c r="C43" s="19"/>
      <c r="D43" s="19"/>
      <c r="F43" s="19"/>
    </row>
    <row r="44" spans="1:6" ht="15.75" customHeight="1">
      <c r="A44" s="19"/>
      <c r="C44" s="19"/>
      <c r="D44" s="19"/>
      <c r="F44" s="19"/>
    </row>
    <row r="45" spans="1:6" ht="15.75" customHeight="1">
      <c r="A45" s="19"/>
      <c r="C45" s="19"/>
      <c r="D45" s="19"/>
      <c r="F45" s="19"/>
    </row>
    <row r="46" spans="1:6" ht="15.75" customHeight="1">
      <c r="A46" s="19"/>
      <c r="C46" s="19"/>
      <c r="D46" s="19"/>
      <c r="F46" s="19"/>
    </row>
    <row r="47" spans="1:6" ht="15.75" customHeight="1">
      <c r="A47" s="19"/>
      <c r="C47" s="19"/>
      <c r="D47" s="19"/>
      <c r="F47" s="19"/>
    </row>
    <row r="48" spans="1:6" ht="15.75" customHeight="1">
      <c r="A48" s="19"/>
      <c r="C48" s="19"/>
      <c r="D48" s="19"/>
      <c r="F48" s="19"/>
    </row>
    <row r="49" spans="1:6" ht="15.75" customHeight="1">
      <c r="A49" s="19"/>
      <c r="C49" s="19"/>
      <c r="D49" s="19"/>
      <c r="F49" s="19"/>
    </row>
    <row r="50" spans="1:6" ht="15.75" customHeight="1">
      <c r="A50" s="19"/>
      <c r="C50" s="19"/>
      <c r="D50" s="19"/>
      <c r="F50" s="19"/>
    </row>
    <row r="51" spans="1:6" ht="15.75" customHeight="1">
      <c r="A51" s="19"/>
      <c r="C51" s="19"/>
      <c r="D51" s="19"/>
      <c r="F51" s="19"/>
    </row>
    <row r="52" spans="1:6" ht="15.75" customHeight="1">
      <c r="A52" s="19"/>
      <c r="C52" s="19"/>
      <c r="D52" s="19"/>
      <c r="F52" s="19"/>
    </row>
    <row r="53" spans="1:6" ht="15.75" customHeight="1">
      <c r="A53" s="19"/>
      <c r="C53" s="19"/>
      <c r="D53" s="19"/>
      <c r="F53" s="19"/>
    </row>
    <row r="54" spans="1:6" ht="15.75" customHeight="1">
      <c r="A54" s="19"/>
      <c r="C54" s="19"/>
      <c r="D54" s="19"/>
      <c r="F54" s="19"/>
    </row>
    <row r="55" spans="1:6" ht="15.75" customHeight="1">
      <c r="A55" s="19"/>
      <c r="C55" s="19"/>
      <c r="D55" s="19"/>
      <c r="F55" s="19"/>
    </row>
    <row r="56" spans="1:6" ht="15.75" customHeight="1">
      <c r="A56" s="19"/>
      <c r="C56" s="19"/>
      <c r="D56" s="19"/>
      <c r="F56" s="19"/>
    </row>
    <row r="57" spans="1:6" ht="15.75" customHeight="1">
      <c r="A57" s="19"/>
      <c r="C57" s="19"/>
      <c r="D57" s="19"/>
      <c r="F57" s="19"/>
    </row>
    <row r="58" spans="1:6" ht="15.75" customHeight="1">
      <c r="A58" s="19"/>
      <c r="C58" s="19"/>
      <c r="D58" s="19"/>
      <c r="F58" s="19"/>
    </row>
    <row r="59" spans="1:6" ht="15.75" customHeight="1">
      <c r="A59" s="19"/>
      <c r="C59" s="19"/>
      <c r="D59" s="19"/>
      <c r="F59" s="19"/>
    </row>
    <row r="60" spans="1:6" ht="15.75" customHeight="1">
      <c r="A60" s="19"/>
      <c r="C60" s="19"/>
      <c r="D60" s="19"/>
      <c r="F60" s="19"/>
    </row>
    <row r="61" spans="1:6" ht="15.75" customHeight="1">
      <c r="A61" s="19"/>
      <c r="C61" s="19"/>
      <c r="D61" s="19"/>
      <c r="F61" s="19"/>
    </row>
    <row r="62" spans="1:6" ht="15.75" customHeight="1">
      <c r="A62" s="19"/>
      <c r="C62" s="19"/>
      <c r="D62" s="19"/>
      <c r="F62" s="19"/>
    </row>
    <row r="63" spans="1:6" ht="15.75" customHeight="1">
      <c r="A63" s="19"/>
      <c r="C63" s="19"/>
      <c r="D63" s="19"/>
      <c r="F63" s="19"/>
    </row>
    <row r="64" spans="1:6" ht="15.75" customHeight="1">
      <c r="A64" s="19"/>
      <c r="C64" s="19"/>
      <c r="D64" s="19"/>
      <c r="F64" s="19"/>
    </row>
    <row r="65" spans="1:6" ht="15.75" customHeight="1">
      <c r="A65" s="19"/>
      <c r="C65" s="19"/>
      <c r="D65" s="19"/>
      <c r="F65" s="19"/>
    </row>
    <row r="66" spans="1:6" ht="15.75" customHeight="1">
      <c r="A66" s="19"/>
      <c r="C66" s="19"/>
      <c r="D66" s="19"/>
      <c r="F66" s="19"/>
    </row>
    <row r="67" spans="1:6" ht="15.75" customHeight="1">
      <c r="A67" s="19"/>
      <c r="C67" s="19"/>
      <c r="D67" s="19"/>
      <c r="F67" s="19"/>
    </row>
    <row r="68" spans="1:6" ht="15.75" customHeight="1">
      <c r="A68" s="19"/>
      <c r="C68" s="19"/>
      <c r="D68" s="19"/>
      <c r="F68" s="19"/>
    </row>
    <row r="69" spans="1:6" ht="15.75" customHeight="1">
      <c r="A69" s="19"/>
      <c r="C69" s="19"/>
      <c r="D69" s="19"/>
      <c r="F69" s="19"/>
    </row>
    <row r="70" spans="1:6" ht="15.75" customHeight="1">
      <c r="A70" s="19"/>
      <c r="C70" s="19"/>
      <c r="D70" s="19"/>
      <c r="F70" s="19"/>
    </row>
    <row r="71" spans="1:6" ht="15.75" customHeight="1">
      <c r="A71" s="19"/>
      <c r="C71" s="19"/>
      <c r="D71" s="19"/>
      <c r="F71" s="19"/>
    </row>
    <row r="72" spans="1:6" ht="15.75" customHeight="1">
      <c r="A72" s="19"/>
      <c r="C72" s="19"/>
      <c r="D72" s="19"/>
      <c r="F72" s="19"/>
    </row>
    <row r="73" spans="1:6" ht="15.75" customHeight="1">
      <c r="A73" s="19"/>
      <c r="C73" s="19"/>
      <c r="D73" s="19"/>
      <c r="F73" s="19"/>
    </row>
    <row r="74" spans="1:6" ht="15.75" customHeight="1">
      <c r="A74" s="19"/>
      <c r="C74" s="19"/>
      <c r="D74" s="19"/>
      <c r="F74" s="19"/>
    </row>
    <row r="75" spans="1:6" ht="15.75" customHeight="1">
      <c r="A75" s="19"/>
      <c r="C75" s="19"/>
      <c r="D75" s="19"/>
      <c r="F75" s="19"/>
    </row>
    <row r="76" spans="1:6" ht="15.75" customHeight="1">
      <c r="A76" s="19"/>
      <c r="C76" s="19"/>
      <c r="D76" s="19"/>
      <c r="F76" s="19"/>
    </row>
    <row r="77" spans="1:6" ht="15.75" customHeight="1">
      <c r="A77" s="19"/>
      <c r="C77" s="19"/>
      <c r="D77" s="19"/>
      <c r="F77" s="19"/>
    </row>
    <row r="78" spans="1:6" ht="15.75" customHeight="1">
      <c r="A78" s="19"/>
      <c r="C78" s="19"/>
      <c r="D78" s="19"/>
      <c r="F78" s="19"/>
    </row>
    <row r="79" spans="1:6" ht="15.75" customHeight="1">
      <c r="A79" s="19"/>
      <c r="C79" s="19"/>
      <c r="D79" s="19"/>
      <c r="F79" s="19"/>
    </row>
    <row r="80" spans="1:6" ht="15.75" customHeight="1">
      <c r="A80" s="19"/>
      <c r="C80" s="19"/>
      <c r="D80" s="19"/>
      <c r="F80" s="19"/>
    </row>
    <row r="81" spans="1:6" ht="15.75" customHeight="1">
      <c r="A81" s="19"/>
      <c r="C81" s="19"/>
      <c r="D81" s="19"/>
      <c r="F81" s="19"/>
    </row>
    <row r="82" spans="1:6" ht="15.75" customHeight="1">
      <c r="A82" s="19"/>
      <c r="C82" s="19"/>
      <c r="D82" s="19"/>
      <c r="F82" s="19"/>
    </row>
    <row r="83" spans="1:6" ht="15.75" customHeight="1">
      <c r="A83" s="19"/>
      <c r="C83" s="19"/>
      <c r="D83" s="19"/>
      <c r="F83" s="19"/>
    </row>
    <row r="84" spans="1:6" ht="15.75" customHeight="1">
      <c r="A84" s="19"/>
      <c r="C84" s="19"/>
      <c r="D84" s="19"/>
      <c r="F84" s="19"/>
    </row>
    <row r="85" spans="1:6" ht="15.75" customHeight="1">
      <c r="A85" s="19"/>
      <c r="C85" s="19"/>
      <c r="D85" s="19"/>
      <c r="F85" s="19"/>
    </row>
    <row r="86" spans="1:6" ht="15.75" customHeight="1">
      <c r="A86" s="19"/>
      <c r="C86" s="19"/>
      <c r="D86" s="19"/>
      <c r="F86" s="19"/>
    </row>
    <row r="87" spans="1:6" ht="15.75" customHeight="1">
      <c r="A87" s="19"/>
      <c r="C87" s="19"/>
      <c r="D87" s="19"/>
      <c r="F87" s="19"/>
    </row>
    <row r="88" spans="1:6" ht="15.75" customHeight="1">
      <c r="A88" s="19"/>
      <c r="C88" s="19"/>
      <c r="D88" s="19"/>
      <c r="F88" s="19"/>
    </row>
    <row r="89" spans="1:6" ht="15.75" customHeight="1">
      <c r="A89" s="19"/>
      <c r="C89" s="19"/>
      <c r="D89" s="19"/>
      <c r="F89" s="19"/>
    </row>
    <row r="90" spans="1:6" ht="15.75" customHeight="1">
      <c r="A90" s="19"/>
      <c r="C90" s="19"/>
      <c r="D90" s="19"/>
      <c r="F90" s="19"/>
    </row>
    <row r="91" spans="1:6" ht="15.75" customHeight="1">
      <c r="A91" s="19"/>
      <c r="C91" s="19"/>
      <c r="D91" s="19"/>
      <c r="F91" s="19"/>
    </row>
    <row r="92" spans="1:6" ht="15.75" customHeight="1">
      <c r="A92" s="19"/>
      <c r="C92" s="19"/>
      <c r="D92" s="19"/>
      <c r="F92" s="19"/>
    </row>
    <row r="93" spans="1:6" ht="15.75" customHeight="1">
      <c r="A93" s="19"/>
      <c r="C93" s="19"/>
      <c r="D93" s="19"/>
      <c r="F93" s="19"/>
    </row>
    <row r="94" spans="1:6" ht="15.75" customHeight="1">
      <c r="A94" s="19"/>
      <c r="C94" s="19"/>
      <c r="D94" s="19"/>
      <c r="F94" s="19"/>
    </row>
    <row r="95" spans="1:6" ht="15.75" customHeight="1">
      <c r="A95" s="19"/>
      <c r="C95" s="19"/>
      <c r="D95" s="19"/>
      <c r="F95" s="19"/>
    </row>
    <row r="96" spans="1:6" ht="15.75" customHeight="1">
      <c r="A96" s="19"/>
      <c r="C96" s="19"/>
      <c r="D96" s="19"/>
      <c r="F96" s="19"/>
    </row>
    <row r="97" spans="1:6" ht="15.75" customHeight="1">
      <c r="A97" s="19"/>
      <c r="C97" s="19"/>
      <c r="D97" s="19"/>
      <c r="F97" s="19"/>
    </row>
    <row r="98" spans="1:6" ht="15.75" customHeight="1">
      <c r="A98" s="19"/>
      <c r="C98" s="19"/>
      <c r="D98" s="19"/>
      <c r="F98" s="19"/>
    </row>
    <row r="99" spans="1:6" ht="15.75" customHeight="1">
      <c r="A99" s="19"/>
      <c r="C99" s="19"/>
      <c r="D99" s="19"/>
      <c r="F99" s="19"/>
    </row>
    <row r="100" spans="1:6" ht="15.75" customHeight="1">
      <c r="A100" s="19"/>
      <c r="C100" s="19"/>
      <c r="D100" s="19"/>
      <c r="F100" s="19"/>
    </row>
    <row r="101" spans="1:6" ht="15.75" customHeight="1">
      <c r="A101" s="19"/>
      <c r="C101" s="19"/>
      <c r="D101" s="19"/>
      <c r="F101" s="19"/>
    </row>
    <row r="102" spans="1:6" ht="15.75" customHeight="1">
      <c r="A102" s="19"/>
      <c r="C102" s="19"/>
      <c r="D102" s="19"/>
      <c r="F102" s="19"/>
    </row>
    <row r="103" spans="1:6" ht="15.75" customHeight="1">
      <c r="A103" s="19"/>
      <c r="C103" s="19"/>
      <c r="D103" s="19"/>
      <c r="F103" s="19"/>
    </row>
    <row r="104" spans="1:6" ht="15.75" customHeight="1">
      <c r="A104" s="19"/>
      <c r="C104" s="19"/>
      <c r="D104" s="19"/>
      <c r="F104" s="19"/>
    </row>
    <row r="105" spans="1:6" ht="15.75" customHeight="1">
      <c r="A105" s="19"/>
      <c r="C105" s="19"/>
      <c r="D105" s="19"/>
      <c r="F105" s="19"/>
    </row>
    <row r="106" spans="1:6" ht="15.75" customHeight="1">
      <c r="A106" s="19"/>
      <c r="C106" s="19"/>
      <c r="D106" s="19"/>
      <c r="F106" s="19"/>
    </row>
    <row r="107" spans="1:6" ht="15.75" customHeight="1">
      <c r="A107" s="19"/>
      <c r="C107" s="19"/>
      <c r="D107" s="19"/>
      <c r="F107" s="19"/>
    </row>
    <row r="108" spans="1:6" ht="15.75" customHeight="1">
      <c r="A108" s="19"/>
      <c r="C108" s="19"/>
      <c r="D108" s="19"/>
      <c r="F108" s="19"/>
    </row>
    <row r="109" spans="1:6" ht="15.75" customHeight="1">
      <c r="A109" s="19"/>
      <c r="C109" s="19"/>
      <c r="D109" s="19"/>
      <c r="F109" s="19"/>
    </row>
    <row r="110" spans="1:6" ht="15.75" customHeight="1">
      <c r="A110" s="19"/>
      <c r="C110" s="19"/>
      <c r="D110" s="19"/>
      <c r="F110" s="19"/>
    </row>
    <row r="111" spans="1:6" ht="15.75" customHeight="1">
      <c r="A111" s="19"/>
      <c r="C111" s="19"/>
      <c r="D111" s="19"/>
      <c r="F111" s="19"/>
    </row>
    <row r="112" spans="1:6" ht="15.75" customHeight="1">
      <c r="A112" s="19"/>
      <c r="C112" s="19"/>
      <c r="D112" s="19"/>
      <c r="F112" s="19"/>
    </row>
    <row r="113" spans="1:6" ht="15.75" customHeight="1">
      <c r="A113" s="19"/>
      <c r="C113" s="19"/>
      <c r="D113" s="19"/>
      <c r="F113" s="19"/>
    </row>
    <row r="114" spans="1:6" ht="15.75" customHeight="1">
      <c r="A114" s="19"/>
      <c r="C114" s="19"/>
      <c r="D114" s="19"/>
      <c r="F114" s="19"/>
    </row>
    <row r="115" spans="1:6" ht="15.75" customHeight="1">
      <c r="A115" s="19"/>
      <c r="C115" s="19"/>
      <c r="D115" s="19"/>
      <c r="F115" s="19"/>
    </row>
    <row r="116" spans="1:6" ht="15.75" customHeight="1">
      <c r="A116" s="19"/>
      <c r="C116" s="19"/>
      <c r="D116" s="19"/>
      <c r="F116" s="19"/>
    </row>
    <row r="117" spans="1:6" ht="15.75" customHeight="1">
      <c r="A117" s="19"/>
      <c r="C117" s="19"/>
      <c r="D117" s="19"/>
      <c r="F117" s="19"/>
    </row>
    <row r="118" spans="1:6" ht="15.75" customHeight="1">
      <c r="A118" s="19"/>
      <c r="C118" s="19"/>
      <c r="D118" s="19"/>
      <c r="F118" s="19"/>
    </row>
    <row r="119" spans="1:6" ht="15.75" customHeight="1">
      <c r="A119" s="19"/>
      <c r="C119" s="19"/>
      <c r="D119" s="19"/>
      <c r="F119" s="19"/>
    </row>
    <row r="120" spans="1:6" ht="15.75" customHeight="1">
      <c r="A120" s="19"/>
      <c r="C120" s="19"/>
      <c r="D120" s="19"/>
      <c r="F120" s="19"/>
    </row>
    <row r="121" spans="1:6" ht="15.75" customHeight="1">
      <c r="A121" s="19"/>
      <c r="C121" s="19"/>
      <c r="D121" s="19"/>
      <c r="F121" s="19"/>
    </row>
    <row r="122" spans="1:6" ht="15.75" customHeight="1">
      <c r="A122" s="19"/>
      <c r="C122" s="19"/>
      <c r="D122" s="19"/>
      <c r="F122" s="19"/>
    </row>
    <row r="123" spans="1:6" ht="15.75" customHeight="1">
      <c r="A123" s="19"/>
      <c r="C123" s="19"/>
      <c r="D123" s="19"/>
      <c r="F123" s="19"/>
    </row>
    <row r="124" spans="1:6" ht="15.75" customHeight="1">
      <c r="A124" s="19"/>
      <c r="C124" s="19"/>
      <c r="D124" s="19"/>
      <c r="F124" s="19"/>
    </row>
    <row r="125" spans="1:6" ht="15.75" customHeight="1">
      <c r="A125" s="19"/>
      <c r="C125" s="19"/>
      <c r="D125" s="19"/>
      <c r="F125" s="19"/>
    </row>
    <row r="126" spans="1:6" ht="15.75" customHeight="1">
      <c r="A126" s="19"/>
      <c r="C126" s="19"/>
      <c r="D126" s="19"/>
      <c r="F126" s="19"/>
    </row>
    <row r="127" spans="1:6" ht="15.75" customHeight="1">
      <c r="A127" s="19"/>
      <c r="C127" s="19"/>
      <c r="D127" s="19"/>
      <c r="F127" s="19"/>
    </row>
    <row r="128" spans="1:6" ht="15.75" customHeight="1">
      <c r="A128" s="19"/>
      <c r="C128" s="19"/>
      <c r="D128" s="19"/>
      <c r="F128" s="19"/>
    </row>
    <row r="129" spans="1:6" ht="15.75" customHeight="1">
      <c r="A129" s="19"/>
      <c r="C129" s="19"/>
      <c r="D129" s="19"/>
      <c r="F129" s="19"/>
    </row>
    <row r="130" spans="1:6" ht="15.75" customHeight="1">
      <c r="A130" s="19"/>
      <c r="C130" s="19"/>
      <c r="D130" s="19"/>
      <c r="F130" s="19"/>
    </row>
    <row r="131" spans="1:6" ht="15.75" customHeight="1">
      <c r="A131" s="19"/>
      <c r="C131" s="19"/>
      <c r="D131" s="19"/>
      <c r="F131" s="19"/>
    </row>
    <row r="132" spans="1:6" ht="15.75" customHeight="1">
      <c r="A132" s="19"/>
      <c r="C132" s="19"/>
      <c r="D132" s="19"/>
      <c r="F132" s="19"/>
    </row>
    <row r="133" spans="1:6" ht="15.75" customHeight="1">
      <c r="A133" s="19"/>
      <c r="C133" s="19"/>
      <c r="D133" s="19"/>
      <c r="F133" s="19"/>
    </row>
    <row r="134" spans="1:6" ht="15.75" customHeight="1">
      <c r="A134" s="19"/>
      <c r="C134" s="19"/>
      <c r="D134" s="19"/>
      <c r="F134" s="19"/>
    </row>
    <row r="135" spans="1:6" ht="15.75" customHeight="1">
      <c r="A135" s="19"/>
      <c r="C135" s="19"/>
      <c r="D135" s="19"/>
      <c r="F135" s="19"/>
    </row>
    <row r="136" spans="1:6" ht="15.75" customHeight="1">
      <c r="A136" s="19"/>
      <c r="C136" s="19"/>
      <c r="D136" s="19"/>
      <c r="F136" s="19"/>
    </row>
    <row r="137" spans="1:6" ht="15.75" customHeight="1">
      <c r="A137" s="19"/>
      <c r="C137" s="19"/>
      <c r="D137" s="19"/>
      <c r="F137" s="19"/>
    </row>
    <row r="138" spans="1:6" ht="15.75" customHeight="1">
      <c r="A138" s="19"/>
      <c r="C138" s="19"/>
      <c r="D138" s="19"/>
      <c r="F138" s="19"/>
    </row>
    <row r="139" spans="1:6" ht="15.75" customHeight="1">
      <c r="A139" s="19"/>
      <c r="C139" s="19"/>
      <c r="D139" s="19"/>
      <c r="F139" s="19"/>
    </row>
    <row r="140" spans="1:6" ht="15.75" customHeight="1">
      <c r="A140" s="19"/>
      <c r="C140" s="19"/>
      <c r="D140" s="19"/>
      <c r="F140" s="19"/>
    </row>
    <row r="141" spans="1:6" ht="15.75" customHeight="1">
      <c r="A141" s="19"/>
      <c r="C141" s="19"/>
      <c r="D141" s="19"/>
      <c r="F141" s="19"/>
    </row>
    <row r="142" spans="1:6" ht="15.75" customHeight="1">
      <c r="A142" s="19"/>
      <c r="C142" s="19"/>
      <c r="D142" s="19"/>
      <c r="F142" s="19"/>
    </row>
    <row r="143" spans="1:6" ht="15.75" customHeight="1">
      <c r="A143" s="19"/>
      <c r="C143" s="19"/>
      <c r="D143" s="19"/>
      <c r="F143" s="19"/>
    </row>
    <row r="144" spans="1:6" ht="15.75" customHeight="1">
      <c r="A144" s="19"/>
      <c r="C144" s="19"/>
      <c r="D144" s="19"/>
      <c r="F144" s="19"/>
    </row>
    <row r="145" spans="1:6" ht="15.75" customHeight="1">
      <c r="A145" s="19"/>
      <c r="C145" s="19"/>
      <c r="D145" s="19"/>
      <c r="F145" s="19"/>
    </row>
    <row r="146" spans="1:6" ht="15.75" customHeight="1">
      <c r="A146" s="19"/>
      <c r="C146" s="19"/>
      <c r="D146" s="19"/>
      <c r="F146" s="19"/>
    </row>
    <row r="147" spans="1:6" ht="15.75" customHeight="1">
      <c r="A147" s="19"/>
      <c r="C147" s="19"/>
      <c r="D147" s="19"/>
      <c r="F147" s="19"/>
    </row>
    <row r="148" spans="1:6" ht="15.75" customHeight="1">
      <c r="A148" s="19"/>
      <c r="C148" s="19"/>
      <c r="D148" s="19"/>
      <c r="F148" s="19"/>
    </row>
    <row r="149" spans="1:6" ht="15.75" customHeight="1">
      <c r="A149" s="19"/>
      <c r="C149" s="19"/>
      <c r="D149" s="19"/>
      <c r="F149" s="19"/>
    </row>
    <row r="150" spans="1:6" ht="15.75" customHeight="1">
      <c r="A150" s="19"/>
      <c r="C150" s="19"/>
      <c r="D150" s="19"/>
      <c r="F150" s="19"/>
    </row>
    <row r="151" spans="1:6" ht="15.75" customHeight="1">
      <c r="A151" s="19"/>
      <c r="C151" s="19"/>
      <c r="D151" s="19"/>
      <c r="F151" s="19"/>
    </row>
    <row r="152" spans="1:6" ht="15.75" customHeight="1">
      <c r="A152" s="19"/>
      <c r="C152" s="19"/>
      <c r="D152" s="19"/>
      <c r="F152" s="19"/>
    </row>
    <row r="153" spans="1:6" ht="15.75" customHeight="1">
      <c r="A153" s="19"/>
      <c r="C153" s="19"/>
      <c r="D153" s="19"/>
      <c r="F153" s="19"/>
    </row>
    <row r="154" spans="1:6" ht="15.75" customHeight="1">
      <c r="A154" s="19"/>
      <c r="C154" s="19"/>
      <c r="D154" s="19"/>
      <c r="F154" s="19"/>
    </row>
    <row r="155" spans="1:6" ht="15.75" customHeight="1">
      <c r="A155" s="19"/>
      <c r="C155" s="19"/>
      <c r="D155" s="19"/>
      <c r="F155" s="19"/>
    </row>
    <row r="156" spans="1:6" ht="15.75" customHeight="1">
      <c r="A156" s="19"/>
      <c r="C156" s="19"/>
      <c r="D156" s="19"/>
      <c r="F156" s="19"/>
    </row>
    <row r="157" spans="1:6" ht="15.75" customHeight="1">
      <c r="A157" s="19"/>
      <c r="C157" s="19"/>
      <c r="D157" s="19"/>
      <c r="F157" s="19"/>
    </row>
    <row r="158" spans="1:6" ht="15.75" customHeight="1">
      <c r="A158" s="19"/>
      <c r="C158" s="19"/>
      <c r="D158" s="19"/>
      <c r="F158" s="19"/>
    </row>
    <row r="159" spans="1:6" ht="15.75" customHeight="1">
      <c r="A159" s="19"/>
      <c r="C159" s="19"/>
      <c r="D159" s="19"/>
      <c r="F159" s="19"/>
    </row>
    <row r="160" spans="1:6" ht="15.75" customHeight="1">
      <c r="A160" s="19"/>
      <c r="C160" s="19"/>
      <c r="D160" s="19"/>
      <c r="F160" s="19"/>
    </row>
    <row r="161" spans="1:6" ht="15.75" customHeight="1">
      <c r="A161" s="19"/>
      <c r="C161" s="19"/>
      <c r="D161" s="19"/>
      <c r="F161" s="19"/>
    </row>
    <row r="162" spans="1:6" ht="15.75" customHeight="1">
      <c r="A162" s="19"/>
      <c r="C162" s="19"/>
      <c r="D162" s="19"/>
      <c r="F162" s="19"/>
    </row>
    <row r="163" spans="1:6" ht="15.75" customHeight="1">
      <c r="A163" s="19"/>
      <c r="C163" s="19"/>
      <c r="D163" s="19"/>
      <c r="F163" s="19"/>
    </row>
    <row r="164" spans="1:6" ht="15.75" customHeight="1">
      <c r="A164" s="19"/>
      <c r="C164" s="19"/>
      <c r="D164" s="19"/>
      <c r="F164" s="19"/>
    </row>
    <row r="165" spans="1:6" ht="15.75" customHeight="1">
      <c r="A165" s="19"/>
      <c r="C165" s="19"/>
      <c r="D165" s="19"/>
      <c r="F165" s="19"/>
    </row>
    <row r="166" spans="1:6" ht="15.75" customHeight="1">
      <c r="A166" s="19"/>
      <c r="C166" s="19"/>
      <c r="D166" s="19"/>
      <c r="F166" s="19"/>
    </row>
    <row r="167" spans="1:6" ht="15.75" customHeight="1">
      <c r="A167" s="19"/>
      <c r="C167" s="19"/>
      <c r="D167" s="19"/>
      <c r="F167" s="19"/>
    </row>
    <row r="168" spans="1:6" ht="15.75" customHeight="1">
      <c r="A168" s="19"/>
      <c r="C168" s="19"/>
      <c r="D168" s="19"/>
      <c r="F168" s="19"/>
    </row>
    <row r="169" spans="1:6" ht="15.75" customHeight="1">
      <c r="A169" s="19"/>
      <c r="C169" s="19"/>
      <c r="D169" s="19"/>
      <c r="F169" s="19"/>
    </row>
    <row r="170" spans="1:6" ht="15.75" customHeight="1">
      <c r="A170" s="19"/>
      <c r="C170" s="19"/>
      <c r="D170" s="19"/>
      <c r="F170" s="19"/>
    </row>
    <row r="171" spans="1:6" ht="15.75" customHeight="1">
      <c r="A171" s="19"/>
      <c r="C171" s="19"/>
      <c r="D171" s="19"/>
      <c r="F171" s="19"/>
    </row>
    <row r="172" spans="1:6" ht="15.75" customHeight="1">
      <c r="A172" s="19"/>
      <c r="C172" s="19"/>
      <c r="D172" s="19"/>
      <c r="F172" s="19"/>
    </row>
    <row r="173" spans="1:6" ht="15.75" customHeight="1">
      <c r="A173" s="19"/>
      <c r="C173" s="19"/>
      <c r="D173" s="19"/>
      <c r="F173" s="19"/>
    </row>
    <row r="174" spans="1:6" ht="15.75" customHeight="1">
      <c r="A174" s="19"/>
      <c r="C174" s="19"/>
      <c r="D174" s="19"/>
      <c r="F174" s="19"/>
    </row>
    <row r="175" spans="1:6" ht="15.75" customHeight="1">
      <c r="A175" s="19"/>
      <c r="C175" s="19"/>
      <c r="D175" s="19"/>
      <c r="F175" s="19"/>
    </row>
    <row r="176" spans="1:6" ht="15.75" customHeight="1">
      <c r="A176" s="19"/>
      <c r="C176" s="19"/>
      <c r="D176" s="19"/>
      <c r="F176" s="19"/>
    </row>
    <row r="177" spans="1:6" ht="15.75" customHeight="1">
      <c r="A177" s="19"/>
      <c r="C177" s="19"/>
      <c r="D177" s="19"/>
      <c r="F177" s="19"/>
    </row>
    <row r="178" spans="1:6" ht="15.75" customHeight="1">
      <c r="A178" s="19"/>
      <c r="C178" s="19"/>
      <c r="D178" s="19"/>
      <c r="F178" s="19"/>
    </row>
    <row r="179" spans="1:6" ht="15.75" customHeight="1">
      <c r="A179" s="19"/>
      <c r="C179" s="19"/>
      <c r="D179" s="19"/>
      <c r="F179" s="19"/>
    </row>
    <row r="180" spans="1:6" ht="15.75" customHeight="1">
      <c r="A180" s="19"/>
      <c r="C180" s="19"/>
      <c r="D180" s="19"/>
      <c r="F180" s="19"/>
    </row>
    <row r="181" spans="1:6" ht="15.75" customHeight="1">
      <c r="A181" s="19"/>
      <c r="C181" s="19"/>
      <c r="D181" s="19"/>
      <c r="F181" s="19"/>
    </row>
    <row r="182" spans="1:6" ht="15.75" customHeight="1">
      <c r="A182" s="19"/>
      <c r="C182" s="19"/>
      <c r="D182" s="19"/>
      <c r="F182" s="19"/>
    </row>
    <row r="183" spans="1:6" ht="15.75" customHeight="1">
      <c r="A183" s="19"/>
      <c r="C183" s="19"/>
      <c r="D183" s="19"/>
      <c r="F183" s="19"/>
    </row>
    <row r="184" spans="1:6" ht="15.75" customHeight="1">
      <c r="A184" s="19"/>
      <c r="C184" s="19"/>
      <c r="D184" s="19"/>
      <c r="F184" s="19"/>
    </row>
    <row r="185" spans="1:6" ht="15.75" customHeight="1">
      <c r="A185" s="19"/>
      <c r="C185" s="19"/>
      <c r="D185" s="19"/>
      <c r="F185" s="19"/>
    </row>
    <row r="186" spans="1:6" ht="15.75" customHeight="1">
      <c r="A186" s="19"/>
      <c r="C186" s="19"/>
      <c r="D186" s="19"/>
      <c r="F186" s="19"/>
    </row>
    <row r="187" spans="1:6" ht="15.75" customHeight="1">
      <c r="A187" s="19"/>
      <c r="C187" s="19"/>
      <c r="D187" s="19"/>
      <c r="F187" s="19"/>
    </row>
    <row r="188" spans="1:6" ht="15.75" customHeight="1">
      <c r="A188" s="19"/>
      <c r="C188" s="19"/>
      <c r="D188" s="19"/>
      <c r="F188" s="19"/>
    </row>
    <row r="189" spans="1:6" ht="15.75" customHeight="1">
      <c r="A189" s="19"/>
      <c r="C189" s="19"/>
      <c r="D189" s="19"/>
      <c r="F189" s="19"/>
    </row>
    <row r="190" spans="1:6" ht="15.75" customHeight="1">
      <c r="A190" s="19"/>
      <c r="C190" s="19"/>
      <c r="D190" s="19"/>
      <c r="F190" s="19"/>
    </row>
    <row r="191" spans="1:6" ht="15.75" customHeight="1">
      <c r="A191" s="19"/>
      <c r="C191" s="19"/>
      <c r="D191" s="19"/>
      <c r="F191" s="19"/>
    </row>
    <row r="192" spans="1:6" ht="15.75" customHeight="1">
      <c r="A192" s="19"/>
      <c r="C192" s="19"/>
      <c r="D192" s="19"/>
      <c r="F192" s="19"/>
    </row>
    <row r="193" spans="1:6" ht="15.75" customHeight="1">
      <c r="A193" s="19"/>
      <c r="C193" s="19"/>
      <c r="D193" s="19"/>
      <c r="F193" s="19"/>
    </row>
    <row r="194" spans="1:6" ht="15.75" customHeight="1">
      <c r="A194" s="19"/>
      <c r="C194" s="19"/>
      <c r="D194" s="19"/>
      <c r="F194" s="19"/>
    </row>
    <row r="195" spans="1:6" ht="15.75" customHeight="1">
      <c r="A195" s="19"/>
      <c r="C195" s="19"/>
      <c r="D195" s="19"/>
      <c r="F195" s="19"/>
    </row>
    <row r="196" spans="1:6" ht="15.75" customHeight="1">
      <c r="A196" s="19"/>
      <c r="C196" s="19"/>
      <c r="D196" s="19"/>
      <c r="F196" s="19"/>
    </row>
    <row r="197" spans="1:6" ht="15.75" customHeight="1">
      <c r="A197" s="19"/>
      <c r="C197" s="19"/>
      <c r="D197" s="19"/>
      <c r="F197" s="19"/>
    </row>
    <row r="198" spans="1:6" ht="15.75" customHeight="1">
      <c r="A198" s="19"/>
      <c r="C198" s="19"/>
      <c r="D198" s="19"/>
      <c r="F198" s="19"/>
    </row>
    <row r="199" spans="1:6" ht="15.75" customHeight="1">
      <c r="A199" s="19"/>
      <c r="C199" s="19"/>
      <c r="D199" s="19"/>
      <c r="F199" s="19"/>
    </row>
    <row r="200" spans="1:6" ht="15.75" customHeight="1">
      <c r="A200" s="19"/>
      <c r="C200" s="19"/>
      <c r="D200" s="19"/>
      <c r="F200" s="19"/>
    </row>
    <row r="201" spans="1:6" ht="15.75" customHeight="1">
      <c r="A201" s="19"/>
      <c r="C201" s="19"/>
      <c r="D201" s="19"/>
      <c r="F201" s="19"/>
    </row>
    <row r="202" spans="1:6" ht="15.75" customHeight="1">
      <c r="A202" s="19"/>
      <c r="C202" s="19"/>
      <c r="D202" s="19"/>
      <c r="F202" s="19"/>
    </row>
    <row r="203" spans="1:6" ht="15.75" customHeight="1">
      <c r="A203" s="19"/>
      <c r="C203" s="19"/>
      <c r="D203" s="19"/>
      <c r="F203" s="19"/>
    </row>
    <row r="204" spans="1:6" ht="15.75" customHeight="1">
      <c r="A204" s="19"/>
      <c r="C204" s="19"/>
      <c r="D204" s="19"/>
      <c r="F204" s="19"/>
    </row>
    <row r="205" spans="1:6" ht="15.75" customHeight="1">
      <c r="A205" s="19"/>
      <c r="C205" s="19"/>
      <c r="D205" s="19"/>
      <c r="F205" s="19"/>
    </row>
    <row r="206" spans="1:6" ht="15.75" customHeight="1">
      <c r="A206" s="19"/>
      <c r="C206" s="19"/>
      <c r="D206" s="19"/>
      <c r="F206" s="19"/>
    </row>
    <row r="207" spans="1:6" ht="15.75" customHeight="1">
      <c r="A207" s="19"/>
      <c r="C207" s="19"/>
      <c r="D207" s="19"/>
      <c r="F207" s="19"/>
    </row>
    <row r="208" spans="1:6" ht="15.75" customHeight="1">
      <c r="A208" s="19"/>
      <c r="C208" s="19"/>
      <c r="D208" s="19"/>
      <c r="F208" s="19"/>
    </row>
    <row r="209" spans="1:6" ht="15.75" customHeight="1">
      <c r="A209" s="19"/>
      <c r="C209" s="19"/>
      <c r="D209" s="19"/>
      <c r="F209" s="19"/>
    </row>
    <row r="210" spans="1:6" ht="15.75" customHeight="1">
      <c r="A210" s="19"/>
      <c r="C210" s="19"/>
      <c r="D210" s="19"/>
      <c r="F210" s="19"/>
    </row>
    <row r="211" spans="1:6" ht="15.75" customHeight="1">
      <c r="A211" s="19"/>
      <c r="C211" s="19"/>
      <c r="D211" s="19"/>
      <c r="F211" s="19"/>
    </row>
    <row r="212" spans="1:6" ht="15.75" customHeight="1">
      <c r="A212" s="19"/>
      <c r="C212" s="19"/>
      <c r="D212" s="19"/>
      <c r="F212" s="19"/>
    </row>
    <row r="213" spans="1:6" ht="15.75" customHeight="1">
      <c r="A213" s="19"/>
      <c r="C213" s="19"/>
      <c r="D213" s="19"/>
      <c r="F213" s="19"/>
    </row>
    <row r="214" spans="1:6" ht="15.75" customHeight="1">
      <c r="A214" s="19"/>
      <c r="C214" s="19"/>
      <c r="D214" s="19"/>
      <c r="F214" s="19"/>
    </row>
    <row r="215" spans="1:6" ht="15.75" customHeight="1">
      <c r="A215" s="19"/>
      <c r="C215" s="19"/>
      <c r="D215" s="19"/>
      <c r="F215" s="19"/>
    </row>
    <row r="216" spans="1:6" ht="15.75" customHeight="1">
      <c r="A216" s="19"/>
      <c r="C216" s="19"/>
      <c r="D216" s="19"/>
      <c r="F216" s="19"/>
    </row>
    <row r="217" spans="1:6" ht="15.75" customHeight="1">
      <c r="A217" s="19"/>
      <c r="C217" s="19"/>
      <c r="D217" s="19"/>
      <c r="F217" s="19"/>
    </row>
    <row r="218" spans="1:6" ht="15.75" customHeight="1">
      <c r="A218" s="19"/>
      <c r="C218" s="19"/>
      <c r="D218" s="19"/>
      <c r="F218" s="19"/>
    </row>
    <row r="219" spans="1:6" ht="15.75" customHeight="1">
      <c r="A219" s="19"/>
      <c r="C219" s="19"/>
      <c r="D219" s="19"/>
      <c r="F219" s="19"/>
    </row>
    <row r="220" spans="1:6" ht="15.75" customHeight="1">
      <c r="A220" s="19"/>
      <c r="C220" s="19"/>
      <c r="D220" s="19"/>
      <c r="F220" s="19"/>
    </row>
    <row r="221" spans="1:6" ht="15.75" customHeight="1">
      <c r="A221" s="19"/>
      <c r="C221" s="19"/>
      <c r="D221" s="19"/>
      <c r="F221" s="19"/>
    </row>
    <row r="222" spans="1:6" ht="15.75" customHeight="1">
      <c r="A222" s="19"/>
      <c r="C222" s="19"/>
      <c r="D222" s="19"/>
      <c r="F222" s="19"/>
    </row>
    <row r="223" spans="1:6" ht="15.75" customHeight="1">
      <c r="A223" s="19"/>
      <c r="C223" s="19"/>
      <c r="D223" s="19"/>
      <c r="F223" s="19"/>
    </row>
    <row r="224" spans="1:6" ht="15.75" customHeight="1">
      <c r="A224" s="19"/>
      <c r="C224" s="19"/>
      <c r="D224" s="19"/>
      <c r="F224" s="19"/>
    </row>
    <row r="225" spans="1:6" ht="15.75" customHeight="1">
      <c r="A225" s="19"/>
      <c r="C225" s="19"/>
      <c r="D225" s="19"/>
      <c r="F225" s="19"/>
    </row>
    <row r="226" spans="1:6" ht="15.75" customHeight="1">
      <c r="A226" s="19"/>
      <c r="C226" s="19"/>
      <c r="D226" s="19"/>
      <c r="F226" s="19"/>
    </row>
    <row r="227" spans="1:6" ht="15.75" customHeight="1">
      <c r="A227" s="19"/>
      <c r="C227" s="19"/>
      <c r="D227" s="19"/>
      <c r="F227" s="19"/>
    </row>
    <row r="228" spans="1:6" ht="15.75" customHeight="1">
      <c r="A228" s="19"/>
      <c r="C228" s="19"/>
      <c r="D228" s="19"/>
      <c r="F228" s="19"/>
    </row>
    <row r="229" spans="1:6" ht="15.75" customHeight="1">
      <c r="A229" s="19"/>
      <c r="C229" s="19"/>
      <c r="D229" s="19"/>
      <c r="F229" s="19"/>
    </row>
    <row r="230" spans="1:6" ht="15.75" customHeight="1">
      <c r="A230" s="19"/>
      <c r="C230" s="19"/>
      <c r="D230" s="19"/>
      <c r="F230" s="19"/>
    </row>
    <row r="231" spans="1:6" ht="15.75" customHeight="1">
      <c r="A231" s="19"/>
      <c r="C231" s="19"/>
      <c r="D231" s="19"/>
      <c r="F231" s="19"/>
    </row>
    <row r="232" spans="1:6" ht="15.75" customHeight="1">
      <c r="A232" s="19"/>
      <c r="C232" s="19"/>
      <c r="D232" s="19"/>
      <c r="F232" s="19"/>
    </row>
    <row r="233" spans="1:6" ht="15.75" customHeight="1">
      <c r="A233" s="19"/>
      <c r="C233" s="19"/>
      <c r="D233" s="19"/>
      <c r="F233" s="19"/>
    </row>
    <row r="234" spans="1:6" ht="15.75" customHeight="1">
      <c r="A234" s="19"/>
      <c r="C234" s="19"/>
      <c r="D234" s="19"/>
      <c r="F234" s="19"/>
    </row>
    <row r="235" spans="1:6" ht="15.75" customHeight="1">
      <c r="A235" s="19"/>
      <c r="C235" s="19"/>
      <c r="D235" s="19"/>
      <c r="F235" s="19"/>
    </row>
    <row r="236" spans="1:6" ht="15.75" customHeight="1">
      <c r="A236" s="19"/>
      <c r="C236" s="19"/>
      <c r="D236" s="19"/>
      <c r="F236" s="19"/>
    </row>
    <row r="237" spans="1:6" ht="15.75" customHeight="1">
      <c r="A237" s="19"/>
      <c r="C237" s="19"/>
      <c r="D237" s="19"/>
      <c r="F237" s="19"/>
    </row>
    <row r="238" spans="1:6" ht="15.75" customHeight="1">
      <c r="A238" s="19"/>
      <c r="C238" s="19"/>
      <c r="D238" s="19"/>
      <c r="F238" s="19"/>
    </row>
    <row r="239" spans="1:6" ht="15.75" customHeight="1">
      <c r="A239" s="19"/>
      <c r="C239" s="19"/>
      <c r="D239" s="19"/>
      <c r="F239" s="19"/>
    </row>
    <row r="240" spans="1:6" ht="15.75" customHeight="1">
      <c r="A240" s="19"/>
      <c r="C240" s="19"/>
      <c r="D240" s="19"/>
      <c r="F240" s="19"/>
    </row>
    <row r="241" spans="1:6" ht="15.75" customHeight="1">
      <c r="A241" s="19"/>
      <c r="C241" s="19"/>
      <c r="D241" s="19"/>
      <c r="F241" s="19"/>
    </row>
    <row r="242" spans="1:6" ht="15.75" customHeight="1">
      <c r="A242" s="19"/>
      <c r="C242" s="19"/>
      <c r="D242" s="19"/>
      <c r="F242" s="19"/>
    </row>
    <row r="243" spans="1:6" ht="15.75" customHeight="1">
      <c r="A243" s="19"/>
      <c r="C243" s="19"/>
      <c r="D243" s="19"/>
      <c r="F243" s="19"/>
    </row>
    <row r="244" spans="1:6" ht="15.75" customHeight="1">
      <c r="A244" s="19"/>
      <c r="C244" s="19"/>
      <c r="D244" s="19"/>
      <c r="F244" s="19"/>
    </row>
    <row r="245" spans="1:6" ht="15.75" customHeight="1">
      <c r="A245" s="19"/>
      <c r="C245" s="19"/>
      <c r="D245" s="19"/>
      <c r="F245" s="19"/>
    </row>
    <row r="246" spans="1:6" ht="15.75" customHeight="1">
      <c r="A246" s="19"/>
      <c r="C246" s="19"/>
      <c r="D246" s="19"/>
      <c r="F246" s="19"/>
    </row>
    <row r="247" spans="1:6" ht="15.75" customHeight="1">
      <c r="A247" s="19"/>
      <c r="C247" s="19"/>
      <c r="D247" s="19"/>
      <c r="F247" s="19"/>
    </row>
    <row r="248" spans="1:6" ht="15.75" customHeight="1">
      <c r="A248" s="19"/>
      <c r="C248" s="19"/>
      <c r="D248" s="19"/>
      <c r="F248" s="19"/>
    </row>
    <row r="249" spans="1:6" ht="15.75" customHeight="1">
      <c r="A249" s="19"/>
      <c r="C249" s="19"/>
      <c r="D249" s="19"/>
      <c r="F249" s="19"/>
    </row>
    <row r="250" spans="1:6" ht="15.75" customHeight="1">
      <c r="A250" s="19"/>
      <c r="C250" s="19"/>
      <c r="D250" s="19"/>
      <c r="F250" s="19"/>
    </row>
    <row r="251" spans="1:6" ht="15.75" customHeight="1">
      <c r="A251" s="19"/>
      <c r="C251" s="19"/>
      <c r="D251" s="19"/>
      <c r="F251" s="19"/>
    </row>
    <row r="252" spans="1:6" ht="15.75" customHeight="1">
      <c r="A252" s="19"/>
      <c r="C252" s="19"/>
      <c r="D252" s="19"/>
      <c r="F252" s="19"/>
    </row>
    <row r="253" spans="1:6" ht="15.75" customHeight="1">
      <c r="A253" s="19"/>
      <c r="C253" s="19"/>
      <c r="D253" s="19"/>
      <c r="F253" s="19"/>
    </row>
    <row r="254" spans="1:6" ht="15.75" customHeight="1">
      <c r="A254" s="19"/>
      <c r="C254" s="19"/>
      <c r="D254" s="19"/>
      <c r="F254" s="19"/>
    </row>
    <row r="255" spans="1:6" ht="15.75" customHeight="1">
      <c r="A255" s="19"/>
      <c r="C255" s="19"/>
      <c r="D255" s="19"/>
      <c r="F255" s="19"/>
    </row>
    <row r="256" spans="1:6" ht="15.75" customHeight="1">
      <c r="A256" s="19"/>
      <c r="C256" s="19"/>
      <c r="D256" s="19"/>
      <c r="F256" s="19"/>
    </row>
    <row r="257" spans="1:6" ht="15.75" customHeight="1">
      <c r="A257" s="19"/>
      <c r="C257" s="19"/>
      <c r="D257" s="19"/>
      <c r="F257" s="19"/>
    </row>
    <row r="258" spans="1:6" ht="15.75" customHeight="1">
      <c r="A258" s="19"/>
      <c r="C258" s="19"/>
      <c r="D258" s="19"/>
      <c r="F258" s="19"/>
    </row>
    <row r="259" spans="1:6" ht="15.75" customHeight="1">
      <c r="A259" s="19"/>
      <c r="C259" s="19"/>
      <c r="D259" s="19"/>
      <c r="F259" s="19"/>
    </row>
    <row r="260" spans="1:6" ht="15.75" customHeight="1">
      <c r="A260" s="19"/>
      <c r="C260" s="19"/>
      <c r="D260" s="19"/>
      <c r="F260" s="19"/>
    </row>
    <row r="261" spans="1:6" ht="15.75" customHeight="1">
      <c r="A261" s="19"/>
      <c r="C261" s="19"/>
      <c r="D261" s="19"/>
      <c r="F261" s="19"/>
    </row>
    <row r="262" spans="1:6" ht="15.75" customHeight="1">
      <c r="A262" s="19"/>
      <c r="C262" s="19"/>
      <c r="D262" s="19"/>
      <c r="F262" s="19"/>
    </row>
    <row r="263" spans="1:6" ht="15.75" customHeight="1">
      <c r="A263" s="19"/>
      <c r="C263" s="19"/>
      <c r="D263" s="19"/>
      <c r="F263" s="19"/>
    </row>
    <row r="264" spans="1:6" ht="15.75" customHeight="1">
      <c r="A264" s="19"/>
      <c r="C264" s="19"/>
      <c r="D264" s="19"/>
      <c r="F264" s="19"/>
    </row>
    <row r="265" spans="1:6" ht="15.75" customHeight="1">
      <c r="A265" s="19"/>
      <c r="C265" s="19"/>
      <c r="D265" s="19"/>
      <c r="F265" s="19"/>
    </row>
    <row r="266" spans="1:6" ht="15.75" customHeight="1">
      <c r="A266" s="19"/>
      <c r="C266" s="19"/>
      <c r="D266" s="19"/>
      <c r="F266" s="19"/>
    </row>
    <row r="267" spans="1:6" ht="15.75" customHeight="1">
      <c r="A267" s="19"/>
      <c r="C267" s="19"/>
      <c r="D267" s="19"/>
      <c r="F267" s="19"/>
    </row>
    <row r="268" spans="1:6" ht="15.75" customHeight="1">
      <c r="A268" s="19"/>
      <c r="C268" s="19"/>
      <c r="D268" s="19"/>
      <c r="F268" s="19"/>
    </row>
    <row r="269" spans="1:6" ht="15.75" customHeight="1">
      <c r="A269" s="19"/>
      <c r="C269" s="19"/>
      <c r="D269" s="19"/>
      <c r="F269" s="19"/>
    </row>
    <row r="270" spans="1:6" ht="15.75" customHeight="1">
      <c r="A270" s="19"/>
      <c r="C270" s="19"/>
      <c r="D270" s="19"/>
      <c r="F270" s="19"/>
    </row>
    <row r="271" spans="1:6" ht="15.75" customHeight="1">
      <c r="A271" s="19"/>
      <c r="C271" s="19"/>
      <c r="D271" s="19"/>
      <c r="F271" s="19"/>
    </row>
    <row r="272" spans="1:6" ht="15.75" customHeight="1">
      <c r="A272" s="19"/>
      <c r="C272" s="19"/>
      <c r="D272" s="19"/>
      <c r="F272" s="19"/>
    </row>
    <row r="273" spans="1:6" ht="15.75" customHeight="1">
      <c r="A273" s="19"/>
      <c r="C273" s="19"/>
      <c r="D273" s="19"/>
      <c r="F273" s="19"/>
    </row>
    <row r="274" spans="1:6" ht="15.75" customHeight="1">
      <c r="A274" s="19"/>
      <c r="C274" s="19"/>
      <c r="D274" s="19"/>
      <c r="F274" s="19"/>
    </row>
    <row r="275" spans="1:6" ht="15.75" customHeight="1">
      <c r="A275" s="19"/>
      <c r="C275" s="19"/>
      <c r="D275" s="19"/>
      <c r="F275" s="19"/>
    </row>
    <row r="276" spans="1:6" ht="15.75" customHeight="1">
      <c r="A276" s="19"/>
      <c r="C276" s="19"/>
      <c r="D276" s="19"/>
      <c r="F276" s="19"/>
    </row>
    <row r="277" spans="1:6" ht="15.75" customHeight="1">
      <c r="A277" s="19"/>
      <c r="C277" s="19"/>
      <c r="D277" s="19"/>
      <c r="F277" s="19"/>
    </row>
    <row r="278" spans="1:6" ht="15.75" customHeight="1">
      <c r="A278" s="19"/>
      <c r="C278" s="19"/>
      <c r="D278" s="19"/>
      <c r="F278" s="19"/>
    </row>
    <row r="279" spans="1:6" ht="15.75" customHeight="1">
      <c r="A279" s="19"/>
      <c r="C279" s="19"/>
      <c r="D279" s="19"/>
      <c r="F279" s="19"/>
    </row>
    <row r="280" spans="1:6" ht="15.75" customHeight="1">
      <c r="A280" s="19"/>
      <c r="C280" s="19"/>
      <c r="D280" s="19"/>
      <c r="F280" s="19"/>
    </row>
    <row r="281" spans="1:6" ht="15.75" customHeight="1">
      <c r="A281" s="19"/>
      <c r="C281" s="19"/>
      <c r="D281" s="19"/>
      <c r="F281" s="19"/>
    </row>
    <row r="282" spans="1:6" ht="15.75" customHeight="1">
      <c r="A282" s="19"/>
      <c r="C282" s="19"/>
      <c r="D282" s="19"/>
      <c r="F282" s="19"/>
    </row>
    <row r="283" spans="1:6" ht="15.75" customHeight="1">
      <c r="A283" s="19"/>
      <c r="C283" s="19"/>
      <c r="D283" s="19"/>
      <c r="F283" s="19"/>
    </row>
    <row r="284" spans="1:6" ht="15.75" customHeight="1">
      <c r="A284" s="19"/>
      <c r="C284" s="19"/>
      <c r="D284" s="19"/>
      <c r="F284" s="19"/>
    </row>
    <row r="285" spans="1:6" ht="15.75" customHeight="1">
      <c r="A285" s="19"/>
      <c r="C285" s="19"/>
      <c r="D285" s="19"/>
      <c r="F285" s="19"/>
    </row>
    <row r="286" spans="1:6" ht="15.75" customHeight="1">
      <c r="A286" s="19"/>
      <c r="C286" s="19"/>
      <c r="D286" s="19"/>
      <c r="F286" s="19"/>
    </row>
    <row r="287" spans="1:6" ht="15.75" customHeight="1">
      <c r="A287" s="19"/>
      <c r="C287" s="19"/>
      <c r="D287" s="19"/>
      <c r="F287" s="19"/>
    </row>
    <row r="288" spans="1:6" ht="15.75" customHeight="1">
      <c r="A288" s="19"/>
      <c r="C288" s="19"/>
      <c r="D288" s="19"/>
      <c r="F288" s="19"/>
    </row>
    <row r="289" spans="1:6" ht="15.75" customHeight="1">
      <c r="A289" s="19"/>
      <c r="C289" s="19"/>
      <c r="D289" s="19"/>
      <c r="F289" s="19"/>
    </row>
    <row r="290" spans="1:6" ht="15.75" customHeight="1">
      <c r="A290" s="19"/>
      <c r="C290" s="19"/>
      <c r="D290" s="19"/>
      <c r="F290" s="19"/>
    </row>
    <row r="291" spans="1:6" ht="15.75" customHeight="1">
      <c r="A291" s="19"/>
      <c r="C291" s="19"/>
      <c r="D291" s="19"/>
      <c r="F291" s="19"/>
    </row>
    <row r="292" spans="1:6" ht="15.75" customHeight="1">
      <c r="A292" s="19"/>
      <c r="C292" s="19"/>
      <c r="D292" s="19"/>
      <c r="F292" s="19"/>
    </row>
    <row r="293" spans="1:6" ht="15.75" customHeight="1">
      <c r="A293" s="19"/>
      <c r="C293" s="19"/>
      <c r="D293" s="19"/>
      <c r="F293" s="19"/>
    </row>
    <row r="294" spans="1:6" ht="15.75" customHeight="1">
      <c r="A294" s="19"/>
      <c r="C294" s="19"/>
      <c r="D294" s="19"/>
      <c r="F294" s="19"/>
    </row>
    <row r="295" spans="1:6" ht="15.75" customHeight="1">
      <c r="A295" s="19"/>
      <c r="C295" s="19"/>
      <c r="D295" s="19"/>
      <c r="F295" s="19"/>
    </row>
    <row r="296" spans="1:6" ht="15.75" customHeight="1">
      <c r="A296" s="19"/>
      <c r="C296" s="19"/>
      <c r="D296" s="19"/>
      <c r="F296" s="19"/>
    </row>
    <row r="297" spans="1:6" ht="15.75" customHeight="1">
      <c r="A297" s="19"/>
      <c r="C297" s="19"/>
      <c r="D297" s="19"/>
      <c r="F297" s="19"/>
    </row>
    <row r="298" spans="1:6" ht="15.75" customHeight="1">
      <c r="A298" s="19"/>
      <c r="C298" s="19"/>
      <c r="D298" s="19"/>
      <c r="F298" s="19"/>
    </row>
    <row r="299" spans="1:6" ht="15.75" customHeight="1">
      <c r="A299" s="19"/>
      <c r="C299" s="19"/>
      <c r="D299" s="19"/>
      <c r="F299" s="19"/>
    </row>
    <row r="300" spans="1:6" ht="15.75" customHeight="1">
      <c r="A300" s="19"/>
      <c r="C300" s="19"/>
      <c r="D300" s="19"/>
      <c r="F300" s="19"/>
    </row>
    <row r="301" spans="1:6" ht="15.75" customHeight="1">
      <c r="A301" s="19"/>
      <c r="C301" s="19"/>
      <c r="D301" s="19"/>
      <c r="F301" s="19"/>
    </row>
    <row r="302" spans="1:6" ht="15.75" customHeight="1">
      <c r="A302" s="19"/>
      <c r="C302" s="19"/>
      <c r="D302" s="19"/>
      <c r="F302" s="19"/>
    </row>
    <row r="303" spans="1:6" ht="15.75" customHeight="1">
      <c r="A303" s="19"/>
      <c r="C303" s="19"/>
      <c r="D303" s="19"/>
      <c r="F303" s="19"/>
    </row>
    <row r="304" spans="1:6" ht="15.75" customHeight="1">
      <c r="A304" s="19"/>
      <c r="C304" s="19"/>
      <c r="D304" s="19"/>
      <c r="F304" s="19"/>
    </row>
    <row r="305" spans="1:6" ht="15.75" customHeight="1">
      <c r="A305" s="19"/>
      <c r="C305" s="19"/>
      <c r="D305" s="19"/>
      <c r="F305" s="19"/>
    </row>
    <row r="306" spans="1:6" ht="15.75" customHeight="1">
      <c r="A306" s="19"/>
      <c r="C306" s="19"/>
      <c r="D306" s="19"/>
      <c r="F306" s="19"/>
    </row>
    <row r="307" spans="1:6" ht="15.75" customHeight="1">
      <c r="A307" s="19"/>
      <c r="C307" s="19"/>
      <c r="D307" s="19"/>
      <c r="F307" s="19"/>
    </row>
    <row r="308" spans="1:6" ht="15.75" customHeight="1">
      <c r="A308" s="19"/>
      <c r="C308" s="19"/>
      <c r="D308" s="19"/>
      <c r="F308" s="19"/>
    </row>
    <row r="309" spans="1:6" ht="15.75" customHeight="1">
      <c r="A309" s="19"/>
      <c r="C309" s="19"/>
      <c r="D309" s="19"/>
      <c r="F309" s="19"/>
    </row>
    <row r="310" spans="1:6" ht="15.75" customHeight="1">
      <c r="A310" s="19"/>
      <c r="C310" s="19"/>
      <c r="D310" s="19"/>
      <c r="F310" s="19"/>
    </row>
    <row r="311" spans="1:6" ht="15.75" customHeight="1">
      <c r="A311" s="19"/>
      <c r="C311" s="19"/>
      <c r="D311" s="19"/>
      <c r="F311" s="19"/>
    </row>
    <row r="312" spans="1:6" ht="15.75" customHeight="1">
      <c r="A312" s="19"/>
      <c r="C312" s="19"/>
      <c r="D312" s="19"/>
      <c r="F312" s="19"/>
    </row>
    <row r="313" spans="1:6" ht="15.75" customHeight="1">
      <c r="A313" s="19"/>
      <c r="C313" s="19"/>
      <c r="D313" s="19"/>
      <c r="F313" s="19"/>
    </row>
    <row r="314" spans="1:6" ht="15.75" customHeight="1">
      <c r="A314" s="19"/>
      <c r="C314" s="19"/>
      <c r="D314" s="19"/>
      <c r="F314" s="19"/>
    </row>
    <row r="315" spans="1:6" ht="15.75" customHeight="1">
      <c r="A315" s="19"/>
      <c r="C315" s="19"/>
      <c r="D315" s="19"/>
      <c r="F315" s="19"/>
    </row>
    <row r="316" spans="1:6" ht="15.75" customHeight="1">
      <c r="A316" s="19"/>
      <c r="C316" s="19"/>
      <c r="D316" s="19"/>
      <c r="F316" s="19"/>
    </row>
    <row r="317" spans="1:6" ht="15.75" customHeight="1">
      <c r="A317" s="19"/>
      <c r="C317" s="19"/>
      <c r="D317" s="19"/>
      <c r="F317" s="19"/>
    </row>
    <row r="318" spans="1:6" ht="15.75" customHeight="1">
      <c r="A318" s="19"/>
      <c r="C318" s="19"/>
      <c r="D318" s="19"/>
      <c r="F318" s="19"/>
    </row>
    <row r="319" spans="1:6" ht="15.75" customHeight="1">
      <c r="A319" s="19"/>
      <c r="C319" s="19"/>
      <c r="D319" s="19"/>
      <c r="F319" s="19"/>
    </row>
    <row r="320" spans="1:6" ht="15.75" customHeight="1">
      <c r="A320" s="19"/>
      <c r="C320" s="19"/>
      <c r="D320" s="19"/>
      <c r="F320" s="19"/>
    </row>
    <row r="321" spans="1:6" ht="15.75" customHeight="1">
      <c r="A321" s="19"/>
      <c r="C321" s="19"/>
      <c r="D321" s="19"/>
      <c r="F321" s="19"/>
    </row>
    <row r="322" spans="1:6" ht="15.75" customHeight="1">
      <c r="A322" s="19"/>
      <c r="C322" s="19"/>
      <c r="D322" s="19"/>
      <c r="F322" s="19"/>
    </row>
    <row r="323" spans="1:6" ht="15.75" customHeight="1">
      <c r="A323" s="19"/>
      <c r="C323" s="19"/>
      <c r="D323" s="19"/>
      <c r="F323" s="19"/>
    </row>
    <row r="324" spans="1:6" ht="15.75" customHeight="1">
      <c r="A324" s="19"/>
      <c r="C324" s="19"/>
      <c r="D324" s="19"/>
      <c r="F324" s="19"/>
    </row>
    <row r="325" spans="1:6" ht="15.75" customHeight="1">
      <c r="A325" s="19"/>
      <c r="C325" s="19"/>
      <c r="D325" s="19"/>
      <c r="F325" s="19"/>
    </row>
    <row r="326" spans="1:6" ht="15.75" customHeight="1">
      <c r="A326" s="19"/>
      <c r="C326" s="19"/>
      <c r="D326" s="19"/>
      <c r="F326" s="19"/>
    </row>
    <row r="327" spans="1:6" ht="15.75" customHeight="1">
      <c r="A327" s="19"/>
      <c r="C327" s="19"/>
      <c r="D327" s="19"/>
      <c r="F327" s="19"/>
    </row>
    <row r="328" spans="1:6" ht="15.75" customHeight="1">
      <c r="A328" s="19"/>
      <c r="C328" s="19"/>
      <c r="D328" s="19"/>
      <c r="F328" s="19"/>
    </row>
    <row r="329" spans="1:6" ht="15.75" customHeight="1">
      <c r="A329" s="19"/>
      <c r="C329" s="19"/>
      <c r="D329" s="19"/>
      <c r="F329" s="19"/>
    </row>
    <row r="330" spans="1:6" ht="15.75" customHeight="1">
      <c r="A330" s="19"/>
      <c r="C330" s="19"/>
      <c r="D330" s="19"/>
      <c r="F330" s="19"/>
    </row>
    <row r="331" spans="1:6" ht="15.75" customHeight="1">
      <c r="A331" s="19"/>
      <c r="C331" s="19"/>
      <c r="D331" s="19"/>
      <c r="F331" s="19"/>
    </row>
    <row r="332" spans="1:6" ht="15.75" customHeight="1">
      <c r="A332" s="19"/>
      <c r="C332" s="19"/>
      <c r="D332" s="19"/>
      <c r="F332" s="19"/>
    </row>
    <row r="333" spans="1:6" ht="15.75" customHeight="1">
      <c r="A333" s="19"/>
      <c r="C333" s="19"/>
      <c r="D333" s="19"/>
      <c r="F333" s="19"/>
    </row>
    <row r="334" spans="1:6" ht="15.75" customHeight="1">
      <c r="A334" s="19"/>
      <c r="C334" s="19"/>
      <c r="D334" s="19"/>
      <c r="F334" s="19"/>
    </row>
    <row r="335" spans="1:6" ht="15.75" customHeight="1">
      <c r="A335" s="19"/>
      <c r="C335" s="19"/>
      <c r="D335" s="19"/>
      <c r="F335" s="19"/>
    </row>
    <row r="336" spans="1:6" ht="15.75" customHeight="1">
      <c r="A336" s="19"/>
      <c r="C336" s="19"/>
      <c r="D336" s="19"/>
      <c r="F336" s="19"/>
    </row>
    <row r="337" spans="1:6" ht="15.75" customHeight="1">
      <c r="A337" s="19"/>
      <c r="C337" s="19"/>
      <c r="D337" s="19"/>
      <c r="F337" s="19"/>
    </row>
    <row r="338" spans="1:6" ht="15.75" customHeight="1">
      <c r="A338" s="19"/>
      <c r="C338" s="19"/>
      <c r="D338" s="19"/>
      <c r="F338" s="19"/>
    </row>
    <row r="339" spans="1:6" ht="15.75" customHeight="1">
      <c r="A339" s="19"/>
      <c r="C339" s="19"/>
      <c r="D339" s="19"/>
      <c r="F339" s="19"/>
    </row>
    <row r="340" spans="1:6" ht="15.75" customHeight="1">
      <c r="A340" s="19"/>
      <c r="C340" s="19"/>
      <c r="D340" s="19"/>
      <c r="F340" s="19"/>
    </row>
    <row r="341" spans="1:6" ht="15.75" customHeight="1">
      <c r="A341" s="19"/>
      <c r="C341" s="19"/>
      <c r="D341" s="19"/>
      <c r="F341" s="19"/>
    </row>
    <row r="342" spans="1:6" ht="15.75" customHeight="1">
      <c r="A342" s="19"/>
      <c r="C342" s="19"/>
      <c r="D342" s="19"/>
      <c r="F342" s="19"/>
    </row>
    <row r="343" spans="1:6" ht="15.75" customHeight="1">
      <c r="A343" s="19"/>
      <c r="C343" s="19"/>
      <c r="D343" s="19"/>
      <c r="F343" s="19"/>
    </row>
    <row r="344" spans="1:6" ht="15.75" customHeight="1">
      <c r="A344" s="19"/>
      <c r="C344" s="19"/>
      <c r="D344" s="19"/>
      <c r="F344" s="19"/>
    </row>
    <row r="345" spans="1:6" ht="15.75" customHeight="1">
      <c r="A345" s="19"/>
      <c r="C345" s="19"/>
      <c r="D345" s="19"/>
      <c r="F345" s="19"/>
    </row>
    <row r="346" spans="1:6" ht="15.75" customHeight="1">
      <c r="A346" s="19"/>
      <c r="C346" s="19"/>
      <c r="D346" s="19"/>
      <c r="F346" s="19"/>
    </row>
    <row r="347" spans="1:6" ht="15.75" customHeight="1">
      <c r="A347" s="19"/>
      <c r="C347" s="19"/>
      <c r="D347" s="19"/>
      <c r="F347" s="19"/>
    </row>
    <row r="348" spans="1:6" ht="15.75" customHeight="1">
      <c r="A348" s="19"/>
      <c r="C348" s="19"/>
      <c r="D348" s="19"/>
      <c r="F348" s="19"/>
    </row>
    <row r="349" spans="1:6" ht="15.75" customHeight="1">
      <c r="A349" s="19"/>
      <c r="C349" s="19"/>
      <c r="D349" s="19"/>
      <c r="F349" s="19"/>
    </row>
    <row r="350" spans="1:6" ht="15.75" customHeight="1">
      <c r="A350" s="19"/>
      <c r="C350" s="19"/>
      <c r="D350" s="19"/>
      <c r="F350" s="19"/>
    </row>
    <row r="351" spans="1:6" ht="15.75" customHeight="1">
      <c r="A351" s="19"/>
      <c r="C351" s="19"/>
      <c r="D351" s="19"/>
      <c r="F351" s="19"/>
    </row>
    <row r="352" spans="1:6" ht="15.75" customHeight="1">
      <c r="A352" s="19"/>
      <c r="C352" s="19"/>
      <c r="D352" s="19"/>
      <c r="F352" s="19"/>
    </row>
    <row r="353" spans="1:6" ht="15.75" customHeight="1">
      <c r="A353" s="19"/>
      <c r="C353" s="19"/>
      <c r="D353" s="19"/>
      <c r="F353" s="19"/>
    </row>
    <row r="354" spans="1:6" ht="15.75" customHeight="1">
      <c r="A354" s="19"/>
      <c r="C354" s="19"/>
      <c r="D354" s="19"/>
      <c r="F354" s="19"/>
    </row>
    <row r="355" spans="1:6" ht="15.75" customHeight="1">
      <c r="A355" s="19"/>
      <c r="C355" s="19"/>
      <c r="D355" s="19"/>
      <c r="F355" s="19"/>
    </row>
    <row r="356" spans="1:6" ht="15.75" customHeight="1">
      <c r="A356" s="19"/>
      <c r="C356" s="19"/>
      <c r="D356" s="19"/>
      <c r="F356" s="19"/>
    </row>
    <row r="357" spans="1:6" ht="15.75" customHeight="1">
      <c r="A357" s="19"/>
      <c r="C357" s="19"/>
      <c r="D357" s="19"/>
      <c r="F357" s="19"/>
    </row>
    <row r="358" spans="1:6" ht="15.75" customHeight="1">
      <c r="A358" s="19"/>
      <c r="C358" s="19"/>
      <c r="D358" s="19"/>
      <c r="F358" s="19"/>
    </row>
    <row r="359" spans="1:6" ht="15.75" customHeight="1">
      <c r="A359" s="19"/>
      <c r="C359" s="19"/>
      <c r="D359" s="19"/>
      <c r="F359" s="19"/>
    </row>
    <row r="360" spans="1:6" ht="15.75" customHeight="1">
      <c r="A360" s="19"/>
      <c r="C360" s="19"/>
      <c r="D360" s="19"/>
      <c r="F360" s="19"/>
    </row>
    <row r="361" spans="1:6" ht="15.75" customHeight="1">
      <c r="A361" s="19"/>
      <c r="C361" s="19"/>
      <c r="D361" s="19"/>
      <c r="F361" s="19"/>
    </row>
    <row r="362" spans="1:6" ht="15.75" customHeight="1">
      <c r="A362" s="19"/>
      <c r="C362" s="19"/>
      <c r="D362" s="19"/>
      <c r="F362" s="19"/>
    </row>
    <row r="363" spans="1:6" ht="15.75" customHeight="1">
      <c r="A363" s="19"/>
      <c r="C363" s="19"/>
      <c r="D363" s="19"/>
      <c r="F363" s="19"/>
    </row>
    <row r="364" spans="1:6" ht="15.75" customHeight="1">
      <c r="A364" s="19"/>
      <c r="C364" s="19"/>
      <c r="D364" s="19"/>
      <c r="F364" s="19"/>
    </row>
    <row r="365" spans="1:6" ht="15.75" customHeight="1">
      <c r="A365" s="19"/>
      <c r="C365" s="19"/>
      <c r="D365" s="19"/>
      <c r="F365" s="19"/>
    </row>
    <row r="366" spans="1:6" ht="15.75" customHeight="1">
      <c r="A366" s="19"/>
      <c r="C366" s="19"/>
      <c r="D366" s="19"/>
      <c r="F366" s="19"/>
    </row>
    <row r="367" spans="1:6" ht="15.75" customHeight="1">
      <c r="A367" s="19"/>
      <c r="C367" s="19"/>
      <c r="D367" s="19"/>
      <c r="F367" s="19"/>
    </row>
    <row r="368" spans="1:6" ht="15.75" customHeight="1">
      <c r="A368" s="19"/>
      <c r="C368" s="19"/>
      <c r="D368" s="19"/>
      <c r="F368" s="19"/>
    </row>
    <row r="369" spans="1:6" ht="15.75" customHeight="1">
      <c r="A369" s="19"/>
      <c r="C369" s="19"/>
      <c r="D369" s="19"/>
      <c r="F369" s="19"/>
    </row>
    <row r="370" spans="1:6" ht="15.75" customHeight="1">
      <c r="A370" s="19"/>
      <c r="C370" s="19"/>
      <c r="D370" s="19"/>
      <c r="F370" s="19"/>
    </row>
    <row r="371" spans="1:6" ht="15.75" customHeight="1">
      <c r="A371" s="19"/>
      <c r="C371" s="19"/>
      <c r="D371" s="19"/>
      <c r="F371" s="19"/>
    </row>
    <row r="372" spans="1:6" ht="15.75" customHeight="1">
      <c r="A372" s="19"/>
      <c r="C372" s="19"/>
      <c r="D372" s="19"/>
      <c r="F372" s="19"/>
    </row>
    <row r="373" spans="1:6" ht="15.75" customHeight="1">
      <c r="A373" s="19"/>
      <c r="C373" s="19"/>
      <c r="D373" s="19"/>
      <c r="F373" s="19"/>
    </row>
    <row r="374" spans="1:6" ht="15.75" customHeight="1">
      <c r="A374" s="19"/>
      <c r="C374" s="19"/>
      <c r="D374" s="19"/>
      <c r="F374" s="19"/>
    </row>
    <row r="375" spans="1:6" ht="15.75" customHeight="1">
      <c r="A375" s="19"/>
      <c r="C375" s="19"/>
      <c r="D375" s="19"/>
      <c r="F375" s="19"/>
    </row>
    <row r="376" spans="1:6" ht="15.75" customHeight="1">
      <c r="A376" s="19"/>
      <c r="C376" s="19"/>
      <c r="D376" s="19"/>
      <c r="F376" s="19"/>
    </row>
    <row r="377" spans="1:6" ht="15.75" customHeight="1">
      <c r="A377" s="19"/>
      <c r="C377" s="19"/>
      <c r="D377" s="19"/>
      <c r="F377" s="19"/>
    </row>
    <row r="378" spans="1:6" ht="15.75" customHeight="1">
      <c r="A378" s="19"/>
      <c r="C378" s="19"/>
      <c r="D378" s="19"/>
      <c r="F378" s="19"/>
    </row>
    <row r="379" spans="1:6" ht="15.75" customHeight="1">
      <c r="A379" s="19"/>
      <c r="C379" s="19"/>
      <c r="D379" s="19"/>
      <c r="F379" s="19"/>
    </row>
    <row r="380" spans="1:6" ht="15.75" customHeight="1">
      <c r="A380" s="19"/>
      <c r="C380" s="19"/>
      <c r="D380" s="19"/>
      <c r="F380" s="19"/>
    </row>
    <row r="381" spans="1:6" ht="15.75" customHeight="1">
      <c r="A381" s="19"/>
      <c r="C381" s="19"/>
      <c r="D381" s="19"/>
      <c r="F381" s="19"/>
    </row>
    <row r="382" spans="1:6" ht="15.75" customHeight="1">
      <c r="A382" s="19"/>
      <c r="C382" s="19"/>
      <c r="D382" s="19"/>
      <c r="F382" s="19"/>
    </row>
    <row r="383" spans="1:6" ht="15.75" customHeight="1">
      <c r="A383" s="19"/>
      <c r="C383" s="19"/>
      <c r="D383" s="19"/>
      <c r="F383" s="19"/>
    </row>
    <row r="384" spans="1:6" ht="15.75" customHeight="1">
      <c r="A384" s="19"/>
      <c r="C384" s="19"/>
      <c r="D384" s="19"/>
      <c r="F384" s="19"/>
    </row>
    <row r="385" spans="1:6" ht="15.75" customHeight="1">
      <c r="A385" s="19"/>
      <c r="C385" s="19"/>
      <c r="D385" s="19"/>
      <c r="F385" s="19"/>
    </row>
    <row r="386" spans="1:6" ht="15.75" customHeight="1">
      <c r="A386" s="19"/>
      <c r="C386" s="19"/>
      <c r="D386" s="19"/>
      <c r="F386" s="19"/>
    </row>
    <row r="387" spans="1:6" ht="15.75" customHeight="1">
      <c r="A387" s="19"/>
      <c r="C387" s="19"/>
      <c r="D387" s="19"/>
      <c r="F387" s="19"/>
    </row>
    <row r="388" spans="1:6" ht="15.75" customHeight="1">
      <c r="A388" s="19"/>
      <c r="C388" s="19"/>
      <c r="D388" s="19"/>
      <c r="F388" s="19"/>
    </row>
    <row r="389" spans="1:6" ht="15.75" customHeight="1">
      <c r="A389" s="19"/>
      <c r="C389" s="19"/>
      <c r="D389" s="19"/>
      <c r="F389" s="19"/>
    </row>
    <row r="390" spans="1:6" ht="15.75" customHeight="1">
      <c r="A390" s="19"/>
      <c r="C390" s="19"/>
      <c r="D390" s="19"/>
      <c r="F390" s="19"/>
    </row>
    <row r="391" spans="1:6" ht="15.75" customHeight="1">
      <c r="A391" s="19"/>
      <c r="C391" s="19"/>
      <c r="D391" s="19"/>
      <c r="F391" s="19"/>
    </row>
    <row r="392" spans="1:6" ht="15.75" customHeight="1">
      <c r="A392" s="19"/>
      <c r="C392" s="19"/>
      <c r="D392" s="19"/>
      <c r="F392" s="19"/>
    </row>
    <row r="393" spans="1:6" ht="15.75" customHeight="1">
      <c r="A393" s="19"/>
      <c r="C393" s="19"/>
      <c r="D393" s="19"/>
      <c r="F393" s="19"/>
    </row>
    <row r="394" spans="1:6" ht="15.75" customHeight="1">
      <c r="A394" s="19"/>
      <c r="C394" s="19"/>
      <c r="D394" s="19"/>
      <c r="F394" s="19"/>
    </row>
    <row r="395" spans="1:6" ht="15.75" customHeight="1">
      <c r="A395" s="19"/>
      <c r="C395" s="19"/>
      <c r="D395" s="19"/>
      <c r="F395" s="19"/>
    </row>
    <row r="396" spans="1:6" ht="15.75" customHeight="1">
      <c r="A396" s="19"/>
      <c r="C396" s="19"/>
      <c r="D396" s="19"/>
      <c r="F396" s="19"/>
    </row>
    <row r="397" spans="1:6" ht="15.75" customHeight="1">
      <c r="A397" s="19"/>
      <c r="C397" s="19"/>
      <c r="D397" s="19"/>
      <c r="F397" s="19"/>
    </row>
    <row r="398" spans="1:6" ht="15.75" customHeight="1">
      <c r="A398" s="19"/>
      <c r="C398" s="19"/>
      <c r="D398" s="19"/>
      <c r="F398" s="19"/>
    </row>
    <row r="399" spans="1:6" ht="15.75" customHeight="1">
      <c r="A399" s="19"/>
      <c r="C399" s="19"/>
      <c r="D399" s="19"/>
      <c r="F399" s="19"/>
    </row>
    <row r="400" spans="1:6" ht="15.75" customHeight="1">
      <c r="A400" s="19"/>
      <c r="C400" s="19"/>
      <c r="D400" s="19"/>
      <c r="F400" s="19"/>
    </row>
    <row r="401" spans="1:6" ht="15.75" customHeight="1">
      <c r="A401" s="19"/>
      <c r="C401" s="19"/>
      <c r="D401" s="19"/>
      <c r="F401" s="19"/>
    </row>
    <row r="402" spans="1:6" ht="15.75" customHeight="1">
      <c r="A402" s="19"/>
      <c r="C402" s="19"/>
      <c r="D402" s="19"/>
      <c r="F402" s="19"/>
    </row>
    <row r="403" spans="1:6" ht="15.75" customHeight="1">
      <c r="A403" s="19"/>
      <c r="C403" s="19"/>
      <c r="D403" s="19"/>
      <c r="F403" s="19"/>
    </row>
    <row r="404" spans="1:6" ht="15.75" customHeight="1">
      <c r="A404" s="19"/>
      <c r="C404" s="19"/>
      <c r="D404" s="19"/>
      <c r="F404" s="19"/>
    </row>
    <row r="405" spans="1:6" ht="15.75" customHeight="1">
      <c r="A405" s="19"/>
      <c r="C405" s="19"/>
      <c r="D405" s="19"/>
      <c r="F405" s="19"/>
    </row>
    <row r="406" spans="1:6" ht="15.75" customHeight="1">
      <c r="A406" s="19"/>
      <c r="C406" s="19"/>
      <c r="D406" s="19"/>
      <c r="F406" s="19"/>
    </row>
    <row r="407" spans="1:6" ht="15.75" customHeight="1">
      <c r="A407" s="19"/>
      <c r="C407" s="19"/>
      <c r="D407" s="19"/>
      <c r="F407" s="19"/>
    </row>
    <row r="408" spans="1:6" ht="15.75" customHeight="1">
      <c r="A408" s="19"/>
      <c r="C408" s="19"/>
      <c r="D408" s="19"/>
      <c r="F408" s="19"/>
    </row>
    <row r="409" spans="1:6" ht="15.75" customHeight="1">
      <c r="A409" s="19"/>
      <c r="C409" s="19"/>
      <c r="D409" s="19"/>
      <c r="F409" s="19"/>
    </row>
    <row r="410" spans="1:6" ht="15.75" customHeight="1">
      <c r="A410" s="19"/>
      <c r="C410" s="19"/>
      <c r="D410" s="19"/>
      <c r="F410" s="19"/>
    </row>
    <row r="411" spans="1:6" ht="15.75" customHeight="1">
      <c r="A411" s="19"/>
      <c r="C411" s="19"/>
      <c r="D411" s="19"/>
      <c r="F411" s="19"/>
    </row>
    <row r="412" spans="1:6" ht="15.75" customHeight="1">
      <c r="A412" s="19"/>
      <c r="C412" s="19"/>
      <c r="D412" s="19"/>
      <c r="F412" s="19"/>
    </row>
    <row r="413" spans="1:6" ht="15.75" customHeight="1">
      <c r="A413" s="19"/>
      <c r="C413" s="19"/>
      <c r="D413" s="19"/>
      <c r="F413" s="19"/>
    </row>
    <row r="414" spans="1:6" ht="15.75" customHeight="1">
      <c r="A414" s="19"/>
      <c r="C414" s="19"/>
      <c r="D414" s="19"/>
      <c r="F414" s="19"/>
    </row>
    <row r="415" spans="1:6" ht="15.75" customHeight="1">
      <c r="A415" s="19"/>
      <c r="C415" s="19"/>
      <c r="D415" s="19"/>
      <c r="F415" s="19"/>
    </row>
    <row r="416" spans="1:6" ht="15.75" customHeight="1">
      <c r="A416" s="19"/>
      <c r="C416" s="19"/>
      <c r="D416" s="19"/>
      <c r="F416" s="19"/>
    </row>
    <row r="417" spans="1:6" ht="15.75" customHeight="1">
      <c r="A417" s="19"/>
      <c r="C417" s="19"/>
      <c r="D417" s="19"/>
      <c r="F417" s="19"/>
    </row>
    <row r="418" spans="1:6" ht="15.75" customHeight="1">
      <c r="A418" s="19"/>
      <c r="C418" s="19"/>
      <c r="D418" s="19"/>
      <c r="F418" s="19"/>
    </row>
    <row r="419" spans="1:6" ht="15.75" customHeight="1">
      <c r="A419" s="19"/>
      <c r="C419" s="19"/>
      <c r="D419" s="19"/>
      <c r="F419" s="19"/>
    </row>
    <row r="420" spans="1:6" ht="15.75" customHeight="1">
      <c r="A420" s="19"/>
      <c r="C420" s="19"/>
      <c r="D420" s="19"/>
      <c r="F420" s="19"/>
    </row>
    <row r="421" spans="1:6" ht="15.75" customHeight="1">
      <c r="A421" s="19"/>
      <c r="C421" s="19"/>
      <c r="D421" s="19"/>
      <c r="F421" s="19"/>
    </row>
    <row r="422" spans="1:6" ht="15.75" customHeight="1">
      <c r="A422" s="19"/>
      <c r="C422" s="19"/>
      <c r="D422" s="19"/>
      <c r="F422" s="19"/>
    </row>
    <row r="423" spans="1:6" ht="15.75" customHeight="1">
      <c r="A423" s="19"/>
      <c r="C423" s="19"/>
      <c r="D423" s="19"/>
      <c r="F423" s="19"/>
    </row>
    <row r="424" spans="1:6" ht="15.75" customHeight="1">
      <c r="A424" s="19"/>
      <c r="C424" s="19"/>
      <c r="D424" s="19"/>
      <c r="F424" s="19"/>
    </row>
    <row r="425" spans="1:6" ht="15.75" customHeight="1">
      <c r="A425" s="19"/>
      <c r="C425" s="19"/>
      <c r="D425" s="19"/>
      <c r="F425" s="19"/>
    </row>
    <row r="426" spans="1:6" ht="15.75" customHeight="1">
      <c r="A426" s="19"/>
      <c r="C426" s="19"/>
      <c r="D426" s="19"/>
      <c r="F426" s="19"/>
    </row>
    <row r="427" spans="1:6" ht="15.75" customHeight="1">
      <c r="A427" s="19"/>
      <c r="C427" s="19"/>
      <c r="D427" s="19"/>
      <c r="F427" s="19"/>
    </row>
    <row r="428" spans="1:6" ht="15.75" customHeight="1">
      <c r="A428" s="19"/>
      <c r="C428" s="19"/>
      <c r="D428" s="19"/>
      <c r="F428" s="19"/>
    </row>
    <row r="429" spans="1:6" ht="15.75" customHeight="1">
      <c r="A429" s="19"/>
      <c r="C429" s="19"/>
      <c r="D429" s="19"/>
      <c r="F429" s="19"/>
    </row>
    <row r="430" spans="1:6" ht="15.75" customHeight="1">
      <c r="A430" s="19"/>
      <c r="C430" s="19"/>
      <c r="D430" s="19"/>
      <c r="F430" s="19"/>
    </row>
    <row r="431" spans="1:6" ht="15.75" customHeight="1">
      <c r="A431" s="19"/>
      <c r="C431" s="19"/>
      <c r="D431" s="19"/>
      <c r="F431" s="19"/>
    </row>
    <row r="432" spans="1:6" ht="15.75" customHeight="1">
      <c r="A432" s="19"/>
      <c r="C432" s="19"/>
      <c r="D432" s="19"/>
      <c r="F432" s="19"/>
    </row>
    <row r="433" spans="1:6" ht="15.75" customHeight="1">
      <c r="A433" s="19"/>
      <c r="C433" s="19"/>
      <c r="D433" s="19"/>
      <c r="F433" s="19"/>
    </row>
    <row r="434" spans="1:6" ht="15.75" customHeight="1">
      <c r="A434" s="19"/>
      <c r="C434" s="19"/>
      <c r="D434" s="19"/>
      <c r="F434" s="19"/>
    </row>
    <row r="435" spans="1:6" ht="15.75" customHeight="1">
      <c r="A435" s="19"/>
      <c r="C435" s="19"/>
      <c r="D435" s="19"/>
      <c r="F435" s="19"/>
    </row>
    <row r="436" spans="1:6" ht="15.75" customHeight="1">
      <c r="A436" s="19"/>
      <c r="C436" s="19"/>
      <c r="D436" s="19"/>
      <c r="F436" s="19"/>
    </row>
    <row r="437" spans="1:6" ht="15.75" customHeight="1">
      <c r="A437" s="19"/>
      <c r="C437" s="19"/>
      <c r="D437" s="19"/>
      <c r="F437" s="19"/>
    </row>
    <row r="438" spans="1:6" ht="15.75" customHeight="1">
      <c r="A438" s="19"/>
      <c r="C438" s="19"/>
      <c r="D438" s="19"/>
      <c r="F438" s="19"/>
    </row>
    <row r="439" spans="1:6" ht="15.75" customHeight="1">
      <c r="A439" s="19"/>
      <c r="C439" s="19"/>
      <c r="D439" s="19"/>
      <c r="F439" s="19"/>
    </row>
    <row r="440" spans="1:6" ht="15.75" customHeight="1">
      <c r="A440" s="19"/>
      <c r="C440" s="19"/>
      <c r="D440" s="19"/>
      <c r="F440" s="19"/>
    </row>
    <row r="441" spans="1:6" ht="15.75" customHeight="1">
      <c r="A441" s="19"/>
      <c r="C441" s="19"/>
      <c r="D441" s="19"/>
      <c r="F441" s="19"/>
    </row>
    <row r="442" spans="1:6" ht="15.75" customHeight="1">
      <c r="A442" s="19"/>
      <c r="C442" s="19"/>
      <c r="D442" s="19"/>
      <c r="F442" s="19"/>
    </row>
    <row r="443" spans="1:6" ht="15.75" customHeight="1">
      <c r="A443" s="19"/>
      <c r="C443" s="19"/>
      <c r="D443" s="19"/>
      <c r="F443" s="19"/>
    </row>
    <row r="444" spans="1:6" ht="15.75" customHeight="1">
      <c r="A444" s="19"/>
      <c r="C444" s="19"/>
      <c r="D444" s="19"/>
      <c r="F444" s="19"/>
    </row>
    <row r="445" spans="1:6" ht="15.75" customHeight="1">
      <c r="A445" s="19"/>
      <c r="C445" s="19"/>
      <c r="D445" s="19"/>
      <c r="F445" s="19"/>
    </row>
    <row r="446" spans="1:6" ht="15.75" customHeight="1">
      <c r="A446" s="19"/>
      <c r="C446" s="19"/>
      <c r="D446" s="19"/>
      <c r="F446" s="19"/>
    </row>
    <row r="447" spans="1:6" ht="15.75" customHeight="1">
      <c r="A447" s="19"/>
      <c r="C447" s="19"/>
      <c r="D447" s="19"/>
      <c r="F447" s="19"/>
    </row>
    <row r="448" spans="1:6" ht="15.75" customHeight="1">
      <c r="A448" s="19"/>
      <c r="C448" s="19"/>
      <c r="D448" s="19"/>
      <c r="F448" s="19"/>
    </row>
    <row r="449" spans="1:6" ht="15.75" customHeight="1">
      <c r="A449" s="19"/>
      <c r="C449" s="19"/>
      <c r="D449" s="19"/>
      <c r="F449" s="19"/>
    </row>
    <row r="450" spans="1:6" ht="15.75" customHeight="1">
      <c r="A450" s="19"/>
      <c r="C450" s="19"/>
      <c r="D450" s="19"/>
      <c r="F450" s="19"/>
    </row>
    <row r="451" spans="1:6" ht="15.75" customHeight="1">
      <c r="A451" s="19"/>
      <c r="C451" s="19"/>
      <c r="D451" s="19"/>
      <c r="F451" s="19"/>
    </row>
    <row r="452" spans="1:6" ht="15.75" customHeight="1">
      <c r="A452" s="19"/>
      <c r="C452" s="19"/>
      <c r="D452" s="19"/>
      <c r="F452" s="19"/>
    </row>
    <row r="453" spans="1:6" ht="15.75" customHeight="1">
      <c r="A453" s="19"/>
      <c r="C453" s="19"/>
      <c r="D453" s="19"/>
      <c r="F453" s="19"/>
    </row>
    <row r="454" spans="1:6" ht="15.75" customHeight="1">
      <c r="A454" s="19"/>
      <c r="C454" s="19"/>
      <c r="D454" s="19"/>
      <c r="F454" s="19"/>
    </row>
    <row r="455" spans="1:6" ht="15.75" customHeight="1">
      <c r="A455" s="19"/>
      <c r="C455" s="19"/>
      <c r="D455" s="19"/>
      <c r="F455" s="19"/>
    </row>
    <row r="456" spans="1:6" ht="15.75" customHeight="1">
      <c r="A456" s="19"/>
      <c r="C456" s="19"/>
      <c r="D456" s="19"/>
      <c r="F456" s="19"/>
    </row>
    <row r="457" spans="1:6" ht="15.75" customHeight="1">
      <c r="A457" s="19"/>
      <c r="C457" s="19"/>
      <c r="D457" s="19"/>
      <c r="F457" s="19"/>
    </row>
    <row r="458" spans="1:6" ht="15.75" customHeight="1">
      <c r="A458" s="19"/>
      <c r="C458" s="19"/>
      <c r="D458" s="19"/>
      <c r="F458" s="19"/>
    </row>
    <row r="459" spans="1:6" ht="15.75" customHeight="1">
      <c r="A459" s="19"/>
      <c r="C459" s="19"/>
      <c r="D459" s="19"/>
      <c r="F459" s="19"/>
    </row>
    <row r="460" spans="1:6" ht="15.75" customHeight="1">
      <c r="A460" s="19"/>
      <c r="C460" s="19"/>
      <c r="D460" s="19"/>
      <c r="F460" s="19"/>
    </row>
    <row r="461" spans="1:6" ht="15.75" customHeight="1">
      <c r="A461" s="19"/>
      <c r="C461" s="19"/>
      <c r="D461" s="19"/>
      <c r="F461" s="19"/>
    </row>
    <row r="462" spans="1:6" ht="15.75" customHeight="1">
      <c r="A462" s="19"/>
      <c r="C462" s="19"/>
      <c r="D462" s="19"/>
      <c r="F462" s="19"/>
    </row>
    <row r="463" spans="1:6" ht="15.75" customHeight="1">
      <c r="A463" s="19"/>
      <c r="C463" s="19"/>
      <c r="D463" s="19"/>
      <c r="F463" s="19"/>
    </row>
    <row r="464" spans="1:6" ht="15.75" customHeight="1">
      <c r="A464" s="19"/>
      <c r="C464" s="19"/>
      <c r="D464" s="19"/>
      <c r="F464" s="19"/>
    </row>
    <row r="465" spans="1:6" ht="15.75" customHeight="1">
      <c r="A465" s="19"/>
      <c r="C465" s="19"/>
      <c r="D465" s="19"/>
      <c r="F465" s="19"/>
    </row>
    <row r="466" spans="1:6" ht="15.75" customHeight="1">
      <c r="A466" s="19"/>
      <c r="C466" s="19"/>
      <c r="D466" s="19"/>
      <c r="F466" s="19"/>
    </row>
    <row r="467" spans="1:6" ht="15.75" customHeight="1">
      <c r="A467" s="19"/>
      <c r="C467" s="19"/>
      <c r="D467" s="19"/>
      <c r="F467" s="19"/>
    </row>
    <row r="468" spans="1:6" ht="15.75" customHeight="1">
      <c r="A468" s="19"/>
      <c r="C468" s="19"/>
      <c r="D468" s="19"/>
      <c r="F468" s="19"/>
    </row>
    <row r="469" spans="1:6" ht="15.75" customHeight="1">
      <c r="A469" s="19"/>
      <c r="C469" s="19"/>
      <c r="D469" s="19"/>
      <c r="F469" s="19"/>
    </row>
    <row r="470" spans="1:6" ht="15.75" customHeight="1">
      <c r="A470" s="19"/>
      <c r="C470" s="19"/>
      <c r="D470" s="19"/>
      <c r="F470" s="19"/>
    </row>
    <row r="471" spans="1:6" ht="15.75" customHeight="1">
      <c r="A471" s="19"/>
      <c r="C471" s="19"/>
      <c r="D471" s="19"/>
      <c r="F471" s="19"/>
    </row>
    <row r="472" spans="1:6" ht="15.75" customHeight="1">
      <c r="A472" s="19"/>
      <c r="C472" s="19"/>
      <c r="D472" s="19"/>
      <c r="F472" s="19"/>
    </row>
    <row r="473" spans="1:6" ht="15.75" customHeight="1">
      <c r="A473" s="19"/>
      <c r="C473" s="19"/>
      <c r="D473" s="19"/>
      <c r="F473" s="19"/>
    </row>
    <row r="474" spans="1:6" ht="15.75" customHeight="1">
      <c r="A474" s="19"/>
      <c r="C474" s="19"/>
      <c r="D474" s="19"/>
      <c r="F474" s="19"/>
    </row>
    <row r="475" spans="1:6" ht="15.75" customHeight="1">
      <c r="A475" s="19"/>
      <c r="C475" s="19"/>
      <c r="D475" s="19"/>
      <c r="F475" s="19"/>
    </row>
    <row r="476" spans="1:6" ht="15.75" customHeight="1">
      <c r="A476" s="19"/>
      <c r="C476" s="19"/>
      <c r="D476" s="19"/>
      <c r="F476" s="19"/>
    </row>
    <row r="477" spans="1:6" ht="15.75" customHeight="1">
      <c r="A477" s="19"/>
      <c r="C477" s="19"/>
      <c r="D477" s="19"/>
      <c r="F477" s="19"/>
    </row>
    <row r="478" spans="1:6" ht="15.75" customHeight="1">
      <c r="A478" s="19"/>
      <c r="C478" s="19"/>
      <c r="D478" s="19"/>
      <c r="F478" s="19"/>
    </row>
    <row r="479" spans="1:6" ht="15.75" customHeight="1">
      <c r="A479" s="19"/>
      <c r="C479" s="19"/>
      <c r="D479" s="19"/>
      <c r="F479" s="19"/>
    </row>
    <row r="480" spans="1:6" ht="15.75" customHeight="1">
      <c r="A480" s="19"/>
      <c r="C480" s="19"/>
      <c r="D480" s="19"/>
      <c r="F480" s="19"/>
    </row>
    <row r="481" spans="1:6" ht="15.75" customHeight="1">
      <c r="A481" s="19"/>
      <c r="C481" s="19"/>
      <c r="D481" s="19"/>
      <c r="F481" s="19"/>
    </row>
    <row r="482" spans="1:6" ht="15.75" customHeight="1">
      <c r="A482" s="19"/>
      <c r="C482" s="19"/>
      <c r="D482" s="19"/>
      <c r="F482" s="19"/>
    </row>
    <row r="483" spans="1:6" ht="15.75" customHeight="1">
      <c r="A483" s="19"/>
      <c r="C483" s="19"/>
      <c r="D483" s="19"/>
      <c r="F483" s="19"/>
    </row>
    <row r="484" spans="1:6" ht="15.75" customHeight="1">
      <c r="A484" s="19"/>
      <c r="C484" s="19"/>
      <c r="D484" s="19"/>
      <c r="F484" s="19"/>
    </row>
    <row r="485" spans="1:6" ht="15.75" customHeight="1">
      <c r="A485" s="19"/>
      <c r="C485" s="19"/>
      <c r="D485" s="19"/>
      <c r="F485" s="19"/>
    </row>
    <row r="486" spans="1:6" ht="15.75" customHeight="1">
      <c r="A486" s="19"/>
      <c r="C486" s="19"/>
      <c r="D486" s="19"/>
      <c r="F486" s="19"/>
    </row>
    <row r="487" spans="1:6" ht="15.75" customHeight="1">
      <c r="A487" s="19"/>
      <c r="C487" s="19"/>
      <c r="D487" s="19"/>
      <c r="F487" s="19"/>
    </row>
    <row r="488" spans="1:6" ht="15.75" customHeight="1">
      <c r="A488" s="19"/>
      <c r="C488" s="19"/>
      <c r="D488" s="19"/>
      <c r="F488" s="19"/>
    </row>
    <row r="489" spans="1:6" ht="15.75" customHeight="1">
      <c r="A489" s="19"/>
      <c r="C489" s="19"/>
      <c r="D489" s="19"/>
      <c r="F489" s="19"/>
    </row>
    <row r="490" spans="1:6" ht="15.75" customHeight="1">
      <c r="A490" s="19"/>
      <c r="C490" s="19"/>
      <c r="D490" s="19"/>
      <c r="F490" s="19"/>
    </row>
    <row r="491" spans="1:6" ht="15.75" customHeight="1">
      <c r="A491" s="19"/>
      <c r="C491" s="19"/>
      <c r="D491" s="19"/>
      <c r="F491" s="19"/>
    </row>
    <row r="492" spans="1:6" ht="15.75" customHeight="1">
      <c r="A492" s="19"/>
      <c r="C492" s="19"/>
      <c r="D492" s="19"/>
      <c r="F492" s="19"/>
    </row>
    <row r="493" spans="1:6" ht="15.75" customHeight="1">
      <c r="A493" s="19"/>
      <c r="C493" s="19"/>
      <c r="D493" s="19"/>
      <c r="F493" s="19"/>
    </row>
    <row r="494" spans="1:6" ht="15.75" customHeight="1">
      <c r="A494" s="19"/>
      <c r="C494" s="19"/>
      <c r="D494" s="19"/>
      <c r="F494" s="19"/>
    </row>
    <row r="495" spans="1:6" ht="15.75" customHeight="1">
      <c r="A495" s="19"/>
      <c r="C495" s="19"/>
      <c r="D495" s="19"/>
      <c r="F495" s="19"/>
    </row>
    <row r="496" spans="1:6" ht="15.75" customHeight="1">
      <c r="A496" s="19"/>
      <c r="C496" s="19"/>
      <c r="D496" s="19"/>
      <c r="F496" s="19"/>
    </row>
    <row r="497" spans="1:6" ht="15.75" customHeight="1">
      <c r="A497" s="19"/>
      <c r="C497" s="19"/>
      <c r="D497" s="19"/>
      <c r="F497" s="19"/>
    </row>
    <row r="498" spans="1:6" ht="15.75" customHeight="1">
      <c r="A498" s="19"/>
      <c r="C498" s="19"/>
      <c r="D498" s="19"/>
      <c r="F498" s="19"/>
    </row>
    <row r="499" spans="1:6" ht="15.75" customHeight="1">
      <c r="A499" s="19"/>
      <c r="C499" s="19"/>
      <c r="D499" s="19"/>
      <c r="F499" s="19"/>
    </row>
    <row r="500" spans="1:6" ht="15.75" customHeight="1">
      <c r="A500" s="19"/>
      <c r="C500" s="19"/>
      <c r="D500" s="19"/>
      <c r="F500" s="19"/>
    </row>
    <row r="501" spans="1:6" ht="15.75" customHeight="1">
      <c r="A501" s="19"/>
      <c r="C501" s="19"/>
      <c r="D501" s="19"/>
      <c r="F501" s="19"/>
    </row>
    <row r="502" spans="1:6" ht="15.75" customHeight="1">
      <c r="A502" s="19"/>
      <c r="C502" s="19"/>
      <c r="D502" s="19"/>
      <c r="F502" s="19"/>
    </row>
    <row r="503" spans="1:6" ht="15.75" customHeight="1">
      <c r="A503" s="19"/>
      <c r="C503" s="19"/>
      <c r="D503" s="19"/>
      <c r="F503" s="19"/>
    </row>
    <row r="504" spans="1:6" ht="15.75" customHeight="1">
      <c r="A504" s="19"/>
      <c r="C504" s="19"/>
      <c r="D504" s="19"/>
      <c r="F504" s="19"/>
    </row>
    <row r="505" spans="1:6" ht="15.75" customHeight="1">
      <c r="A505" s="19"/>
      <c r="C505" s="19"/>
      <c r="D505" s="19"/>
      <c r="F505" s="19"/>
    </row>
    <row r="506" spans="1:6" ht="15.75" customHeight="1">
      <c r="A506" s="19"/>
      <c r="C506" s="19"/>
      <c r="D506" s="19"/>
      <c r="F506" s="19"/>
    </row>
    <row r="507" spans="1:6" ht="15.75" customHeight="1">
      <c r="A507" s="19"/>
      <c r="C507" s="19"/>
      <c r="D507" s="19"/>
      <c r="F507" s="19"/>
    </row>
    <row r="508" spans="1:6" ht="15.75" customHeight="1">
      <c r="A508" s="19"/>
      <c r="C508" s="19"/>
      <c r="D508" s="19"/>
      <c r="F508" s="19"/>
    </row>
    <row r="509" spans="1:6" ht="15.75" customHeight="1">
      <c r="A509" s="19"/>
      <c r="C509" s="19"/>
      <c r="D509" s="19"/>
      <c r="F509" s="19"/>
    </row>
    <row r="510" spans="1:6" ht="15.75" customHeight="1">
      <c r="A510" s="19"/>
      <c r="C510" s="19"/>
      <c r="D510" s="19"/>
      <c r="F510" s="19"/>
    </row>
    <row r="511" spans="1:6" ht="15.75" customHeight="1">
      <c r="A511" s="19"/>
      <c r="C511" s="19"/>
      <c r="D511" s="19"/>
      <c r="F511" s="19"/>
    </row>
    <row r="512" spans="1:6" ht="15.75" customHeight="1">
      <c r="A512" s="19"/>
      <c r="C512" s="19"/>
      <c r="D512" s="19"/>
      <c r="F512" s="19"/>
    </row>
    <row r="513" spans="1:6" ht="15.75" customHeight="1">
      <c r="A513" s="19"/>
      <c r="C513" s="19"/>
      <c r="D513" s="19"/>
      <c r="F513" s="19"/>
    </row>
    <row r="514" spans="1:6" ht="15.75" customHeight="1">
      <c r="A514" s="19"/>
      <c r="C514" s="19"/>
      <c r="D514" s="19"/>
      <c r="F514" s="19"/>
    </row>
    <row r="515" spans="1:6" ht="15.75" customHeight="1">
      <c r="A515" s="19"/>
      <c r="C515" s="19"/>
      <c r="D515" s="19"/>
      <c r="F515" s="19"/>
    </row>
    <row r="516" spans="1:6" ht="15.75" customHeight="1">
      <c r="A516" s="19"/>
      <c r="C516" s="19"/>
      <c r="D516" s="19"/>
      <c r="F516" s="19"/>
    </row>
    <row r="517" spans="1:6" ht="15.75" customHeight="1">
      <c r="A517" s="19"/>
      <c r="C517" s="19"/>
      <c r="D517" s="19"/>
      <c r="F517" s="19"/>
    </row>
    <row r="518" spans="1:6" ht="15.75" customHeight="1">
      <c r="A518" s="19"/>
      <c r="C518" s="19"/>
      <c r="D518" s="19"/>
      <c r="F518" s="19"/>
    </row>
    <row r="519" spans="1:6" ht="15.75" customHeight="1">
      <c r="A519" s="19"/>
      <c r="C519" s="19"/>
      <c r="D519" s="19"/>
      <c r="F519" s="19"/>
    </row>
    <row r="520" spans="1:6" ht="15.75" customHeight="1">
      <c r="A520" s="19"/>
      <c r="C520" s="19"/>
      <c r="D520" s="19"/>
      <c r="F520" s="19"/>
    </row>
    <row r="521" spans="1:6" ht="15.75" customHeight="1">
      <c r="A521" s="19"/>
      <c r="C521" s="19"/>
      <c r="D521" s="19"/>
      <c r="F521" s="19"/>
    </row>
    <row r="522" spans="1:6" ht="15.75" customHeight="1">
      <c r="A522" s="19"/>
      <c r="C522" s="19"/>
      <c r="D522" s="19"/>
      <c r="F522" s="19"/>
    </row>
    <row r="523" spans="1:6" ht="15.75" customHeight="1">
      <c r="A523" s="19"/>
      <c r="C523" s="19"/>
      <c r="D523" s="19"/>
      <c r="F523" s="19"/>
    </row>
    <row r="524" spans="1:6" ht="15.75" customHeight="1">
      <c r="A524" s="19"/>
      <c r="C524" s="19"/>
      <c r="D524" s="19"/>
      <c r="F524" s="19"/>
    </row>
    <row r="525" spans="1:6" ht="15.75" customHeight="1">
      <c r="A525" s="19"/>
      <c r="C525" s="19"/>
      <c r="D525" s="19"/>
      <c r="F525" s="19"/>
    </row>
    <row r="526" spans="1:6" ht="15.75" customHeight="1">
      <c r="A526" s="19"/>
      <c r="C526" s="19"/>
      <c r="D526" s="19"/>
      <c r="F526" s="19"/>
    </row>
    <row r="527" spans="1:6" ht="15.75" customHeight="1">
      <c r="A527" s="19"/>
      <c r="C527" s="19"/>
      <c r="D527" s="19"/>
      <c r="F527" s="19"/>
    </row>
    <row r="528" spans="1:6" ht="15.75" customHeight="1">
      <c r="A528" s="19"/>
      <c r="C528" s="19"/>
      <c r="D528" s="19"/>
      <c r="F528" s="19"/>
    </row>
    <row r="529" spans="1:6" ht="15.75" customHeight="1">
      <c r="A529" s="19"/>
      <c r="C529" s="19"/>
      <c r="D529" s="19"/>
      <c r="F529" s="19"/>
    </row>
    <row r="530" spans="1:6" ht="15.75" customHeight="1">
      <c r="A530" s="19"/>
      <c r="C530" s="19"/>
      <c r="D530" s="19"/>
      <c r="F530" s="19"/>
    </row>
    <row r="531" spans="1:6" ht="15.75" customHeight="1">
      <c r="A531" s="19"/>
      <c r="C531" s="19"/>
      <c r="D531" s="19"/>
      <c r="F531" s="19"/>
    </row>
    <row r="532" spans="1:6" ht="15.75" customHeight="1">
      <c r="A532" s="19"/>
      <c r="C532" s="19"/>
      <c r="D532" s="19"/>
      <c r="F532" s="19"/>
    </row>
    <row r="533" spans="1:6" ht="15.75" customHeight="1">
      <c r="A533" s="19"/>
      <c r="C533" s="19"/>
      <c r="D533" s="19"/>
      <c r="F533" s="19"/>
    </row>
    <row r="534" spans="1:6" ht="15.75" customHeight="1">
      <c r="A534" s="19"/>
      <c r="C534" s="19"/>
      <c r="D534" s="19"/>
      <c r="F534" s="19"/>
    </row>
    <row r="535" spans="1:6" ht="15.75" customHeight="1">
      <c r="A535" s="19"/>
      <c r="C535" s="19"/>
      <c r="D535" s="19"/>
      <c r="F535" s="19"/>
    </row>
    <row r="536" spans="1:6" ht="15.75" customHeight="1">
      <c r="A536" s="19"/>
      <c r="C536" s="19"/>
      <c r="D536" s="19"/>
      <c r="F536" s="19"/>
    </row>
    <row r="537" spans="1:6" ht="15.75" customHeight="1">
      <c r="A537" s="19"/>
      <c r="C537" s="19"/>
      <c r="D537" s="19"/>
      <c r="F537" s="19"/>
    </row>
    <row r="538" spans="1:6" ht="15.75" customHeight="1">
      <c r="A538" s="19"/>
      <c r="C538" s="19"/>
      <c r="D538" s="19"/>
      <c r="F538" s="19"/>
    </row>
    <row r="539" spans="1:6" ht="15.75" customHeight="1">
      <c r="A539" s="19"/>
      <c r="C539" s="19"/>
      <c r="D539" s="19"/>
      <c r="F539" s="19"/>
    </row>
    <row r="540" spans="1:6" ht="15.75" customHeight="1">
      <c r="A540" s="19"/>
      <c r="C540" s="19"/>
      <c r="D540" s="19"/>
      <c r="F540" s="19"/>
    </row>
    <row r="541" spans="1:6" ht="15.75" customHeight="1">
      <c r="A541" s="19"/>
      <c r="C541" s="19"/>
      <c r="D541" s="19"/>
      <c r="F541" s="19"/>
    </row>
    <row r="542" spans="1:6" ht="15.75" customHeight="1">
      <c r="A542" s="19"/>
      <c r="C542" s="19"/>
      <c r="D542" s="19"/>
      <c r="F542" s="19"/>
    </row>
    <row r="543" spans="1:6" ht="15.75" customHeight="1">
      <c r="A543" s="19"/>
      <c r="C543" s="19"/>
      <c r="D543" s="19"/>
      <c r="F543" s="19"/>
    </row>
    <row r="544" spans="1:6" ht="15.75" customHeight="1">
      <c r="A544" s="19"/>
      <c r="C544" s="19"/>
      <c r="D544" s="19"/>
      <c r="F544" s="19"/>
    </row>
    <row r="545" spans="1:6" ht="15.75" customHeight="1">
      <c r="A545" s="19"/>
      <c r="C545" s="19"/>
      <c r="D545" s="19"/>
      <c r="F545" s="19"/>
    </row>
    <row r="546" spans="1:6" ht="15.75" customHeight="1">
      <c r="A546" s="19"/>
      <c r="C546" s="19"/>
      <c r="D546" s="19"/>
      <c r="F546" s="19"/>
    </row>
    <row r="547" spans="1:6" ht="15.75" customHeight="1">
      <c r="A547" s="19"/>
      <c r="C547" s="19"/>
      <c r="D547" s="19"/>
      <c r="F547" s="19"/>
    </row>
    <row r="548" spans="1:6" ht="15.75" customHeight="1">
      <c r="A548" s="19"/>
      <c r="C548" s="19"/>
      <c r="D548" s="19"/>
      <c r="F548" s="19"/>
    </row>
    <row r="549" spans="1:6" ht="15.75" customHeight="1">
      <c r="A549" s="19"/>
      <c r="C549" s="19"/>
      <c r="D549" s="19"/>
      <c r="F549" s="19"/>
    </row>
    <row r="550" spans="1:6" ht="15.75" customHeight="1">
      <c r="A550" s="19"/>
      <c r="C550" s="19"/>
      <c r="D550" s="19"/>
      <c r="F550" s="19"/>
    </row>
    <row r="551" spans="1:6" ht="15.75" customHeight="1">
      <c r="A551" s="19"/>
      <c r="C551" s="19"/>
      <c r="D551" s="19"/>
      <c r="F551" s="19"/>
    </row>
    <row r="552" spans="1:6" ht="15.75" customHeight="1">
      <c r="A552" s="19"/>
      <c r="C552" s="19"/>
      <c r="D552" s="19"/>
      <c r="F552" s="19"/>
    </row>
    <row r="553" spans="1:6" ht="15.75" customHeight="1">
      <c r="A553" s="19"/>
      <c r="C553" s="19"/>
      <c r="D553" s="19"/>
      <c r="F553" s="19"/>
    </row>
    <row r="554" spans="1:6" ht="15.75" customHeight="1">
      <c r="A554" s="19"/>
      <c r="C554" s="19"/>
      <c r="D554" s="19"/>
      <c r="F554" s="19"/>
    </row>
    <row r="555" spans="1:6" ht="15.75" customHeight="1">
      <c r="A555" s="19"/>
      <c r="C555" s="19"/>
      <c r="D555" s="19"/>
      <c r="F555" s="19"/>
    </row>
    <row r="556" spans="1:6" ht="15.75" customHeight="1">
      <c r="A556" s="19"/>
      <c r="C556" s="19"/>
      <c r="D556" s="19"/>
      <c r="F556" s="19"/>
    </row>
    <row r="557" spans="1:6" ht="15.75" customHeight="1">
      <c r="A557" s="19"/>
      <c r="C557" s="19"/>
      <c r="D557" s="19"/>
      <c r="F557" s="19"/>
    </row>
    <row r="558" spans="1:6" ht="15.75" customHeight="1">
      <c r="A558" s="19"/>
      <c r="C558" s="19"/>
      <c r="D558" s="19"/>
      <c r="F558" s="19"/>
    </row>
    <row r="559" spans="1:6" ht="15.75" customHeight="1">
      <c r="A559" s="19"/>
      <c r="C559" s="19"/>
      <c r="D559" s="19"/>
      <c r="F559" s="19"/>
    </row>
    <row r="560" spans="1:6" ht="15.75" customHeight="1">
      <c r="A560" s="19"/>
      <c r="C560" s="19"/>
      <c r="D560" s="19"/>
      <c r="F560" s="19"/>
    </row>
    <row r="561" spans="1:6" ht="15.75" customHeight="1">
      <c r="A561" s="19"/>
      <c r="C561" s="19"/>
      <c r="D561" s="19"/>
      <c r="F561" s="19"/>
    </row>
    <row r="562" spans="1:6" ht="15.75" customHeight="1">
      <c r="A562" s="19"/>
      <c r="C562" s="19"/>
      <c r="D562" s="19"/>
      <c r="F562" s="19"/>
    </row>
    <row r="563" spans="1:6" ht="15.75" customHeight="1">
      <c r="A563" s="19"/>
      <c r="C563" s="19"/>
      <c r="D563" s="19"/>
      <c r="F563" s="19"/>
    </row>
    <row r="564" spans="1:6" ht="15.75" customHeight="1">
      <c r="A564" s="19"/>
      <c r="C564" s="19"/>
      <c r="D564" s="19"/>
      <c r="F564" s="19"/>
    </row>
    <row r="565" spans="1:6" ht="15.75" customHeight="1">
      <c r="A565" s="19"/>
      <c r="C565" s="19"/>
      <c r="D565" s="19"/>
      <c r="F565" s="19"/>
    </row>
    <row r="566" spans="1:6" ht="15.75" customHeight="1">
      <c r="A566" s="19"/>
      <c r="C566" s="19"/>
      <c r="D566" s="19"/>
      <c r="F566" s="19"/>
    </row>
    <row r="567" spans="1:6" ht="15.75" customHeight="1">
      <c r="A567" s="19"/>
      <c r="C567" s="19"/>
      <c r="D567" s="19"/>
      <c r="F567" s="19"/>
    </row>
    <row r="568" spans="1:6" ht="15.75" customHeight="1">
      <c r="A568" s="19"/>
      <c r="C568" s="19"/>
      <c r="D568" s="19"/>
      <c r="F568" s="19"/>
    </row>
    <row r="569" spans="1:6" ht="15.75" customHeight="1">
      <c r="A569" s="19"/>
      <c r="C569" s="19"/>
      <c r="D569" s="19"/>
      <c r="F569" s="19"/>
    </row>
    <row r="570" spans="1:6" ht="15.75" customHeight="1">
      <c r="A570" s="19"/>
      <c r="C570" s="19"/>
      <c r="D570" s="19"/>
      <c r="F570" s="19"/>
    </row>
    <row r="571" spans="1:6" ht="15.75" customHeight="1">
      <c r="A571" s="19"/>
      <c r="C571" s="19"/>
      <c r="D571" s="19"/>
      <c r="F571" s="19"/>
    </row>
    <row r="572" spans="1:6" ht="15.75" customHeight="1">
      <c r="A572" s="19"/>
      <c r="C572" s="19"/>
      <c r="D572" s="19"/>
      <c r="F572" s="19"/>
    </row>
    <row r="573" spans="1:6" ht="15.75" customHeight="1">
      <c r="A573" s="19"/>
      <c r="C573" s="19"/>
      <c r="D573" s="19"/>
      <c r="F573" s="19"/>
    </row>
    <row r="574" spans="1:6" ht="15.75" customHeight="1">
      <c r="A574" s="19"/>
      <c r="C574" s="19"/>
      <c r="D574" s="19"/>
      <c r="F574" s="19"/>
    </row>
    <row r="575" spans="1:6" ht="15.75" customHeight="1">
      <c r="A575" s="19"/>
      <c r="C575" s="19"/>
      <c r="D575" s="19"/>
      <c r="F575" s="19"/>
    </row>
    <row r="576" spans="1:6" ht="15.75" customHeight="1">
      <c r="A576" s="19"/>
      <c r="C576" s="19"/>
      <c r="D576" s="19"/>
      <c r="F576" s="19"/>
    </row>
    <row r="577" spans="1:6" ht="15.75" customHeight="1">
      <c r="A577" s="19"/>
      <c r="C577" s="19"/>
      <c r="D577" s="19"/>
      <c r="F577" s="19"/>
    </row>
    <row r="578" spans="1:6" ht="15.75" customHeight="1">
      <c r="A578" s="19"/>
      <c r="C578" s="19"/>
      <c r="D578" s="19"/>
      <c r="F578" s="19"/>
    </row>
    <row r="579" spans="1:6" ht="15.75" customHeight="1">
      <c r="A579" s="19"/>
      <c r="C579" s="19"/>
      <c r="D579" s="19"/>
      <c r="F579" s="19"/>
    </row>
    <row r="580" spans="1:6" ht="15.75" customHeight="1">
      <c r="A580" s="19"/>
      <c r="C580" s="19"/>
      <c r="D580" s="19"/>
      <c r="F580" s="19"/>
    </row>
    <row r="581" spans="1:6" ht="15.75" customHeight="1">
      <c r="A581" s="19"/>
      <c r="C581" s="19"/>
      <c r="D581" s="19"/>
      <c r="F581" s="19"/>
    </row>
    <row r="582" spans="1:6" ht="15.75" customHeight="1">
      <c r="A582" s="19"/>
      <c r="C582" s="19"/>
      <c r="D582" s="19"/>
      <c r="F582" s="19"/>
    </row>
    <row r="583" spans="1:6" ht="15.75" customHeight="1">
      <c r="A583" s="19"/>
      <c r="C583" s="19"/>
      <c r="D583" s="19"/>
      <c r="F583" s="19"/>
    </row>
    <row r="584" spans="1:6" ht="15.75" customHeight="1">
      <c r="A584" s="19"/>
      <c r="C584" s="19"/>
      <c r="D584" s="19"/>
      <c r="F584" s="19"/>
    </row>
    <row r="585" spans="1:6" ht="15.75" customHeight="1">
      <c r="A585" s="19"/>
      <c r="C585" s="19"/>
      <c r="D585" s="19"/>
      <c r="F585" s="19"/>
    </row>
    <row r="586" spans="1:6" ht="15.75" customHeight="1">
      <c r="A586" s="19"/>
      <c r="C586" s="19"/>
      <c r="D586" s="19"/>
      <c r="F586" s="19"/>
    </row>
    <row r="587" spans="1:6" ht="15.75" customHeight="1">
      <c r="A587" s="19"/>
      <c r="C587" s="19"/>
      <c r="D587" s="19"/>
      <c r="F587" s="19"/>
    </row>
    <row r="588" spans="1:6" ht="15.75" customHeight="1">
      <c r="A588" s="19"/>
      <c r="C588" s="19"/>
      <c r="D588" s="19"/>
      <c r="F588" s="19"/>
    </row>
    <row r="589" spans="1:6" ht="15.75" customHeight="1">
      <c r="A589" s="19"/>
      <c r="C589" s="19"/>
      <c r="D589" s="19"/>
      <c r="F589" s="19"/>
    </row>
    <row r="590" spans="1:6" ht="15.75" customHeight="1">
      <c r="A590" s="19"/>
      <c r="C590" s="19"/>
      <c r="D590" s="19"/>
      <c r="F590" s="19"/>
    </row>
    <row r="591" spans="1:6" ht="15.75" customHeight="1">
      <c r="A591" s="19"/>
      <c r="C591" s="19"/>
      <c r="D591" s="19"/>
      <c r="F591" s="19"/>
    </row>
    <row r="592" spans="1:6" ht="15.75" customHeight="1">
      <c r="A592" s="19"/>
      <c r="C592" s="19"/>
      <c r="D592" s="19"/>
      <c r="F592" s="19"/>
    </row>
    <row r="593" spans="1:6" ht="15.75" customHeight="1">
      <c r="A593" s="19"/>
      <c r="C593" s="19"/>
      <c r="D593" s="19"/>
      <c r="F593" s="19"/>
    </row>
    <row r="594" spans="1:6" ht="15.75" customHeight="1">
      <c r="A594" s="19"/>
      <c r="C594" s="19"/>
      <c r="D594" s="19"/>
      <c r="F594" s="19"/>
    </row>
    <row r="595" spans="1:6" ht="15.75" customHeight="1">
      <c r="A595" s="19"/>
      <c r="C595" s="19"/>
      <c r="D595" s="19"/>
      <c r="F595" s="19"/>
    </row>
    <row r="596" spans="1:6" ht="15.75" customHeight="1">
      <c r="A596" s="19"/>
      <c r="C596" s="19"/>
      <c r="D596" s="19"/>
      <c r="F596" s="19"/>
    </row>
    <row r="597" spans="1:6" ht="15.75" customHeight="1">
      <c r="A597" s="19"/>
      <c r="C597" s="19"/>
      <c r="D597" s="19"/>
      <c r="F597" s="19"/>
    </row>
    <row r="598" spans="1:6" ht="15.75" customHeight="1">
      <c r="A598" s="19"/>
      <c r="C598" s="19"/>
      <c r="D598" s="19"/>
      <c r="F598" s="19"/>
    </row>
    <row r="599" spans="1:6" ht="15.75" customHeight="1">
      <c r="A599" s="19"/>
      <c r="C599" s="19"/>
      <c r="D599" s="19"/>
      <c r="F599" s="19"/>
    </row>
    <row r="600" spans="1:6" ht="15.75" customHeight="1">
      <c r="A600" s="19"/>
      <c r="C600" s="19"/>
      <c r="D600" s="19"/>
      <c r="F600" s="19"/>
    </row>
    <row r="601" spans="1:6" ht="15.75" customHeight="1">
      <c r="A601" s="19"/>
      <c r="C601" s="19"/>
      <c r="D601" s="19"/>
      <c r="F601" s="19"/>
    </row>
    <row r="602" spans="1:6" ht="15.75" customHeight="1">
      <c r="A602" s="19"/>
      <c r="C602" s="19"/>
      <c r="D602" s="19"/>
      <c r="F602" s="19"/>
    </row>
    <row r="603" spans="1:6" ht="15.75" customHeight="1">
      <c r="A603" s="19"/>
      <c r="C603" s="19"/>
      <c r="D603" s="19"/>
      <c r="F603" s="19"/>
    </row>
    <row r="604" spans="1:6" ht="15.75" customHeight="1">
      <c r="A604" s="19"/>
      <c r="C604" s="19"/>
      <c r="D604" s="19"/>
      <c r="F604" s="19"/>
    </row>
    <row r="605" spans="1:6" ht="15.75" customHeight="1">
      <c r="A605" s="19"/>
      <c r="C605" s="19"/>
      <c r="D605" s="19"/>
      <c r="F605" s="19"/>
    </row>
    <row r="606" spans="1:6" ht="15.75" customHeight="1">
      <c r="A606" s="19"/>
      <c r="C606" s="19"/>
      <c r="D606" s="19"/>
      <c r="F606" s="19"/>
    </row>
    <row r="607" spans="1:6" ht="15.75" customHeight="1">
      <c r="A607" s="19"/>
      <c r="C607" s="19"/>
      <c r="D607" s="19"/>
      <c r="F607" s="19"/>
    </row>
    <row r="608" spans="1:6" ht="15.75" customHeight="1">
      <c r="A608" s="19"/>
      <c r="C608" s="19"/>
      <c r="D608" s="19"/>
      <c r="F608" s="19"/>
    </row>
    <row r="609" spans="1:6" ht="15.75" customHeight="1">
      <c r="A609" s="19"/>
      <c r="C609" s="19"/>
      <c r="D609" s="19"/>
      <c r="F609" s="19"/>
    </row>
    <row r="610" spans="1:6" ht="15.75" customHeight="1">
      <c r="A610" s="19"/>
      <c r="C610" s="19"/>
      <c r="D610" s="19"/>
      <c r="F610" s="19"/>
    </row>
    <row r="611" spans="1:6" ht="15.75" customHeight="1">
      <c r="A611" s="19"/>
      <c r="C611" s="19"/>
      <c r="D611" s="19"/>
      <c r="F611" s="19"/>
    </row>
    <row r="612" spans="1:6" ht="15.75" customHeight="1">
      <c r="A612" s="19"/>
      <c r="C612" s="19"/>
      <c r="D612" s="19"/>
      <c r="F612" s="19"/>
    </row>
    <row r="613" spans="1:6" ht="15.75" customHeight="1">
      <c r="A613" s="19"/>
      <c r="C613" s="19"/>
      <c r="D613" s="19"/>
      <c r="F613" s="19"/>
    </row>
    <row r="614" spans="1:6" ht="15.75" customHeight="1">
      <c r="A614" s="19"/>
      <c r="C614" s="19"/>
      <c r="D614" s="19"/>
      <c r="F614" s="19"/>
    </row>
    <row r="615" spans="1:6" ht="15.75" customHeight="1">
      <c r="A615" s="19"/>
      <c r="C615" s="19"/>
      <c r="D615" s="19"/>
      <c r="F615" s="19"/>
    </row>
    <row r="616" spans="1:6" ht="15.75" customHeight="1">
      <c r="A616" s="19"/>
      <c r="C616" s="19"/>
      <c r="D616" s="19"/>
      <c r="F616" s="19"/>
    </row>
    <row r="617" spans="1:6" ht="15.75" customHeight="1">
      <c r="A617" s="19"/>
      <c r="C617" s="19"/>
      <c r="D617" s="19"/>
      <c r="F617" s="19"/>
    </row>
    <row r="618" spans="1:6" ht="15.75" customHeight="1">
      <c r="A618" s="19"/>
      <c r="C618" s="19"/>
      <c r="D618" s="19"/>
      <c r="F618" s="19"/>
    </row>
    <row r="619" spans="1:6" ht="15.75" customHeight="1">
      <c r="A619" s="19"/>
      <c r="C619" s="19"/>
      <c r="D619" s="19"/>
      <c r="F619" s="19"/>
    </row>
    <row r="620" spans="1:6" ht="15.75" customHeight="1">
      <c r="A620" s="19"/>
      <c r="C620" s="19"/>
      <c r="D620" s="19"/>
      <c r="F620" s="19"/>
    </row>
    <row r="621" spans="1:6" ht="15.75" customHeight="1">
      <c r="A621" s="19"/>
      <c r="C621" s="19"/>
      <c r="D621" s="19"/>
      <c r="F621" s="19"/>
    </row>
    <row r="622" spans="1:6" ht="15.75" customHeight="1">
      <c r="A622" s="19"/>
      <c r="C622" s="19"/>
      <c r="D622" s="19"/>
      <c r="F622" s="19"/>
    </row>
    <row r="623" spans="1:6" ht="15.75" customHeight="1">
      <c r="A623" s="19"/>
      <c r="C623" s="19"/>
      <c r="D623" s="19"/>
      <c r="F623" s="19"/>
    </row>
    <row r="624" spans="1:6" ht="15.75" customHeight="1">
      <c r="A624" s="19"/>
      <c r="C624" s="19"/>
      <c r="D624" s="19"/>
      <c r="F624" s="19"/>
    </row>
    <row r="625" spans="1:6" ht="15.75" customHeight="1">
      <c r="A625" s="19"/>
      <c r="C625" s="19"/>
      <c r="D625" s="19"/>
      <c r="F625" s="19"/>
    </row>
    <row r="626" spans="1:6" ht="15.75" customHeight="1">
      <c r="A626" s="19"/>
      <c r="C626" s="19"/>
      <c r="D626" s="19"/>
      <c r="F626" s="19"/>
    </row>
    <row r="627" spans="1:6" ht="15.75" customHeight="1">
      <c r="A627" s="19"/>
      <c r="C627" s="19"/>
      <c r="D627" s="19"/>
      <c r="F627" s="19"/>
    </row>
    <row r="628" spans="1:6" ht="15.75" customHeight="1">
      <c r="A628" s="19"/>
      <c r="C628" s="19"/>
      <c r="D628" s="19"/>
      <c r="F628" s="19"/>
    </row>
    <row r="629" spans="1:6" ht="15.75" customHeight="1">
      <c r="A629" s="19"/>
      <c r="C629" s="19"/>
      <c r="D629" s="19"/>
      <c r="F629" s="19"/>
    </row>
    <row r="630" spans="1:6" ht="15.75" customHeight="1">
      <c r="A630" s="19"/>
      <c r="C630" s="19"/>
      <c r="D630" s="19"/>
      <c r="F630" s="19"/>
    </row>
    <row r="631" spans="1:6" ht="15.75" customHeight="1">
      <c r="A631" s="19"/>
      <c r="C631" s="19"/>
      <c r="D631" s="19"/>
      <c r="F631" s="19"/>
    </row>
    <row r="632" spans="1:6" ht="15.75" customHeight="1">
      <c r="A632" s="19"/>
      <c r="C632" s="19"/>
      <c r="D632" s="19"/>
      <c r="F632" s="19"/>
    </row>
    <row r="633" spans="1:6" ht="15.75" customHeight="1">
      <c r="A633" s="19"/>
      <c r="C633" s="19"/>
      <c r="D633" s="19"/>
      <c r="F633" s="19"/>
    </row>
    <row r="634" spans="1:6" ht="15.75" customHeight="1">
      <c r="A634" s="19"/>
      <c r="C634" s="19"/>
      <c r="D634" s="19"/>
      <c r="F634" s="19"/>
    </row>
    <row r="635" spans="1:6" ht="15.75" customHeight="1">
      <c r="A635" s="19"/>
      <c r="C635" s="19"/>
      <c r="D635" s="19"/>
      <c r="F635" s="19"/>
    </row>
    <row r="636" spans="1:6" ht="15.75" customHeight="1">
      <c r="A636" s="19"/>
      <c r="C636" s="19"/>
      <c r="D636" s="19"/>
      <c r="F636" s="19"/>
    </row>
    <row r="637" spans="1:6" ht="15.75" customHeight="1">
      <c r="A637" s="19"/>
      <c r="C637" s="19"/>
      <c r="D637" s="19"/>
      <c r="F637" s="19"/>
    </row>
    <row r="638" spans="1:6" ht="15.75" customHeight="1">
      <c r="A638" s="19"/>
      <c r="C638" s="19"/>
      <c r="D638" s="19"/>
      <c r="F638" s="19"/>
    </row>
    <row r="639" spans="1:6" ht="15.75" customHeight="1">
      <c r="A639" s="19"/>
      <c r="C639" s="19"/>
      <c r="D639" s="19"/>
      <c r="F639" s="19"/>
    </row>
    <row r="640" spans="1:6" ht="15.75" customHeight="1">
      <c r="A640" s="19"/>
      <c r="C640" s="19"/>
      <c r="D640" s="19"/>
      <c r="F640" s="19"/>
    </row>
    <row r="641" spans="1:6" ht="15.75" customHeight="1">
      <c r="A641" s="19"/>
      <c r="C641" s="19"/>
      <c r="D641" s="19"/>
      <c r="F641" s="19"/>
    </row>
    <row r="642" spans="1:6" ht="15.75" customHeight="1">
      <c r="A642" s="19"/>
      <c r="C642" s="19"/>
      <c r="D642" s="19"/>
      <c r="F642" s="19"/>
    </row>
    <row r="643" spans="1:6" ht="15.75" customHeight="1">
      <c r="A643" s="19"/>
      <c r="C643" s="19"/>
      <c r="D643" s="19"/>
      <c r="F643" s="19"/>
    </row>
    <row r="644" spans="1:6" ht="15.75" customHeight="1">
      <c r="A644" s="19"/>
      <c r="C644" s="19"/>
      <c r="D644" s="19"/>
      <c r="F644" s="19"/>
    </row>
    <row r="645" spans="1:6" ht="15.75" customHeight="1">
      <c r="A645" s="19"/>
      <c r="C645" s="19"/>
      <c r="D645" s="19"/>
      <c r="F645" s="19"/>
    </row>
    <row r="646" spans="1:6" ht="15.75" customHeight="1">
      <c r="A646" s="19"/>
      <c r="C646" s="19"/>
      <c r="D646" s="19"/>
      <c r="F646" s="19"/>
    </row>
    <row r="647" spans="1:6" ht="15.75" customHeight="1">
      <c r="A647" s="19"/>
      <c r="C647" s="19"/>
      <c r="D647" s="19"/>
      <c r="F647" s="19"/>
    </row>
    <row r="648" spans="1:6" ht="15.75" customHeight="1">
      <c r="A648" s="19"/>
      <c r="C648" s="19"/>
      <c r="D648" s="19"/>
      <c r="F648" s="19"/>
    </row>
    <row r="649" spans="1:6" ht="15.75" customHeight="1">
      <c r="A649" s="19"/>
      <c r="C649" s="19"/>
      <c r="D649" s="19"/>
      <c r="F649" s="19"/>
    </row>
    <row r="650" spans="1:6" ht="15.75" customHeight="1">
      <c r="A650" s="19"/>
      <c r="C650" s="19"/>
      <c r="D650" s="19"/>
      <c r="F650" s="19"/>
    </row>
    <row r="651" spans="1:6" ht="15.75" customHeight="1">
      <c r="A651" s="19"/>
      <c r="C651" s="19"/>
      <c r="D651" s="19"/>
      <c r="F651" s="19"/>
    </row>
    <row r="652" spans="1:6" ht="15.75" customHeight="1">
      <c r="A652" s="19"/>
      <c r="C652" s="19"/>
      <c r="D652" s="19"/>
      <c r="F652" s="19"/>
    </row>
    <row r="653" spans="1:6" ht="15.75" customHeight="1">
      <c r="A653" s="19"/>
      <c r="C653" s="19"/>
      <c r="D653" s="19"/>
      <c r="F653" s="19"/>
    </row>
    <row r="654" spans="1:6" ht="15.75" customHeight="1">
      <c r="A654" s="19"/>
      <c r="C654" s="19"/>
      <c r="D654" s="19"/>
      <c r="F654" s="19"/>
    </row>
    <row r="655" spans="1:6" ht="15.75" customHeight="1">
      <c r="A655" s="19"/>
      <c r="C655" s="19"/>
      <c r="D655" s="19"/>
      <c r="F655" s="19"/>
    </row>
    <row r="656" spans="1:6" ht="15.75" customHeight="1">
      <c r="A656" s="19"/>
      <c r="C656" s="19"/>
      <c r="D656" s="19"/>
      <c r="F656" s="19"/>
    </row>
    <row r="657" spans="1:6" ht="15.75" customHeight="1">
      <c r="A657" s="19"/>
      <c r="C657" s="19"/>
      <c r="D657" s="19"/>
      <c r="F657" s="19"/>
    </row>
    <row r="658" spans="1:6" ht="15.75" customHeight="1">
      <c r="A658" s="19"/>
      <c r="C658" s="19"/>
      <c r="D658" s="19"/>
      <c r="F658" s="19"/>
    </row>
    <row r="659" spans="1:6" ht="15.75" customHeight="1">
      <c r="A659" s="19"/>
      <c r="C659" s="19"/>
      <c r="D659" s="19"/>
      <c r="F659" s="19"/>
    </row>
    <row r="660" spans="1:6" ht="15.75" customHeight="1">
      <c r="A660" s="19"/>
      <c r="C660" s="19"/>
      <c r="D660" s="19"/>
      <c r="F660" s="19"/>
    </row>
    <row r="661" spans="1:6" ht="15.75" customHeight="1">
      <c r="A661" s="19"/>
      <c r="C661" s="19"/>
      <c r="D661" s="19"/>
      <c r="F661" s="19"/>
    </row>
    <row r="662" spans="1:6" ht="15.75" customHeight="1">
      <c r="A662" s="19"/>
      <c r="C662" s="19"/>
      <c r="D662" s="19"/>
      <c r="F662" s="19"/>
    </row>
    <row r="663" spans="1:6" ht="15.75" customHeight="1">
      <c r="A663" s="19"/>
      <c r="C663" s="19"/>
      <c r="D663" s="19"/>
      <c r="F663" s="19"/>
    </row>
    <row r="664" spans="1:6" ht="15.75" customHeight="1">
      <c r="A664" s="19"/>
      <c r="C664" s="19"/>
      <c r="D664" s="19"/>
      <c r="F664" s="19"/>
    </row>
    <row r="665" spans="1:6" ht="15.75" customHeight="1">
      <c r="A665" s="19"/>
      <c r="C665" s="19"/>
      <c r="D665" s="19"/>
      <c r="F665" s="19"/>
    </row>
    <row r="666" spans="1:6" ht="15.75" customHeight="1">
      <c r="A666" s="19"/>
      <c r="C666" s="19"/>
      <c r="D666" s="19"/>
      <c r="F666" s="19"/>
    </row>
    <row r="667" spans="1:6" ht="15.75" customHeight="1">
      <c r="A667" s="19"/>
      <c r="C667" s="19"/>
      <c r="D667" s="19"/>
      <c r="F667" s="19"/>
    </row>
    <row r="668" spans="1:6" ht="15.75" customHeight="1">
      <c r="A668" s="19"/>
      <c r="C668" s="19"/>
      <c r="D668" s="19"/>
      <c r="F668" s="19"/>
    </row>
    <row r="669" spans="1:6" ht="15.75" customHeight="1">
      <c r="A669" s="19"/>
      <c r="C669" s="19"/>
      <c r="D669" s="19"/>
      <c r="F669" s="19"/>
    </row>
    <row r="670" spans="1:6" ht="15.75" customHeight="1">
      <c r="A670" s="19"/>
      <c r="C670" s="19"/>
      <c r="D670" s="19"/>
      <c r="F670" s="19"/>
    </row>
    <row r="671" spans="1:6" ht="15.75" customHeight="1">
      <c r="A671" s="19"/>
      <c r="C671" s="19"/>
      <c r="D671" s="19"/>
      <c r="F671" s="19"/>
    </row>
    <row r="672" spans="1:6" ht="15.75" customHeight="1">
      <c r="A672" s="19"/>
      <c r="C672" s="19"/>
      <c r="D672" s="19"/>
      <c r="F672" s="19"/>
    </row>
    <row r="673" spans="1:6" ht="15.75" customHeight="1">
      <c r="A673" s="19"/>
      <c r="C673" s="19"/>
      <c r="D673" s="19"/>
      <c r="F673" s="19"/>
    </row>
    <row r="674" spans="1:6" ht="15.75" customHeight="1">
      <c r="A674" s="19"/>
      <c r="C674" s="19"/>
      <c r="D674" s="19"/>
      <c r="F674" s="19"/>
    </row>
    <row r="675" spans="1:6" ht="15.75" customHeight="1">
      <c r="A675" s="19"/>
      <c r="C675" s="19"/>
      <c r="D675" s="19"/>
      <c r="F675" s="19"/>
    </row>
    <row r="676" spans="1:6" ht="15.75" customHeight="1">
      <c r="A676" s="19"/>
      <c r="C676" s="19"/>
      <c r="D676" s="19"/>
      <c r="F676" s="19"/>
    </row>
    <row r="677" spans="1:6" ht="15.75" customHeight="1">
      <c r="A677" s="19"/>
      <c r="C677" s="19"/>
      <c r="D677" s="19"/>
      <c r="F677" s="19"/>
    </row>
    <row r="678" spans="1:6" ht="15.75" customHeight="1">
      <c r="A678" s="19"/>
      <c r="C678" s="19"/>
      <c r="D678" s="19"/>
      <c r="F678" s="19"/>
    </row>
    <row r="679" spans="1:6" ht="15.75" customHeight="1">
      <c r="A679" s="19"/>
      <c r="C679" s="19"/>
      <c r="D679" s="19"/>
      <c r="F679" s="19"/>
    </row>
    <row r="680" spans="1:6" ht="15.75" customHeight="1">
      <c r="A680" s="19"/>
      <c r="C680" s="19"/>
      <c r="D680" s="19"/>
      <c r="F680" s="19"/>
    </row>
    <row r="681" spans="1:6" ht="15.75" customHeight="1">
      <c r="A681" s="19"/>
      <c r="C681" s="19"/>
      <c r="D681" s="19"/>
      <c r="F681" s="19"/>
    </row>
    <row r="682" spans="1:6" ht="15.75" customHeight="1">
      <c r="A682" s="19"/>
      <c r="C682" s="19"/>
      <c r="D682" s="19"/>
      <c r="F682" s="19"/>
    </row>
    <row r="683" spans="1:6" ht="15.75" customHeight="1">
      <c r="A683" s="19"/>
      <c r="C683" s="19"/>
      <c r="D683" s="19"/>
      <c r="F683" s="19"/>
    </row>
    <row r="684" spans="1:6" ht="15.75" customHeight="1">
      <c r="A684" s="19"/>
      <c r="C684" s="19"/>
      <c r="D684" s="19"/>
      <c r="F684" s="19"/>
    </row>
    <row r="685" spans="1:6" ht="15.75" customHeight="1">
      <c r="A685" s="19"/>
      <c r="C685" s="19"/>
      <c r="D685" s="19"/>
      <c r="F685" s="19"/>
    </row>
    <row r="686" spans="1:6" ht="15.75" customHeight="1">
      <c r="A686" s="19"/>
      <c r="C686" s="19"/>
      <c r="D686" s="19"/>
      <c r="F686" s="19"/>
    </row>
    <row r="687" spans="1:6" ht="15.75" customHeight="1">
      <c r="A687" s="19"/>
      <c r="C687" s="19"/>
      <c r="D687" s="19"/>
      <c r="F687" s="19"/>
    </row>
    <row r="688" spans="1:6" ht="15.75" customHeight="1">
      <c r="A688" s="19"/>
      <c r="C688" s="19"/>
      <c r="D688" s="19"/>
      <c r="F688" s="19"/>
    </row>
    <row r="689" spans="1:6" ht="15.75" customHeight="1">
      <c r="A689" s="19"/>
      <c r="C689" s="19"/>
      <c r="D689" s="19"/>
      <c r="F689" s="19"/>
    </row>
    <row r="690" spans="1:6" ht="15.75" customHeight="1">
      <c r="A690" s="19"/>
      <c r="C690" s="19"/>
      <c r="D690" s="19"/>
      <c r="F690" s="19"/>
    </row>
    <row r="691" spans="1:6" ht="15.75" customHeight="1">
      <c r="A691" s="19"/>
      <c r="C691" s="19"/>
      <c r="D691" s="19"/>
      <c r="F691" s="19"/>
    </row>
    <row r="692" spans="1:6" ht="15.75" customHeight="1">
      <c r="A692" s="19"/>
      <c r="C692" s="19"/>
      <c r="D692" s="19"/>
      <c r="F692" s="19"/>
    </row>
    <row r="693" spans="1:6" ht="15.75" customHeight="1">
      <c r="A693" s="19"/>
      <c r="C693" s="19"/>
      <c r="D693" s="19"/>
      <c r="F693" s="19"/>
    </row>
    <row r="694" spans="1:6" ht="15.75" customHeight="1">
      <c r="A694" s="19"/>
      <c r="C694" s="19"/>
      <c r="D694" s="19"/>
      <c r="F694" s="19"/>
    </row>
    <row r="695" spans="1:6" ht="15.75" customHeight="1">
      <c r="A695" s="19"/>
      <c r="C695" s="19"/>
      <c r="D695" s="19"/>
      <c r="F695" s="19"/>
    </row>
    <row r="696" spans="1:6" ht="15.75" customHeight="1">
      <c r="A696" s="19"/>
      <c r="C696" s="19"/>
      <c r="D696" s="19"/>
      <c r="F696" s="19"/>
    </row>
    <row r="697" spans="1:6" ht="15.75" customHeight="1">
      <c r="A697" s="19"/>
      <c r="C697" s="19"/>
      <c r="D697" s="19"/>
      <c r="F697" s="19"/>
    </row>
    <row r="698" spans="1:6" ht="15.75" customHeight="1">
      <c r="A698" s="19"/>
      <c r="C698" s="19"/>
      <c r="D698" s="19"/>
      <c r="F698" s="19"/>
    </row>
    <row r="699" spans="1:6" ht="15.75" customHeight="1">
      <c r="A699" s="19"/>
      <c r="C699" s="19"/>
      <c r="D699" s="19"/>
      <c r="F699" s="19"/>
    </row>
    <row r="700" spans="1:6" ht="15.75" customHeight="1">
      <c r="A700" s="19"/>
      <c r="C700" s="19"/>
      <c r="D700" s="19"/>
      <c r="F700" s="19"/>
    </row>
    <row r="701" spans="1:6" ht="15.75" customHeight="1">
      <c r="A701" s="19"/>
      <c r="C701" s="19"/>
      <c r="D701" s="19"/>
      <c r="F701" s="19"/>
    </row>
    <row r="702" spans="1:6" ht="15.75" customHeight="1">
      <c r="A702" s="19"/>
      <c r="C702" s="19"/>
      <c r="D702" s="19"/>
      <c r="F702" s="19"/>
    </row>
    <row r="703" spans="1:6" ht="15.75" customHeight="1">
      <c r="A703" s="19"/>
      <c r="C703" s="19"/>
      <c r="D703" s="19"/>
      <c r="F703" s="19"/>
    </row>
    <row r="704" spans="1:6" ht="15.75" customHeight="1">
      <c r="A704" s="19"/>
      <c r="C704" s="19"/>
      <c r="D704" s="19"/>
      <c r="F704" s="19"/>
    </row>
    <row r="705" spans="1:6" ht="15.75" customHeight="1">
      <c r="A705" s="19"/>
      <c r="C705" s="19"/>
      <c r="D705" s="19"/>
      <c r="F705" s="19"/>
    </row>
    <row r="706" spans="1:6" ht="15.75" customHeight="1">
      <c r="A706" s="19"/>
      <c r="C706" s="19"/>
      <c r="D706" s="19"/>
      <c r="F706" s="19"/>
    </row>
    <row r="707" spans="1:6" ht="15.75" customHeight="1">
      <c r="A707" s="19"/>
      <c r="C707" s="19"/>
      <c r="D707" s="19"/>
      <c r="F707" s="19"/>
    </row>
    <row r="708" spans="1:6" ht="15.75" customHeight="1">
      <c r="A708" s="19"/>
      <c r="C708" s="19"/>
      <c r="D708" s="19"/>
      <c r="F708" s="19"/>
    </row>
    <row r="709" spans="1:6" ht="15.75" customHeight="1">
      <c r="A709" s="19"/>
      <c r="C709" s="19"/>
      <c r="D709" s="19"/>
      <c r="F709" s="19"/>
    </row>
    <row r="710" spans="1:6" ht="15.75" customHeight="1">
      <c r="A710" s="19"/>
      <c r="C710" s="19"/>
      <c r="D710" s="19"/>
      <c r="F710" s="19"/>
    </row>
    <row r="711" spans="1:6" ht="15.75" customHeight="1">
      <c r="A711" s="19"/>
      <c r="C711" s="19"/>
      <c r="D711" s="19"/>
      <c r="F711" s="19"/>
    </row>
    <row r="712" spans="1:6" ht="15.75" customHeight="1">
      <c r="A712" s="19"/>
      <c r="C712" s="19"/>
      <c r="D712" s="19"/>
      <c r="F712" s="19"/>
    </row>
    <row r="713" spans="1:6" ht="15.75" customHeight="1">
      <c r="A713" s="19"/>
      <c r="C713" s="19"/>
      <c r="D713" s="19"/>
      <c r="F713" s="19"/>
    </row>
    <row r="714" spans="1:6" ht="15.75" customHeight="1">
      <c r="A714" s="19"/>
      <c r="C714" s="19"/>
      <c r="D714" s="19"/>
      <c r="F714" s="19"/>
    </row>
    <row r="715" spans="1:6" ht="15.75" customHeight="1">
      <c r="A715" s="19"/>
      <c r="C715" s="19"/>
      <c r="D715" s="19"/>
      <c r="F715" s="19"/>
    </row>
    <row r="716" spans="1:6" ht="15.75" customHeight="1">
      <c r="A716" s="19"/>
      <c r="C716" s="19"/>
      <c r="D716" s="19"/>
      <c r="F716" s="19"/>
    </row>
    <row r="717" spans="1:6" ht="15.75" customHeight="1">
      <c r="A717" s="19"/>
      <c r="C717" s="19"/>
      <c r="D717" s="19"/>
      <c r="F717" s="19"/>
    </row>
    <row r="718" spans="1:6" ht="15.75" customHeight="1">
      <c r="A718" s="19"/>
      <c r="C718" s="19"/>
      <c r="D718" s="19"/>
      <c r="F718" s="19"/>
    </row>
    <row r="719" spans="1:6" ht="15.75" customHeight="1">
      <c r="A719" s="19"/>
      <c r="C719" s="19"/>
      <c r="D719" s="19"/>
      <c r="F719" s="19"/>
    </row>
    <row r="720" spans="1:6" ht="15.75" customHeight="1">
      <c r="A720" s="19"/>
      <c r="C720" s="19"/>
      <c r="D720" s="19"/>
      <c r="F720" s="19"/>
    </row>
    <row r="721" spans="1:6" ht="15.75" customHeight="1">
      <c r="A721" s="19"/>
      <c r="C721" s="19"/>
      <c r="D721" s="19"/>
      <c r="F721" s="19"/>
    </row>
    <row r="722" spans="1:6" ht="15.75" customHeight="1">
      <c r="A722" s="19"/>
      <c r="C722" s="19"/>
      <c r="D722" s="19"/>
      <c r="F722" s="19"/>
    </row>
    <row r="723" spans="1:6" ht="15.75" customHeight="1">
      <c r="A723" s="19"/>
      <c r="C723" s="19"/>
      <c r="D723" s="19"/>
      <c r="F723" s="19"/>
    </row>
    <row r="724" spans="1:6" ht="15.75" customHeight="1">
      <c r="A724" s="19"/>
      <c r="C724" s="19"/>
      <c r="D724" s="19"/>
      <c r="F724" s="19"/>
    </row>
    <row r="725" spans="1:6" ht="15.75" customHeight="1">
      <c r="A725" s="19"/>
      <c r="C725" s="19"/>
      <c r="D725" s="19"/>
      <c r="F725" s="19"/>
    </row>
    <row r="726" spans="1:6" ht="15.75" customHeight="1">
      <c r="A726" s="19"/>
      <c r="C726" s="19"/>
      <c r="D726" s="19"/>
      <c r="F726" s="19"/>
    </row>
    <row r="727" spans="1:6" ht="15.75" customHeight="1">
      <c r="A727" s="19"/>
      <c r="C727" s="19"/>
      <c r="D727" s="19"/>
      <c r="F727" s="19"/>
    </row>
    <row r="728" spans="1:6" ht="15.75" customHeight="1">
      <c r="A728" s="19"/>
      <c r="C728" s="19"/>
      <c r="D728" s="19"/>
      <c r="F728" s="19"/>
    </row>
    <row r="729" spans="1:6" ht="15.75" customHeight="1">
      <c r="A729" s="19"/>
      <c r="C729" s="19"/>
      <c r="D729" s="19"/>
      <c r="F729" s="19"/>
    </row>
    <row r="730" spans="1:6" ht="15.75" customHeight="1">
      <c r="A730" s="19"/>
      <c r="C730" s="19"/>
      <c r="D730" s="19"/>
      <c r="F730" s="19"/>
    </row>
    <row r="731" spans="1:6" ht="15.75" customHeight="1">
      <c r="A731" s="19"/>
      <c r="C731" s="19"/>
      <c r="D731" s="19"/>
      <c r="F731" s="19"/>
    </row>
    <row r="732" spans="1:6" ht="15.75" customHeight="1">
      <c r="A732" s="19"/>
      <c r="C732" s="19"/>
      <c r="D732" s="19"/>
      <c r="F732" s="19"/>
    </row>
    <row r="733" spans="1:6" ht="15.75" customHeight="1">
      <c r="A733" s="19"/>
      <c r="C733" s="19"/>
      <c r="D733" s="19"/>
      <c r="F733" s="19"/>
    </row>
    <row r="734" spans="1:6" ht="15.75" customHeight="1">
      <c r="A734" s="19"/>
      <c r="C734" s="19"/>
      <c r="D734" s="19"/>
      <c r="F734" s="19"/>
    </row>
    <row r="735" spans="1:6" ht="15.75" customHeight="1">
      <c r="A735" s="19"/>
      <c r="C735" s="19"/>
      <c r="D735" s="19"/>
      <c r="F735" s="19"/>
    </row>
    <row r="736" spans="1:6" ht="15.75" customHeight="1">
      <c r="A736" s="19"/>
      <c r="C736" s="19"/>
      <c r="D736" s="19"/>
      <c r="F736" s="19"/>
    </row>
    <row r="737" spans="1:6" ht="15.75" customHeight="1">
      <c r="A737" s="19"/>
      <c r="C737" s="19"/>
      <c r="D737" s="19"/>
      <c r="F737" s="19"/>
    </row>
    <row r="738" spans="1:6" ht="15.75" customHeight="1">
      <c r="A738" s="19"/>
      <c r="C738" s="19"/>
      <c r="D738" s="19"/>
      <c r="F738" s="19"/>
    </row>
    <row r="739" spans="1:6" ht="15.75" customHeight="1">
      <c r="A739" s="19"/>
      <c r="C739" s="19"/>
      <c r="D739" s="19"/>
      <c r="F739" s="19"/>
    </row>
    <row r="740" spans="1:6" ht="15.75" customHeight="1">
      <c r="A740" s="19"/>
      <c r="C740" s="19"/>
      <c r="D740" s="19"/>
      <c r="F740" s="19"/>
    </row>
    <row r="741" spans="1:6" ht="15.75" customHeight="1">
      <c r="A741" s="19"/>
      <c r="C741" s="19"/>
      <c r="D741" s="19"/>
      <c r="F741" s="19"/>
    </row>
    <row r="742" spans="1:6" ht="15.75" customHeight="1">
      <c r="A742" s="19"/>
      <c r="C742" s="19"/>
      <c r="D742" s="19"/>
      <c r="F742" s="19"/>
    </row>
    <row r="743" spans="1:6" ht="15.75" customHeight="1">
      <c r="A743" s="19"/>
      <c r="C743" s="19"/>
      <c r="D743" s="19"/>
      <c r="F743" s="19"/>
    </row>
    <row r="744" spans="1:6" ht="15.75" customHeight="1">
      <c r="A744" s="19"/>
      <c r="C744" s="19"/>
      <c r="D744" s="19"/>
      <c r="F744" s="19"/>
    </row>
    <row r="745" spans="1:6" ht="15.75" customHeight="1">
      <c r="A745" s="19"/>
      <c r="C745" s="19"/>
      <c r="D745" s="19"/>
      <c r="F745" s="19"/>
    </row>
    <row r="746" spans="1:6" ht="15.75" customHeight="1">
      <c r="A746" s="19"/>
      <c r="C746" s="19"/>
      <c r="D746" s="19"/>
      <c r="F746" s="19"/>
    </row>
    <row r="747" spans="1:6" ht="15.75" customHeight="1">
      <c r="A747" s="19"/>
      <c r="C747" s="19"/>
      <c r="D747" s="19"/>
      <c r="F747" s="19"/>
    </row>
    <row r="748" spans="1:6" ht="15.75" customHeight="1">
      <c r="A748" s="19"/>
      <c r="C748" s="19"/>
      <c r="D748" s="19"/>
      <c r="F748" s="19"/>
    </row>
    <row r="749" spans="1:6" ht="15.75" customHeight="1">
      <c r="A749" s="19"/>
      <c r="C749" s="19"/>
      <c r="D749" s="19"/>
      <c r="F749" s="19"/>
    </row>
    <row r="750" spans="1:6" ht="15.75" customHeight="1">
      <c r="A750" s="19"/>
      <c r="C750" s="19"/>
      <c r="D750" s="19"/>
      <c r="F750" s="19"/>
    </row>
    <row r="751" spans="1:6" ht="15.75" customHeight="1">
      <c r="A751" s="19"/>
      <c r="C751" s="19"/>
      <c r="D751" s="19"/>
      <c r="F751" s="19"/>
    </row>
    <row r="752" spans="1:6" ht="15.75" customHeight="1">
      <c r="A752" s="19"/>
      <c r="C752" s="19"/>
      <c r="D752" s="19"/>
      <c r="F752" s="19"/>
    </row>
    <row r="753" spans="1:6" ht="15.75" customHeight="1">
      <c r="A753" s="19"/>
      <c r="C753" s="19"/>
      <c r="D753" s="19"/>
      <c r="F753" s="19"/>
    </row>
    <row r="754" spans="1:6" ht="15.75" customHeight="1">
      <c r="A754" s="19"/>
      <c r="C754" s="19"/>
      <c r="D754" s="19"/>
      <c r="F754" s="19"/>
    </row>
    <row r="755" spans="1:6" ht="15.75" customHeight="1">
      <c r="A755" s="19"/>
      <c r="C755" s="19"/>
      <c r="D755" s="19"/>
      <c r="F755" s="19"/>
    </row>
    <row r="756" spans="1:6" ht="15.75" customHeight="1">
      <c r="A756" s="19"/>
      <c r="C756" s="19"/>
      <c r="D756" s="19"/>
      <c r="F756" s="19"/>
    </row>
    <row r="757" spans="1:6" ht="15.75" customHeight="1">
      <c r="A757" s="19"/>
      <c r="C757" s="19"/>
      <c r="D757" s="19"/>
      <c r="F757" s="19"/>
    </row>
    <row r="758" spans="1:6" ht="15.75" customHeight="1">
      <c r="A758" s="19"/>
      <c r="C758" s="19"/>
      <c r="D758" s="19"/>
      <c r="F758" s="19"/>
    </row>
    <row r="759" spans="1:6" ht="15.75" customHeight="1">
      <c r="A759" s="19"/>
      <c r="C759" s="19"/>
      <c r="D759" s="19"/>
      <c r="F759" s="19"/>
    </row>
    <row r="760" spans="1:6" ht="15.75" customHeight="1">
      <c r="A760" s="19"/>
      <c r="C760" s="19"/>
      <c r="D760" s="19"/>
      <c r="F760" s="19"/>
    </row>
    <row r="761" spans="1:6" ht="15.75" customHeight="1">
      <c r="A761" s="19"/>
      <c r="C761" s="19"/>
      <c r="D761" s="19"/>
      <c r="F761" s="19"/>
    </row>
    <row r="762" spans="1:6" ht="15.75" customHeight="1">
      <c r="A762" s="19"/>
      <c r="C762" s="19"/>
      <c r="D762" s="19"/>
      <c r="F762" s="19"/>
    </row>
    <row r="763" spans="1:6" ht="15.75" customHeight="1">
      <c r="A763" s="19"/>
      <c r="C763" s="19"/>
      <c r="D763" s="19"/>
      <c r="F763" s="19"/>
    </row>
    <row r="764" spans="1:6" ht="15.75" customHeight="1">
      <c r="A764" s="19"/>
      <c r="C764" s="19"/>
      <c r="D764" s="19"/>
      <c r="F764" s="19"/>
    </row>
    <row r="765" spans="1:6" ht="15.75" customHeight="1">
      <c r="A765" s="19"/>
      <c r="C765" s="19"/>
      <c r="D765" s="19"/>
      <c r="F765" s="19"/>
    </row>
    <row r="766" spans="1:6" ht="15.75" customHeight="1">
      <c r="A766" s="19"/>
      <c r="C766" s="19"/>
      <c r="D766" s="19"/>
      <c r="F766" s="19"/>
    </row>
    <row r="767" spans="1:6" ht="15.75" customHeight="1">
      <c r="A767" s="19"/>
      <c r="C767" s="19"/>
      <c r="D767" s="19"/>
      <c r="F767" s="19"/>
    </row>
    <row r="768" spans="1:6" ht="15.75" customHeight="1">
      <c r="A768" s="19"/>
      <c r="C768" s="19"/>
      <c r="D768" s="19"/>
      <c r="F768" s="19"/>
    </row>
    <row r="769" spans="1:6" ht="15.75" customHeight="1">
      <c r="A769" s="19"/>
      <c r="C769" s="19"/>
      <c r="D769" s="19"/>
      <c r="F769" s="19"/>
    </row>
    <row r="770" spans="1:6" ht="15.75" customHeight="1">
      <c r="A770" s="19"/>
      <c r="C770" s="19"/>
      <c r="D770" s="19"/>
      <c r="F770" s="19"/>
    </row>
    <row r="771" spans="1:6" ht="15.75" customHeight="1">
      <c r="A771" s="19"/>
      <c r="C771" s="19"/>
      <c r="D771" s="19"/>
      <c r="F771" s="19"/>
    </row>
    <row r="772" spans="1:6" ht="15.75" customHeight="1">
      <c r="A772" s="19"/>
      <c r="C772" s="19"/>
      <c r="D772" s="19"/>
      <c r="F772" s="19"/>
    </row>
    <row r="773" spans="1:6" ht="15.75" customHeight="1">
      <c r="A773" s="19"/>
      <c r="C773" s="19"/>
      <c r="D773" s="19"/>
      <c r="F773" s="19"/>
    </row>
    <row r="774" spans="1:6" ht="15.75" customHeight="1">
      <c r="A774" s="19"/>
      <c r="C774" s="19"/>
      <c r="D774" s="19"/>
      <c r="F774" s="19"/>
    </row>
    <row r="775" spans="1:6" ht="15.75" customHeight="1">
      <c r="A775" s="19"/>
      <c r="C775" s="19"/>
      <c r="D775" s="19"/>
      <c r="F775" s="19"/>
    </row>
    <row r="776" spans="1:6" ht="15.75" customHeight="1">
      <c r="A776" s="19"/>
      <c r="C776" s="19"/>
      <c r="D776" s="19"/>
      <c r="F776" s="19"/>
    </row>
    <row r="777" spans="1:6" ht="15.75" customHeight="1">
      <c r="A777" s="19"/>
      <c r="C777" s="19"/>
      <c r="D777" s="19"/>
      <c r="F777" s="19"/>
    </row>
    <row r="778" spans="1:6" ht="15.75" customHeight="1">
      <c r="A778" s="19"/>
      <c r="C778" s="19"/>
      <c r="D778" s="19"/>
      <c r="F778" s="19"/>
    </row>
    <row r="779" spans="1:6" ht="15.75" customHeight="1">
      <c r="A779" s="19"/>
      <c r="C779" s="19"/>
      <c r="D779" s="19"/>
      <c r="F779" s="19"/>
    </row>
    <row r="780" spans="1:6" ht="15.75" customHeight="1">
      <c r="A780" s="19"/>
      <c r="C780" s="19"/>
      <c r="D780" s="19"/>
      <c r="F780" s="19"/>
    </row>
    <row r="781" spans="1:6" ht="15.75" customHeight="1">
      <c r="A781" s="19"/>
      <c r="C781" s="19"/>
      <c r="D781" s="19"/>
      <c r="F781" s="19"/>
    </row>
    <row r="782" spans="1:6" ht="15.75" customHeight="1">
      <c r="A782" s="19"/>
      <c r="C782" s="19"/>
      <c r="D782" s="19"/>
      <c r="F782" s="19"/>
    </row>
    <row r="783" spans="1:6" ht="15.75" customHeight="1">
      <c r="A783" s="19"/>
      <c r="C783" s="19"/>
      <c r="D783" s="19"/>
      <c r="F783" s="19"/>
    </row>
    <row r="784" spans="1:6" ht="15.75" customHeight="1">
      <c r="A784" s="19"/>
      <c r="C784" s="19"/>
      <c r="D784" s="19"/>
      <c r="F784" s="19"/>
    </row>
    <row r="785" spans="1:6" ht="15.75" customHeight="1">
      <c r="A785" s="19"/>
      <c r="C785" s="19"/>
      <c r="D785" s="19"/>
      <c r="F785" s="19"/>
    </row>
    <row r="786" spans="1:6" ht="15.75" customHeight="1">
      <c r="A786" s="19"/>
      <c r="C786" s="19"/>
      <c r="D786" s="19"/>
      <c r="F786" s="19"/>
    </row>
    <row r="787" spans="1:6" ht="15.75" customHeight="1">
      <c r="A787" s="19"/>
      <c r="C787" s="19"/>
      <c r="D787" s="19"/>
      <c r="F787" s="19"/>
    </row>
    <row r="788" spans="1:6" ht="15.75" customHeight="1">
      <c r="A788" s="19"/>
      <c r="C788" s="19"/>
      <c r="D788" s="19"/>
      <c r="F788" s="19"/>
    </row>
    <row r="789" spans="1:6" ht="15.75" customHeight="1">
      <c r="A789" s="19"/>
      <c r="C789" s="19"/>
      <c r="D789" s="19"/>
      <c r="F789" s="19"/>
    </row>
    <row r="790" spans="1:6" ht="15.75" customHeight="1">
      <c r="A790" s="19"/>
      <c r="C790" s="19"/>
      <c r="D790" s="19"/>
      <c r="F790" s="19"/>
    </row>
    <row r="791" spans="1:6" ht="15.75" customHeight="1">
      <c r="A791" s="19"/>
      <c r="C791" s="19"/>
      <c r="D791" s="19"/>
      <c r="F791" s="19"/>
    </row>
    <row r="792" spans="1:6" ht="15.75" customHeight="1">
      <c r="A792" s="19"/>
      <c r="C792" s="19"/>
      <c r="D792" s="19"/>
      <c r="F792" s="19"/>
    </row>
    <row r="793" spans="1:6" ht="15.75" customHeight="1">
      <c r="A793" s="19"/>
      <c r="C793" s="19"/>
      <c r="D793" s="19"/>
      <c r="F793" s="19"/>
    </row>
    <row r="794" spans="1:6" ht="15.75" customHeight="1">
      <c r="A794" s="19"/>
      <c r="C794" s="19"/>
      <c r="D794" s="19"/>
      <c r="F794" s="19"/>
    </row>
    <row r="795" spans="1:6" ht="15.75" customHeight="1">
      <c r="A795" s="19"/>
      <c r="C795" s="19"/>
      <c r="D795" s="19"/>
      <c r="F795" s="19"/>
    </row>
    <row r="796" spans="1:6" ht="15.75" customHeight="1">
      <c r="A796" s="19"/>
      <c r="C796" s="19"/>
      <c r="D796" s="19"/>
      <c r="F796" s="19"/>
    </row>
    <row r="797" spans="1:6" ht="15.75" customHeight="1">
      <c r="A797" s="19"/>
      <c r="C797" s="19"/>
      <c r="D797" s="19"/>
      <c r="F797" s="19"/>
    </row>
    <row r="798" spans="1:6" ht="15.75" customHeight="1">
      <c r="A798" s="19"/>
      <c r="C798" s="19"/>
      <c r="D798" s="19"/>
      <c r="F798" s="19"/>
    </row>
    <row r="799" spans="1:6" ht="15.75" customHeight="1">
      <c r="A799" s="19"/>
      <c r="C799" s="19"/>
      <c r="D799" s="19"/>
      <c r="F799" s="19"/>
    </row>
    <row r="800" spans="1:6" ht="15.75" customHeight="1">
      <c r="A800" s="19"/>
      <c r="C800" s="19"/>
      <c r="D800" s="19"/>
      <c r="F800" s="19"/>
    </row>
    <row r="801" spans="1:6" ht="15.75" customHeight="1">
      <c r="A801" s="19"/>
      <c r="C801" s="19"/>
      <c r="D801" s="19"/>
      <c r="F801" s="19"/>
    </row>
    <row r="802" spans="1:6" ht="15.75" customHeight="1">
      <c r="A802" s="19"/>
      <c r="C802" s="19"/>
      <c r="D802" s="19"/>
      <c r="F802" s="19"/>
    </row>
    <row r="803" spans="1:6" ht="15.75" customHeight="1">
      <c r="A803" s="19"/>
      <c r="C803" s="19"/>
      <c r="D803" s="19"/>
      <c r="F803" s="19"/>
    </row>
    <row r="804" spans="1:6" ht="15.75" customHeight="1">
      <c r="A804" s="19"/>
      <c r="C804" s="19"/>
      <c r="D804" s="19"/>
      <c r="F804" s="19"/>
    </row>
    <row r="805" spans="1:6" ht="15.75" customHeight="1">
      <c r="A805" s="19"/>
      <c r="C805" s="19"/>
      <c r="D805" s="19"/>
      <c r="F805" s="19"/>
    </row>
    <row r="806" spans="1:6" ht="15.75" customHeight="1">
      <c r="A806" s="19"/>
      <c r="C806" s="19"/>
      <c r="D806" s="19"/>
      <c r="F806" s="19"/>
    </row>
    <row r="807" spans="1:6" ht="15.75" customHeight="1">
      <c r="A807" s="19"/>
      <c r="C807" s="19"/>
      <c r="D807" s="19"/>
      <c r="F807" s="19"/>
    </row>
    <row r="808" spans="1:6" ht="15.75" customHeight="1">
      <c r="A808" s="19"/>
      <c r="C808" s="19"/>
      <c r="D808" s="19"/>
      <c r="F808" s="19"/>
    </row>
    <row r="809" spans="1:6" ht="15.75" customHeight="1">
      <c r="A809" s="19"/>
      <c r="C809" s="19"/>
      <c r="D809" s="19"/>
      <c r="F809" s="19"/>
    </row>
    <row r="810" spans="1:6" ht="15.75" customHeight="1">
      <c r="A810" s="19"/>
      <c r="C810" s="19"/>
      <c r="D810" s="19"/>
      <c r="F810" s="19"/>
    </row>
    <row r="811" spans="1:6" ht="15.75" customHeight="1">
      <c r="A811" s="19"/>
      <c r="C811" s="19"/>
      <c r="D811" s="19"/>
      <c r="F811" s="19"/>
    </row>
    <row r="812" spans="1:6" ht="15.75" customHeight="1">
      <c r="A812" s="19"/>
      <c r="C812" s="19"/>
      <c r="D812" s="19"/>
      <c r="F812" s="19"/>
    </row>
    <row r="813" spans="1:6" ht="15.75" customHeight="1">
      <c r="A813" s="19"/>
      <c r="C813" s="19"/>
      <c r="D813" s="19"/>
      <c r="F813" s="19"/>
    </row>
    <row r="814" spans="1:6" ht="15.75" customHeight="1">
      <c r="A814" s="19"/>
      <c r="C814" s="19"/>
      <c r="D814" s="19"/>
      <c r="F814" s="19"/>
    </row>
    <row r="815" spans="1:6" ht="15.75" customHeight="1">
      <c r="A815" s="19"/>
      <c r="C815" s="19"/>
      <c r="D815" s="19"/>
      <c r="F815" s="19"/>
    </row>
    <row r="816" spans="1:6" ht="15.75" customHeight="1">
      <c r="A816" s="19"/>
      <c r="C816" s="19"/>
      <c r="D816" s="19"/>
      <c r="F816" s="19"/>
    </row>
    <row r="817" spans="1:6" ht="15.75" customHeight="1">
      <c r="A817" s="19"/>
      <c r="C817" s="19"/>
      <c r="D817" s="19"/>
      <c r="F817" s="19"/>
    </row>
    <row r="818" spans="1:6" ht="15.75" customHeight="1">
      <c r="A818" s="19"/>
      <c r="C818" s="19"/>
      <c r="D818" s="19"/>
      <c r="F818" s="19"/>
    </row>
    <row r="819" spans="1:6" ht="15.75" customHeight="1">
      <c r="A819" s="19"/>
      <c r="C819" s="19"/>
      <c r="D819" s="19"/>
      <c r="F819" s="19"/>
    </row>
    <row r="820" spans="1:6" ht="15.75" customHeight="1">
      <c r="A820" s="19"/>
      <c r="C820" s="19"/>
      <c r="D820" s="19"/>
      <c r="F820" s="19"/>
    </row>
    <row r="821" spans="1:6" ht="15.75" customHeight="1">
      <c r="A821" s="19"/>
      <c r="C821" s="19"/>
      <c r="D821" s="19"/>
      <c r="F821" s="19"/>
    </row>
    <row r="822" spans="1:6" ht="15.75" customHeight="1">
      <c r="A822" s="19"/>
      <c r="C822" s="19"/>
      <c r="D822" s="19"/>
      <c r="F822" s="19"/>
    </row>
    <row r="823" spans="1:6" ht="15.75" customHeight="1">
      <c r="A823" s="19"/>
      <c r="C823" s="19"/>
      <c r="D823" s="19"/>
      <c r="F823" s="19"/>
    </row>
    <row r="824" spans="1:6" ht="15.75" customHeight="1">
      <c r="A824" s="19"/>
      <c r="C824" s="19"/>
      <c r="D824" s="19"/>
      <c r="F824" s="19"/>
    </row>
    <row r="825" spans="1:6" ht="15.75" customHeight="1">
      <c r="A825" s="19"/>
      <c r="C825" s="19"/>
      <c r="D825" s="19"/>
      <c r="F825" s="19"/>
    </row>
    <row r="826" spans="1:6" ht="15.75" customHeight="1">
      <c r="A826" s="19"/>
      <c r="C826" s="19"/>
      <c r="D826" s="19"/>
      <c r="F826" s="19"/>
    </row>
    <row r="827" spans="1:6" ht="15.75" customHeight="1">
      <c r="A827" s="19"/>
      <c r="C827" s="19"/>
      <c r="D827" s="19"/>
      <c r="F827" s="19"/>
    </row>
    <row r="828" spans="1:6" ht="15.75" customHeight="1">
      <c r="A828" s="19"/>
      <c r="C828" s="19"/>
      <c r="D828" s="19"/>
      <c r="F828" s="19"/>
    </row>
    <row r="829" spans="1:6" ht="15.75" customHeight="1">
      <c r="A829" s="19"/>
      <c r="C829" s="19"/>
      <c r="D829" s="19"/>
      <c r="F829" s="19"/>
    </row>
    <row r="830" spans="1:6" ht="15.75" customHeight="1">
      <c r="A830" s="19"/>
      <c r="C830" s="19"/>
      <c r="D830" s="19"/>
      <c r="F830" s="19"/>
    </row>
    <row r="831" spans="1:6" ht="15.75" customHeight="1">
      <c r="A831" s="19"/>
      <c r="C831" s="19"/>
      <c r="D831" s="19"/>
      <c r="F831" s="19"/>
    </row>
    <row r="832" spans="1:6" ht="15.75" customHeight="1">
      <c r="A832" s="19"/>
      <c r="C832" s="19"/>
      <c r="D832" s="19"/>
      <c r="F832" s="19"/>
    </row>
    <row r="833" spans="1:6" ht="15.75" customHeight="1">
      <c r="A833" s="19"/>
      <c r="C833" s="19"/>
      <c r="D833" s="19"/>
      <c r="F833" s="19"/>
    </row>
    <row r="834" spans="1:6" ht="15.75" customHeight="1">
      <c r="A834" s="19"/>
      <c r="C834" s="19"/>
      <c r="D834" s="19"/>
      <c r="F834" s="19"/>
    </row>
    <row r="835" spans="1:6" ht="15.75" customHeight="1">
      <c r="A835" s="19"/>
      <c r="C835" s="19"/>
      <c r="D835" s="19"/>
      <c r="F835" s="19"/>
    </row>
    <row r="836" spans="1:6" ht="15.75" customHeight="1">
      <c r="A836" s="19"/>
      <c r="C836" s="19"/>
      <c r="D836" s="19"/>
      <c r="F836" s="19"/>
    </row>
    <row r="837" spans="1:6" ht="15.75" customHeight="1">
      <c r="A837" s="19"/>
      <c r="C837" s="19"/>
      <c r="D837" s="19"/>
      <c r="F837" s="19"/>
    </row>
    <row r="838" spans="1:6" ht="15.75" customHeight="1">
      <c r="A838" s="19"/>
      <c r="C838" s="19"/>
      <c r="D838" s="19"/>
      <c r="F838" s="19"/>
    </row>
    <row r="839" spans="1:6" ht="15.75" customHeight="1">
      <c r="A839" s="19"/>
      <c r="C839" s="19"/>
      <c r="D839" s="19"/>
      <c r="F839" s="19"/>
    </row>
    <row r="840" spans="1:6" ht="15.75" customHeight="1">
      <c r="A840" s="19"/>
      <c r="C840" s="19"/>
      <c r="D840" s="19"/>
      <c r="F840" s="19"/>
    </row>
    <row r="841" spans="1:6" ht="15.75" customHeight="1">
      <c r="A841" s="19"/>
      <c r="C841" s="19"/>
      <c r="D841" s="19"/>
      <c r="F841" s="19"/>
    </row>
    <row r="842" spans="1:6" ht="15.75" customHeight="1">
      <c r="A842" s="19"/>
      <c r="C842" s="19"/>
      <c r="D842" s="19"/>
      <c r="F842" s="19"/>
    </row>
    <row r="843" spans="1:6" ht="15.75" customHeight="1">
      <c r="A843" s="19"/>
      <c r="C843" s="19"/>
      <c r="D843" s="19"/>
      <c r="F843" s="19"/>
    </row>
    <row r="844" spans="1:6" ht="15.75" customHeight="1">
      <c r="A844" s="19"/>
      <c r="C844" s="19"/>
      <c r="D844" s="19"/>
      <c r="F844" s="19"/>
    </row>
    <row r="845" spans="1:6" ht="15.75" customHeight="1">
      <c r="A845" s="19"/>
      <c r="C845" s="19"/>
      <c r="D845" s="19"/>
      <c r="F845" s="19"/>
    </row>
    <row r="846" spans="1:6" ht="15.75" customHeight="1">
      <c r="A846" s="19"/>
      <c r="C846" s="19"/>
      <c r="D846" s="19"/>
      <c r="F846" s="19"/>
    </row>
    <row r="847" spans="1:6" ht="15.75" customHeight="1">
      <c r="A847" s="19"/>
      <c r="C847" s="19"/>
      <c r="D847" s="19"/>
      <c r="F847" s="19"/>
    </row>
    <row r="848" spans="1:6" ht="15.75" customHeight="1">
      <c r="A848" s="19"/>
      <c r="C848" s="19"/>
      <c r="D848" s="19"/>
      <c r="F848" s="19"/>
    </row>
    <row r="849" spans="1:6" ht="15.75" customHeight="1">
      <c r="A849" s="19"/>
      <c r="C849" s="19"/>
      <c r="D849" s="19"/>
      <c r="F849" s="19"/>
    </row>
    <row r="850" spans="1:6" ht="15.75" customHeight="1">
      <c r="A850" s="19"/>
      <c r="C850" s="19"/>
      <c r="D850" s="19"/>
      <c r="F850" s="19"/>
    </row>
    <row r="851" spans="1:6" ht="15.75" customHeight="1">
      <c r="A851" s="19"/>
      <c r="C851" s="19"/>
      <c r="D851" s="19"/>
      <c r="F851" s="19"/>
    </row>
    <row r="852" spans="1:6" ht="15.75" customHeight="1">
      <c r="A852" s="19"/>
      <c r="C852" s="19"/>
      <c r="D852" s="19"/>
      <c r="F852" s="19"/>
    </row>
    <row r="853" spans="1:6" ht="15.75" customHeight="1">
      <c r="A853" s="19"/>
      <c r="C853" s="19"/>
      <c r="D853" s="19"/>
      <c r="F853" s="19"/>
    </row>
    <row r="854" spans="1:6" ht="15.75" customHeight="1">
      <c r="A854" s="19"/>
      <c r="C854" s="19"/>
      <c r="D854" s="19"/>
      <c r="F854" s="19"/>
    </row>
    <row r="855" spans="1:6" ht="15.75" customHeight="1">
      <c r="A855" s="19"/>
      <c r="C855" s="19"/>
      <c r="D855" s="19"/>
      <c r="F855" s="19"/>
    </row>
    <row r="856" spans="1:6" ht="15.75" customHeight="1">
      <c r="A856" s="19"/>
      <c r="C856" s="19"/>
      <c r="D856" s="19"/>
      <c r="F856" s="19"/>
    </row>
    <row r="857" spans="1:6" ht="15.75" customHeight="1">
      <c r="A857" s="19"/>
      <c r="C857" s="19"/>
      <c r="D857" s="19"/>
      <c r="F857" s="19"/>
    </row>
    <row r="858" spans="1:6" ht="15.75" customHeight="1">
      <c r="A858" s="19"/>
      <c r="C858" s="19"/>
      <c r="D858" s="19"/>
      <c r="F858" s="19"/>
    </row>
    <row r="859" spans="1:6" ht="15.75" customHeight="1">
      <c r="A859" s="19"/>
      <c r="C859" s="19"/>
      <c r="D859" s="19"/>
      <c r="F859" s="19"/>
    </row>
    <row r="860" spans="1:6" ht="15.75" customHeight="1">
      <c r="A860" s="19"/>
      <c r="C860" s="19"/>
      <c r="D860" s="19"/>
      <c r="F860" s="19"/>
    </row>
    <row r="861" spans="1:6" ht="15.75" customHeight="1">
      <c r="A861" s="19"/>
      <c r="C861" s="19"/>
      <c r="D861" s="19"/>
      <c r="F861" s="19"/>
    </row>
    <row r="862" spans="1:6" ht="15.75" customHeight="1">
      <c r="A862" s="19"/>
      <c r="C862" s="19"/>
      <c r="D862" s="19"/>
      <c r="F862" s="19"/>
    </row>
    <row r="863" spans="1:6" ht="15.75" customHeight="1">
      <c r="A863" s="19"/>
      <c r="C863" s="19"/>
      <c r="D863" s="19"/>
      <c r="F863" s="19"/>
    </row>
    <row r="864" spans="1:6" ht="15.75" customHeight="1">
      <c r="A864" s="19"/>
      <c r="C864" s="19"/>
      <c r="D864" s="19"/>
      <c r="F864" s="19"/>
    </row>
    <row r="865" spans="1:6" ht="15.75" customHeight="1">
      <c r="A865" s="19"/>
      <c r="C865" s="19"/>
      <c r="D865" s="19"/>
      <c r="F865" s="19"/>
    </row>
    <row r="866" spans="1:6" ht="15.75" customHeight="1">
      <c r="A866" s="19"/>
      <c r="C866" s="19"/>
      <c r="D866" s="19"/>
      <c r="F866" s="19"/>
    </row>
    <row r="867" spans="1:6" ht="15.75" customHeight="1">
      <c r="A867" s="19"/>
      <c r="C867" s="19"/>
      <c r="D867" s="19"/>
      <c r="F867" s="19"/>
    </row>
    <row r="868" spans="1:6" ht="15.75" customHeight="1">
      <c r="A868" s="19"/>
      <c r="C868" s="19"/>
      <c r="D868" s="19"/>
      <c r="F868" s="19"/>
    </row>
    <row r="869" spans="1:6" ht="15.75" customHeight="1">
      <c r="A869" s="19"/>
      <c r="C869" s="19"/>
      <c r="D869" s="19"/>
      <c r="F869" s="19"/>
    </row>
    <row r="870" spans="1:6" ht="15.75" customHeight="1">
      <c r="A870" s="19"/>
      <c r="C870" s="19"/>
      <c r="D870" s="19"/>
      <c r="F870" s="19"/>
    </row>
    <row r="871" spans="1:6" ht="15.75" customHeight="1">
      <c r="A871" s="19"/>
      <c r="C871" s="19"/>
      <c r="D871" s="19"/>
      <c r="F871" s="19"/>
    </row>
    <row r="872" spans="1:6" ht="15.75" customHeight="1">
      <c r="A872" s="19"/>
      <c r="C872" s="19"/>
      <c r="D872" s="19"/>
      <c r="F872" s="19"/>
    </row>
    <row r="873" spans="1:6" ht="15.75" customHeight="1">
      <c r="A873" s="19"/>
      <c r="C873" s="19"/>
      <c r="D873" s="19"/>
      <c r="F873" s="19"/>
    </row>
    <row r="874" spans="1:6" ht="15.75" customHeight="1">
      <c r="A874" s="19"/>
      <c r="C874" s="19"/>
      <c r="D874" s="19"/>
      <c r="F874" s="19"/>
    </row>
    <row r="875" spans="1:6" ht="15.75" customHeight="1">
      <c r="A875" s="19"/>
      <c r="C875" s="19"/>
      <c r="D875" s="19"/>
      <c r="F875" s="19"/>
    </row>
    <row r="876" spans="1:6" ht="15.75" customHeight="1">
      <c r="A876" s="19"/>
      <c r="C876" s="19"/>
      <c r="D876" s="19"/>
      <c r="F876" s="19"/>
    </row>
    <row r="877" spans="1:6" ht="15.75" customHeight="1">
      <c r="A877" s="19"/>
      <c r="C877" s="19"/>
      <c r="D877" s="19"/>
      <c r="F877" s="19"/>
    </row>
    <row r="878" spans="1:6" ht="15.75" customHeight="1">
      <c r="A878" s="19"/>
      <c r="C878" s="19"/>
      <c r="D878" s="19"/>
      <c r="F878" s="19"/>
    </row>
    <row r="879" spans="1:6" ht="15.75" customHeight="1">
      <c r="A879" s="19"/>
      <c r="C879" s="19"/>
      <c r="D879" s="19"/>
      <c r="F879" s="19"/>
    </row>
    <row r="880" spans="1:6" ht="15.75" customHeight="1">
      <c r="A880" s="19"/>
      <c r="C880" s="19"/>
      <c r="D880" s="19"/>
      <c r="F880" s="19"/>
    </row>
    <row r="881" spans="1:6" ht="15.75" customHeight="1">
      <c r="A881" s="19"/>
      <c r="C881" s="19"/>
      <c r="D881" s="19"/>
      <c r="F881" s="19"/>
    </row>
    <row r="882" spans="1:6" ht="15.75" customHeight="1">
      <c r="A882" s="19"/>
      <c r="C882" s="19"/>
      <c r="D882" s="19"/>
      <c r="F882" s="19"/>
    </row>
    <row r="883" spans="1:6" ht="15.75" customHeight="1">
      <c r="A883" s="19"/>
      <c r="C883" s="19"/>
      <c r="D883" s="19"/>
      <c r="F883" s="19"/>
    </row>
    <row r="884" spans="1:6" ht="15.75" customHeight="1">
      <c r="A884" s="19"/>
      <c r="C884" s="19"/>
      <c r="D884" s="19"/>
      <c r="F884" s="19"/>
    </row>
    <row r="885" spans="1:6" ht="15.75" customHeight="1">
      <c r="A885" s="19"/>
      <c r="C885" s="19"/>
      <c r="D885" s="19"/>
      <c r="F885" s="19"/>
    </row>
    <row r="886" spans="1:6" ht="15.75" customHeight="1">
      <c r="A886" s="19"/>
      <c r="C886" s="19"/>
      <c r="D886" s="19"/>
      <c r="F886" s="19"/>
    </row>
    <row r="887" spans="1:6" ht="15.75" customHeight="1">
      <c r="A887" s="19"/>
      <c r="C887" s="19"/>
      <c r="D887" s="19"/>
      <c r="F887" s="19"/>
    </row>
    <row r="888" spans="1:6" ht="15.75" customHeight="1">
      <c r="A888" s="19"/>
      <c r="C888" s="19"/>
      <c r="D888" s="19"/>
      <c r="F888" s="19"/>
    </row>
    <row r="889" spans="1:6" ht="15.75" customHeight="1">
      <c r="A889" s="19"/>
      <c r="C889" s="19"/>
      <c r="D889" s="19"/>
      <c r="F889" s="19"/>
    </row>
    <row r="890" spans="1:6" ht="15.75" customHeight="1">
      <c r="A890" s="19"/>
      <c r="C890" s="19"/>
      <c r="D890" s="19"/>
      <c r="F890" s="19"/>
    </row>
    <row r="891" spans="1:6" ht="15.75" customHeight="1">
      <c r="A891" s="19"/>
      <c r="C891" s="19"/>
      <c r="D891" s="19"/>
      <c r="F891" s="19"/>
    </row>
    <row r="892" spans="1:6" ht="15.75" customHeight="1">
      <c r="A892" s="19"/>
      <c r="C892" s="19"/>
      <c r="D892" s="19"/>
      <c r="F892" s="19"/>
    </row>
    <row r="893" spans="1:6" ht="15.75" customHeight="1">
      <c r="A893" s="19"/>
      <c r="C893" s="19"/>
      <c r="D893" s="19"/>
      <c r="F893" s="19"/>
    </row>
    <row r="894" spans="1:6" ht="15.75" customHeight="1">
      <c r="A894" s="19"/>
      <c r="C894" s="19"/>
      <c r="D894" s="19"/>
      <c r="F894" s="19"/>
    </row>
    <row r="895" spans="1:6" ht="15.75" customHeight="1">
      <c r="A895" s="19"/>
      <c r="C895" s="19"/>
      <c r="D895" s="19"/>
      <c r="F895" s="19"/>
    </row>
    <row r="896" spans="1:6" ht="15.75" customHeight="1">
      <c r="A896" s="19"/>
      <c r="C896" s="19"/>
      <c r="D896" s="19"/>
      <c r="F896" s="19"/>
    </row>
    <row r="897" spans="1:6" ht="15.75" customHeight="1">
      <c r="A897" s="19"/>
      <c r="C897" s="19"/>
      <c r="D897" s="19"/>
      <c r="F897" s="19"/>
    </row>
    <row r="898" spans="1:6" ht="15.75" customHeight="1">
      <c r="A898" s="19"/>
      <c r="C898" s="19"/>
      <c r="D898" s="19"/>
      <c r="F898" s="19"/>
    </row>
    <row r="899" spans="1:6" ht="15.75" customHeight="1">
      <c r="A899" s="19"/>
      <c r="C899" s="19"/>
      <c r="D899" s="19"/>
      <c r="F899" s="19"/>
    </row>
    <row r="900" spans="1:6" ht="15.75" customHeight="1">
      <c r="A900" s="19"/>
      <c r="C900" s="19"/>
      <c r="D900" s="19"/>
      <c r="F900" s="19"/>
    </row>
    <row r="901" spans="1:6" ht="15.75" customHeight="1">
      <c r="A901" s="19"/>
      <c r="C901" s="19"/>
      <c r="D901" s="19"/>
      <c r="F901" s="19"/>
    </row>
    <row r="902" spans="1:6" ht="15.75" customHeight="1">
      <c r="A902" s="19"/>
      <c r="C902" s="19"/>
      <c r="D902" s="19"/>
      <c r="F902" s="19"/>
    </row>
    <row r="903" spans="1:6" ht="15.75" customHeight="1">
      <c r="A903" s="19"/>
      <c r="C903" s="19"/>
      <c r="D903" s="19"/>
      <c r="F903" s="19"/>
    </row>
    <row r="904" spans="1:6" ht="15.75" customHeight="1">
      <c r="A904" s="19"/>
      <c r="C904" s="19"/>
      <c r="D904" s="19"/>
      <c r="F904" s="19"/>
    </row>
    <row r="905" spans="1:6" ht="15.75" customHeight="1">
      <c r="A905" s="19"/>
      <c r="C905" s="19"/>
      <c r="D905" s="19"/>
      <c r="F905" s="19"/>
    </row>
    <row r="906" spans="1:6" ht="15.75" customHeight="1">
      <c r="A906" s="19"/>
      <c r="C906" s="19"/>
      <c r="D906" s="19"/>
      <c r="F906" s="19"/>
    </row>
    <row r="907" spans="1:6" ht="15.75" customHeight="1">
      <c r="A907" s="19"/>
      <c r="C907" s="19"/>
      <c r="D907" s="19"/>
      <c r="F907" s="19"/>
    </row>
    <row r="908" spans="1:6" ht="15.75" customHeight="1">
      <c r="A908" s="19"/>
      <c r="C908" s="19"/>
      <c r="D908" s="19"/>
      <c r="F908" s="19"/>
    </row>
    <row r="909" spans="1:6" ht="15.75" customHeight="1">
      <c r="A909" s="19"/>
      <c r="C909" s="19"/>
      <c r="D909" s="19"/>
      <c r="F909" s="19"/>
    </row>
    <row r="910" spans="1:6" ht="15.75" customHeight="1">
      <c r="A910" s="19"/>
      <c r="C910" s="19"/>
      <c r="D910" s="19"/>
      <c r="F910" s="19"/>
    </row>
    <row r="911" spans="1:6" ht="15.75" customHeight="1">
      <c r="A911" s="19"/>
      <c r="C911" s="19"/>
      <c r="D911" s="19"/>
      <c r="F911" s="19"/>
    </row>
    <row r="912" spans="1:6" ht="15.75" customHeight="1">
      <c r="A912" s="19"/>
      <c r="C912" s="19"/>
      <c r="D912" s="19"/>
      <c r="F912" s="19"/>
    </row>
    <row r="913" spans="1:6" ht="15.75" customHeight="1">
      <c r="A913" s="19"/>
      <c r="C913" s="19"/>
      <c r="D913" s="19"/>
      <c r="F913" s="19"/>
    </row>
    <row r="914" spans="1:6" ht="15.75" customHeight="1">
      <c r="A914" s="19"/>
      <c r="C914" s="19"/>
      <c r="D914" s="19"/>
      <c r="F914" s="19"/>
    </row>
    <row r="915" spans="1:6" ht="15.75" customHeight="1">
      <c r="A915" s="19"/>
      <c r="C915" s="19"/>
      <c r="D915" s="19"/>
      <c r="F915" s="19"/>
    </row>
    <row r="916" spans="1:6" ht="15.75" customHeight="1">
      <c r="A916" s="19"/>
      <c r="C916" s="19"/>
      <c r="D916" s="19"/>
      <c r="F916" s="19"/>
    </row>
    <row r="917" spans="1:6" ht="15.75" customHeight="1">
      <c r="A917" s="19"/>
      <c r="C917" s="19"/>
      <c r="D917" s="19"/>
      <c r="F917" s="19"/>
    </row>
    <row r="918" spans="1:6" ht="15.75" customHeight="1">
      <c r="A918" s="19"/>
      <c r="C918" s="19"/>
      <c r="D918" s="19"/>
      <c r="F918" s="19"/>
    </row>
    <row r="919" spans="1:6" ht="15.75" customHeight="1">
      <c r="A919" s="19"/>
      <c r="C919" s="19"/>
      <c r="D919" s="19"/>
      <c r="F919" s="19"/>
    </row>
    <row r="920" spans="1:6" ht="15.75" customHeight="1">
      <c r="A920" s="19"/>
      <c r="C920" s="19"/>
      <c r="D920" s="19"/>
      <c r="F920" s="19"/>
    </row>
    <row r="921" spans="1:6" ht="15.75" customHeight="1">
      <c r="A921" s="19"/>
      <c r="C921" s="19"/>
      <c r="D921" s="19"/>
      <c r="F921" s="19"/>
    </row>
    <row r="922" spans="1:6" ht="15.75" customHeight="1">
      <c r="A922" s="19"/>
      <c r="C922" s="19"/>
      <c r="D922" s="19"/>
      <c r="F922" s="19"/>
    </row>
    <row r="923" spans="1:6" ht="15.75" customHeight="1">
      <c r="A923" s="19"/>
      <c r="C923" s="19"/>
      <c r="D923" s="19"/>
      <c r="F923" s="19"/>
    </row>
    <row r="924" spans="1:6" ht="15.75" customHeight="1">
      <c r="A924" s="19"/>
      <c r="C924" s="19"/>
      <c r="D924" s="19"/>
      <c r="F924" s="19"/>
    </row>
    <row r="925" spans="1:6" ht="15.75" customHeight="1">
      <c r="A925" s="19"/>
      <c r="C925" s="19"/>
      <c r="D925" s="19"/>
      <c r="F925" s="19"/>
    </row>
    <row r="926" spans="1:6" ht="15.75" customHeight="1">
      <c r="A926" s="19"/>
      <c r="C926" s="19"/>
      <c r="D926" s="19"/>
      <c r="F926" s="19"/>
    </row>
    <row r="927" spans="1:6" ht="15.75" customHeight="1">
      <c r="A927" s="19"/>
      <c r="C927" s="19"/>
      <c r="D927" s="19"/>
      <c r="F927" s="19"/>
    </row>
    <row r="928" spans="1:6" ht="15.75" customHeight="1">
      <c r="A928" s="19"/>
      <c r="C928" s="19"/>
      <c r="D928" s="19"/>
      <c r="F928" s="19"/>
    </row>
    <row r="929" spans="1:6" ht="15.75" customHeight="1">
      <c r="A929" s="19"/>
      <c r="C929" s="19"/>
      <c r="D929" s="19"/>
      <c r="F929" s="19"/>
    </row>
    <row r="930" spans="1:6" ht="15.75" customHeight="1">
      <c r="A930" s="19"/>
      <c r="C930" s="19"/>
      <c r="D930" s="19"/>
      <c r="F930" s="19"/>
    </row>
    <row r="931" spans="1:6" ht="15.75" customHeight="1">
      <c r="A931" s="19"/>
      <c r="C931" s="19"/>
      <c r="D931" s="19"/>
      <c r="F931" s="19"/>
    </row>
    <row r="932" spans="1:6" ht="15.75" customHeight="1">
      <c r="A932" s="19"/>
      <c r="C932" s="19"/>
      <c r="D932" s="19"/>
      <c r="F932" s="19"/>
    </row>
    <row r="933" spans="1:6" ht="15.75" customHeight="1">
      <c r="A933" s="19"/>
      <c r="C933" s="19"/>
      <c r="D933" s="19"/>
      <c r="F933" s="19"/>
    </row>
    <row r="934" spans="1:6" ht="15.75" customHeight="1">
      <c r="A934" s="19"/>
      <c r="C934" s="19"/>
      <c r="D934" s="19"/>
      <c r="F934" s="19"/>
    </row>
    <row r="935" spans="1:6" ht="15.75" customHeight="1">
      <c r="A935" s="19"/>
      <c r="C935" s="19"/>
      <c r="D935" s="19"/>
      <c r="F935" s="19"/>
    </row>
    <row r="936" spans="1:6" ht="15.75" customHeight="1">
      <c r="A936" s="19"/>
      <c r="C936" s="19"/>
      <c r="D936" s="19"/>
      <c r="F936" s="19"/>
    </row>
    <row r="937" spans="1:6" ht="15.75" customHeight="1">
      <c r="A937" s="19"/>
      <c r="C937" s="19"/>
      <c r="D937" s="19"/>
      <c r="F937" s="19"/>
    </row>
    <row r="938" spans="1:6" ht="15.75" customHeight="1">
      <c r="A938" s="19"/>
      <c r="C938" s="19"/>
      <c r="D938" s="19"/>
      <c r="F938" s="19"/>
    </row>
    <row r="939" spans="1:6" ht="15.75" customHeight="1">
      <c r="A939" s="19"/>
      <c r="C939" s="19"/>
      <c r="D939" s="19"/>
      <c r="F939" s="19"/>
    </row>
    <row r="940" spans="1:6" ht="15.75" customHeight="1">
      <c r="A940" s="19"/>
      <c r="C940" s="19"/>
      <c r="D940" s="19"/>
      <c r="F940" s="19"/>
    </row>
    <row r="941" spans="1:6" ht="15.75" customHeight="1">
      <c r="A941" s="19"/>
      <c r="C941" s="19"/>
      <c r="D941" s="19"/>
      <c r="F941" s="19"/>
    </row>
    <row r="942" spans="1:6" ht="15.75" customHeight="1">
      <c r="A942" s="19"/>
      <c r="C942" s="19"/>
      <c r="D942" s="19"/>
      <c r="F942" s="19"/>
    </row>
    <row r="943" spans="1:6" ht="15.75" customHeight="1">
      <c r="A943" s="19"/>
      <c r="C943" s="19"/>
      <c r="D943" s="19"/>
      <c r="F943" s="19"/>
    </row>
    <row r="944" spans="1:6" ht="15.75" customHeight="1">
      <c r="A944" s="19"/>
      <c r="C944" s="19"/>
      <c r="D944" s="19"/>
      <c r="F944" s="19"/>
    </row>
    <row r="945" spans="1:6" ht="15.75" customHeight="1">
      <c r="A945" s="19"/>
      <c r="C945" s="19"/>
      <c r="D945" s="19"/>
      <c r="F945" s="19"/>
    </row>
    <row r="946" spans="1:6" ht="15.75" customHeight="1">
      <c r="A946" s="19"/>
      <c r="C946" s="19"/>
      <c r="D946" s="19"/>
      <c r="F946" s="19"/>
    </row>
    <row r="947" spans="1:6" ht="15.75" customHeight="1">
      <c r="A947" s="19"/>
      <c r="C947" s="19"/>
      <c r="D947" s="19"/>
      <c r="F947" s="19"/>
    </row>
    <row r="948" spans="1:6" ht="15.75" customHeight="1">
      <c r="A948" s="19"/>
      <c r="C948" s="19"/>
      <c r="D948" s="19"/>
      <c r="F948" s="19"/>
    </row>
    <row r="949" spans="1:6" ht="15.75" customHeight="1">
      <c r="A949" s="19"/>
      <c r="C949" s="19"/>
      <c r="D949" s="19"/>
      <c r="F949" s="19"/>
    </row>
    <row r="950" spans="1:6" ht="15.75" customHeight="1">
      <c r="A950" s="19"/>
      <c r="C950" s="19"/>
      <c r="D950" s="19"/>
      <c r="F950" s="19"/>
    </row>
    <row r="951" spans="1:6" ht="15.75" customHeight="1">
      <c r="A951" s="19"/>
      <c r="C951" s="19"/>
      <c r="D951" s="19"/>
      <c r="F951" s="19"/>
    </row>
    <row r="952" spans="1:6" ht="15.75" customHeight="1">
      <c r="A952" s="19"/>
      <c r="C952" s="19"/>
      <c r="D952" s="19"/>
      <c r="F952" s="19"/>
    </row>
    <row r="953" spans="1:6" ht="15.75" customHeight="1">
      <c r="A953" s="19"/>
      <c r="C953" s="19"/>
      <c r="D953" s="19"/>
      <c r="F953" s="19"/>
    </row>
    <row r="954" spans="1:6" ht="15.75" customHeight="1">
      <c r="A954" s="19"/>
      <c r="C954" s="19"/>
      <c r="D954" s="19"/>
      <c r="F954" s="19"/>
    </row>
    <row r="955" spans="1:6" ht="15.75" customHeight="1">
      <c r="A955" s="19"/>
      <c r="C955" s="19"/>
      <c r="D955" s="19"/>
      <c r="F955" s="19"/>
    </row>
    <row r="956" spans="1:6" ht="15.75" customHeight="1">
      <c r="A956" s="19"/>
      <c r="C956" s="19"/>
      <c r="D956" s="19"/>
      <c r="F956" s="19"/>
    </row>
    <row r="957" spans="1:6" ht="15.75" customHeight="1">
      <c r="A957" s="19"/>
      <c r="C957" s="19"/>
      <c r="D957" s="19"/>
      <c r="F957" s="19"/>
    </row>
    <row r="958" spans="1:6" ht="15.75" customHeight="1">
      <c r="A958" s="19"/>
      <c r="C958" s="19"/>
      <c r="D958" s="19"/>
      <c r="F958" s="19"/>
    </row>
    <row r="959" spans="1:6" ht="15.75" customHeight="1">
      <c r="A959" s="19"/>
      <c r="C959" s="19"/>
      <c r="D959" s="19"/>
      <c r="F959" s="19"/>
    </row>
    <row r="960" spans="1:6" ht="15.75" customHeight="1">
      <c r="A960" s="19"/>
      <c r="C960" s="19"/>
      <c r="D960" s="19"/>
      <c r="F960" s="19"/>
    </row>
    <row r="961" spans="1:6" ht="15.75" customHeight="1">
      <c r="A961" s="19"/>
      <c r="C961" s="19"/>
      <c r="D961" s="19"/>
      <c r="F961" s="19"/>
    </row>
    <row r="962" spans="1:6" ht="15.75" customHeight="1">
      <c r="A962" s="19"/>
      <c r="C962" s="19"/>
      <c r="D962" s="19"/>
      <c r="F962" s="19"/>
    </row>
    <row r="963" spans="1:6" ht="15.75" customHeight="1">
      <c r="A963" s="19"/>
      <c r="C963" s="19"/>
      <c r="D963" s="19"/>
      <c r="F963" s="19"/>
    </row>
    <row r="964" spans="1:6" ht="15.75" customHeight="1">
      <c r="A964" s="19"/>
      <c r="C964" s="19"/>
      <c r="D964" s="19"/>
      <c r="F964" s="19"/>
    </row>
    <row r="965" spans="1:6" ht="15.75" customHeight="1">
      <c r="A965" s="19"/>
      <c r="C965" s="19"/>
      <c r="D965" s="19"/>
      <c r="F965" s="19"/>
    </row>
    <row r="966" spans="1:6" ht="15.75" customHeight="1">
      <c r="A966" s="19"/>
      <c r="C966" s="19"/>
      <c r="D966" s="19"/>
      <c r="F966" s="19"/>
    </row>
    <row r="967" spans="1:6" ht="15.75" customHeight="1">
      <c r="A967" s="19"/>
      <c r="C967" s="19"/>
      <c r="D967" s="19"/>
      <c r="F967" s="19"/>
    </row>
    <row r="968" spans="1:6" ht="15.75" customHeight="1">
      <c r="A968" s="19"/>
      <c r="C968" s="19"/>
      <c r="D968" s="19"/>
      <c r="F968" s="19"/>
    </row>
    <row r="969" spans="1:6" ht="15.75" customHeight="1">
      <c r="A969" s="19"/>
      <c r="C969" s="19"/>
      <c r="D969" s="19"/>
      <c r="F969" s="19"/>
    </row>
    <row r="970" spans="1:6" ht="15.75" customHeight="1">
      <c r="A970" s="19"/>
      <c r="C970" s="19"/>
      <c r="D970" s="19"/>
      <c r="F970" s="19"/>
    </row>
    <row r="971" spans="1:6" ht="15.75" customHeight="1">
      <c r="A971" s="19"/>
      <c r="C971" s="19"/>
      <c r="D971" s="19"/>
      <c r="F971" s="19"/>
    </row>
    <row r="972" spans="1:6" ht="15.75" customHeight="1">
      <c r="A972" s="19"/>
      <c r="C972" s="19"/>
      <c r="D972" s="19"/>
      <c r="F972" s="19"/>
    </row>
    <row r="973" spans="1:6" ht="15.75" customHeight="1">
      <c r="A973" s="19"/>
      <c r="C973" s="19"/>
      <c r="D973" s="19"/>
      <c r="F973" s="19"/>
    </row>
    <row r="974" spans="1:6" ht="15.75" customHeight="1">
      <c r="A974" s="19"/>
      <c r="C974" s="19"/>
      <c r="D974" s="19"/>
      <c r="F974" s="19"/>
    </row>
    <row r="975" spans="1:6" ht="15.75" customHeight="1">
      <c r="A975" s="19"/>
      <c r="C975" s="19"/>
      <c r="D975" s="19"/>
      <c r="F975" s="19"/>
    </row>
    <row r="976" spans="1:6" ht="15.75" customHeight="1">
      <c r="A976" s="19"/>
      <c r="C976" s="19"/>
      <c r="D976" s="19"/>
      <c r="F976" s="19"/>
    </row>
    <row r="977" spans="1:6" ht="15.75" customHeight="1">
      <c r="A977" s="19"/>
      <c r="C977" s="19"/>
      <c r="D977" s="19"/>
      <c r="F977" s="19"/>
    </row>
    <row r="978" spans="1:6" ht="15.75" customHeight="1">
      <c r="A978" s="19"/>
      <c r="C978" s="19"/>
      <c r="D978" s="19"/>
      <c r="F978" s="19"/>
    </row>
    <row r="979" spans="1:6" ht="15.75" customHeight="1">
      <c r="A979" s="19"/>
      <c r="C979" s="19"/>
      <c r="D979" s="19"/>
      <c r="F979" s="19"/>
    </row>
    <row r="980" spans="1:6" ht="15.75" customHeight="1">
      <c r="A980" s="19"/>
      <c r="C980" s="19"/>
      <c r="D980" s="19"/>
      <c r="F980" s="19"/>
    </row>
    <row r="981" spans="1:6" ht="15.75" customHeight="1">
      <c r="A981" s="19"/>
      <c r="C981" s="19"/>
      <c r="D981" s="19"/>
      <c r="F981" s="19"/>
    </row>
    <row r="982" spans="1:6" ht="15.75" customHeight="1">
      <c r="A982" s="19"/>
      <c r="C982" s="19"/>
      <c r="D982" s="19"/>
      <c r="F982" s="19"/>
    </row>
    <row r="983" spans="1:6" ht="15.75" customHeight="1">
      <c r="A983" s="19"/>
      <c r="C983" s="19"/>
      <c r="D983" s="19"/>
      <c r="F983" s="19"/>
    </row>
    <row r="984" spans="1:6" ht="15.75" customHeight="1">
      <c r="A984" s="19"/>
      <c r="C984" s="19"/>
      <c r="D984" s="19"/>
      <c r="F984" s="19"/>
    </row>
    <row r="985" spans="1:6" ht="15.75" customHeight="1">
      <c r="A985" s="19"/>
      <c r="C985" s="19"/>
      <c r="D985" s="19"/>
      <c r="F985" s="19"/>
    </row>
    <row r="986" spans="1:6" ht="15.75" customHeight="1">
      <c r="A986" s="19"/>
      <c r="C986" s="19"/>
      <c r="D986" s="19"/>
      <c r="F986" s="19"/>
    </row>
    <row r="987" spans="1:6" ht="15.75" customHeight="1">
      <c r="A987" s="19"/>
      <c r="C987" s="19"/>
      <c r="D987" s="19"/>
      <c r="F987" s="19"/>
    </row>
    <row r="988" spans="1:6" ht="15.75" customHeight="1">
      <c r="A988" s="19"/>
      <c r="C988" s="19"/>
      <c r="D988" s="19"/>
      <c r="F988" s="19"/>
    </row>
    <row r="989" spans="1:6" ht="15.75" customHeight="1">
      <c r="A989" s="19"/>
      <c r="C989" s="19"/>
      <c r="D989" s="19"/>
      <c r="F989" s="19"/>
    </row>
    <row r="990" spans="1:6" ht="15.75" customHeight="1">
      <c r="A990" s="19"/>
      <c r="C990" s="19"/>
      <c r="D990" s="19"/>
      <c r="F990" s="19"/>
    </row>
    <row r="991" spans="1:6" ht="15.75" customHeight="1">
      <c r="A991" s="19"/>
      <c r="C991" s="19"/>
      <c r="D991" s="19"/>
      <c r="F991" s="19"/>
    </row>
    <row r="992" spans="1:6" ht="15.75" customHeight="1">
      <c r="A992" s="19"/>
      <c r="C992" s="19"/>
      <c r="D992" s="19"/>
      <c r="F992" s="19"/>
    </row>
    <row r="993" spans="1:6" ht="15.75" customHeight="1">
      <c r="A993" s="19"/>
      <c r="C993" s="19"/>
      <c r="D993" s="19"/>
      <c r="F993" s="19"/>
    </row>
    <row r="994" spans="1:6" ht="15.75" customHeight="1">
      <c r="A994" s="19"/>
      <c r="C994" s="19"/>
      <c r="D994" s="19"/>
      <c r="F994" s="19"/>
    </row>
    <row r="995" spans="1:6" ht="15.75" customHeight="1">
      <c r="A995" s="19"/>
      <c r="C995" s="19"/>
      <c r="D995" s="19"/>
      <c r="F995" s="19"/>
    </row>
    <row r="996" spans="1:6" ht="15.75" customHeight="1">
      <c r="A996" s="19"/>
      <c r="C996" s="19"/>
      <c r="D996" s="19"/>
      <c r="F996" s="19"/>
    </row>
    <row r="997" spans="1:6" ht="15.75" customHeight="1">
      <c r="A997" s="19"/>
      <c r="C997" s="19"/>
      <c r="D997" s="19"/>
      <c r="F997" s="19"/>
    </row>
    <row r="998" spans="1:6" ht="15.75" customHeight="1">
      <c r="A998" s="19"/>
      <c r="C998" s="19"/>
      <c r="D998" s="19"/>
      <c r="F998" s="19"/>
    </row>
    <row r="999" spans="1:6" ht="15.75" customHeight="1">
      <c r="A999" s="19"/>
      <c r="C999" s="19"/>
      <c r="D999" s="19"/>
      <c r="F999" s="19"/>
    </row>
    <row r="1000" spans="1:6" ht="15.75" customHeight="1">
      <c r="A1000" s="19"/>
      <c r="C1000" s="19"/>
      <c r="D1000" s="19"/>
      <c r="F1000" s="19"/>
    </row>
    <row r="1001" spans="1:6" ht="15.75" customHeight="1">
      <c r="A1001" s="19"/>
      <c r="C1001" s="19"/>
      <c r="D1001" s="19"/>
      <c r="F1001" s="19"/>
    </row>
    <row r="1002" spans="1:6" ht="15.75" customHeight="1">
      <c r="A1002" s="19"/>
      <c r="C1002" s="19"/>
      <c r="D1002" s="19"/>
      <c r="F1002" s="1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DỊCH VỤ+CHỈ SỐ</vt:lpstr>
      <vt:lpstr>RAWDATA_QPPL</vt:lpstr>
      <vt:lpstr>RAWDATA_VB so sánh</vt:lpstr>
      <vt:lpstr>Ghi chú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HPTPC-F123-MT</dc:creator>
  <cp:lastModifiedBy>Khổng Minh</cp:lastModifiedBy>
  <dcterms:created xsi:type="dcterms:W3CDTF">2025-10-01T06:55:19Z</dcterms:created>
  <dcterms:modified xsi:type="dcterms:W3CDTF">2026-08-22T09:53:04Z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0C05ACD9B8484046BDAA3C9E3731DBD0_12</vt:lpwstr>
  </property>
  <property fmtid="{D5CDD505-2E9C-101B-9397-08002B2CF9AE}" pid="3" name="KSOProductBuildVer">
    <vt:lpwstr>1033-12.2.0.22549</vt:lpwstr>
  </property>
</Properties>
</file>